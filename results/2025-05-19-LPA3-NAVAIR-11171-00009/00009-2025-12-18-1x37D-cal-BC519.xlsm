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13_ncr:1_{60751246-75DE-4BDB-ABFC-76086033294E}" xr6:coauthVersionLast="47" xr6:coauthVersionMax="47" xr10:uidLastSave="{00000000-0000-0000-0000-000000000000}"/>
  <bookViews>
    <workbookView xWindow="-98" yWindow="-98" windowWidth="28996" windowHeight="17745" tabRatio="500" firstSheet="2" activeTab="8"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B24" i="5" l="1"/>
  <c r="F24" i="5"/>
  <c r="F8" i="5"/>
  <c r="F9" i="5"/>
  <c r="F10" i="5"/>
  <c r="F11" i="5"/>
  <c r="F12" i="5"/>
  <c r="F13" i="5"/>
  <c r="F14" i="5"/>
  <c r="F15" i="5"/>
  <c r="F16" i="5"/>
  <c r="F17" i="5"/>
  <c r="F18" i="5"/>
  <c r="F19" i="5"/>
  <c r="F25" i="5"/>
  <c r="F26" i="5"/>
  <c r="F27" i="5"/>
  <c r="F28" i="5"/>
  <c r="F29" i="5"/>
  <c r="F30" i="5"/>
  <c r="F31" i="5"/>
  <c r="F32" i="5"/>
  <c r="F33" i="5"/>
  <c r="F34" i="5"/>
  <c r="F35" i="5"/>
  <c r="F36" i="5"/>
  <c r="F37" i="5"/>
  <c r="F38" i="5"/>
  <c r="A51" i="7"/>
  <c r="B51" i="7"/>
  <c r="C51" i="7"/>
  <c r="D51" i="7"/>
  <c r="E51" i="7"/>
  <c r="F51" i="7"/>
  <c r="G51" i="7"/>
  <c r="H51" i="7"/>
  <c r="I51" i="7"/>
  <c r="J51" i="7"/>
  <c r="K51" i="7"/>
  <c r="L51" i="7"/>
  <c r="M51" i="7"/>
  <c r="N51" i="7"/>
  <c r="O51" i="7"/>
  <c r="P51" i="7"/>
  <c r="A52" i="7"/>
  <c r="B52" i="7"/>
  <c r="C52" i="7"/>
  <c r="D52" i="7"/>
  <c r="E52" i="7"/>
  <c r="F52" i="7"/>
  <c r="G52" i="7"/>
  <c r="H52" i="7"/>
  <c r="I52" i="7"/>
  <c r="J52" i="7"/>
  <c r="K52" i="7"/>
  <c r="L52" i="7"/>
  <c r="B8" i="7" s="1"/>
  <c r="M52" i="7"/>
  <c r="N52" i="7"/>
  <c r="O52" i="7"/>
  <c r="P52" i="7"/>
  <c r="A53" i="7"/>
  <c r="B53" i="7"/>
  <c r="C53" i="7"/>
  <c r="D53" i="7"/>
  <c r="E53" i="7"/>
  <c r="F53" i="7"/>
  <c r="G53" i="7"/>
  <c r="H53" i="7"/>
  <c r="I53" i="7"/>
  <c r="J53" i="7"/>
  <c r="K53" i="7"/>
  <c r="L53" i="7"/>
  <c r="B9" i="7" s="1"/>
  <c r="M53" i="7"/>
  <c r="C9" i="7" s="1"/>
  <c r="N53" i="7"/>
  <c r="O53" i="7"/>
  <c r="E9" i="7" s="1"/>
  <c r="P53" i="7"/>
  <c r="A54" i="7"/>
  <c r="B54" i="7"/>
  <c r="C54" i="7"/>
  <c r="D54" i="7"/>
  <c r="E54" i="7"/>
  <c r="F54" i="7"/>
  <c r="G54" i="7"/>
  <c r="H54" i="7"/>
  <c r="I54" i="7"/>
  <c r="J54" i="7"/>
  <c r="K54" i="7"/>
  <c r="L54" i="7"/>
  <c r="B10" i="7" s="1"/>
  <c r="M54" i="7"/>
  <c r="C10" i="7" s="1"/>
  <c r="N54" i="7"/>
  <c r="O54" i="7"/>
  <c r="E10" i="7" s="1"/>
  <c r="P54" i="7"/>
  <c r="A55" i="7"/>
  <c r="B55" i="7"/>
  <c r="C55" i="7"/>
  <c r="D55" i="7"/>
  <c r="E55" i="7"/>
  <c r="F55" i="7"/>
  <c r="G55" i="7"/>
  <c r="H55" i="7"/>
  <c r="I55" i="7"/>
  <c r="J55" i="7"/>
  <c r="K55" i="7"/>
  <c r="L55" i="7"/>
  <c r="M55" i="7"/>
  <c r="C11" i="7" s="1"/>
  <c r="N55" i="7"/>
  <c r="O55" i="7"/>
  <c r="E11" i="7" s="1"/>
  <c r="P55" i="7"/>
  <c r="A56" i="7"/>
  <c r="B56" i="7"/>
  <c r="C56" i="7"/>
  <c r="D56" i="7"/>
  <c r="E56" i="7"/>
  <c r="F56" i="7"/>
  <c r="G56" i="7"/>
  <c r="H56" i="7"/>
  <c r="I56" i="7"/>
  <c r="J56" i="7"/>
  <c r="K56" i="7"/>
  <c r="L56" i="7"/>
  <c r="B12" i="7" s="1"/>
  <c r="M56" i="7"/>
  <c r="C12" i="7" s="1"/>
  <c r="N56" i="7"/>
  <c r="O56" i="7"/>
  <c r="E12" i="7" s="1"/>
  <c r="P56" i="7"/>
  <c r="A57" i="7"/>
  <c r="B57" i="7"/>
  <c r="C57" i="7"/>
  <c r="D57" i="7"/>
  <c r="E57" i="7"/>
  <c r="F57" i="7"/>
  <c r="G57" i="7"/>
  <c r="H57" i="7"/>
  <c r="I57" i="7"/>
  <c r="J57" i="7"/>
  <c r="K57" i="7"/>
  <c r="L57" i="7"/>
  <c r="B13" i="7" s="1"/>
  <c r="M57" i="7"/>
  <c r="C13" i="7" s="1"/>
  <c r="N57" i="7"/>
  <c r="O57" i="7"/>
  <c r="P57" i="7"/>
  <c r="A58" i="7"/>
  <c r="B58" i="7"/>
  <c r="C58" i="7"/>
  <c r="D58" i="7"/>
  <c r="E58" i="7"/>
  <c r="F58" i="7"/>
  <c r="G58" i="7"/>
  <c r="H58" i="7"/>
  <c r="I58" i="7"/>
  <c r="J58" i="7"/>
  <c r="K58" i="7"/>
  <c r="L58" i="7"/>
  <c r="M58" i="7"/>
  <c r="C14" i="7" s="1"/>
  <c r="N58" i="7"/>
  <c r="O58" i="7"/>
  <c r="E14" i="7" s="1"/>
  <c r="P58" i="7"/>
  <c r="A59" i="7"/>
  <c r="B59" i="7"/>
  <c r="C59" i="7"/>
  <c r="D59" i="7"/>
  <c r="E59" i="7"/>
  <c r="F59" i="7"/>
  <c r="G59" i="7"/>
  <c r="H59" i="7"/>
  <c r="I59" i="7"/>
  <c r="J59" i="7"/>
  <c r="K59" i="7"/>
  <c r="L59" i="7"/>
  <c r="B15" i="7" s="1"/>
  <c r="M59" i="7"/>
  <c r="C15" i="7" s="1"/>
  <c r="N59" i="7"/>
  <c r="O59" i="7"/>
  <c r="E15" i="7" s="1"/>
  <c r="P59" i="7"/>
  <c r="A60" i="7"/>
  <c r="B60" i="7"/>
  <c r="C60" i="7"/>
  <c r="D60" i="7"/>
  <c r="E60" i="7"/>
  <c r="F60" i="7"/>
  <c r="G60" i="7"/>
  <c r="H60" i="7"/>
  <c r="I60" i="7"/>
  <c r="J60" i="7"/>
  <c r="K60" i="7"/>
  <c r="L60" i="7"/>
  <c r="B16" i="7" s="1"/>
  <c r="M60" i="7"/>
  <c r="C16" i="7" s="1"/>
  <c r="N60" i="7"/>
  <c r="O60" i="7"/>
  <c r="E16" i="7" s="1"/>
  <c r="P60" i="7"/>
  <c r="A61" i="7"/>
  <c r="B61" i="7"/>
  <c r="C61" i="7"/>
  <c r="D61" i="7"/>
  <c r="E61" i="7"/>
  <c r="F61" i="7"/>
  <c r="G61" i="7"/>
  <c r="H61" i="7"/>
  <c r="I61" i="7"/>
  <c r="J61" i="7"/>
  <c r="K61" i="7"/>
  <c r="L61" i="7"/>
  <c r="B17" i="7" s="1"/>
  <c r="M61" i="7"/>
  <c r="C17" i="7" s="1"/>
  <c r="N61" i="7"/>
  <c r="O61" i="7"/>
  <c r="E17" i="7" s="1"/>
  <c r="P61" i="7"/>
  <c r="A62" i="7"/>
  <c r="B62" i="7"/>
  <c r="C62" i="7"/>
  <c r="D62" i="7"/>
  <c r="E62" i="7"/>
  <c r="F62" i="7"/>
  <c r="G62" i="7"/>
  <c r="H62" i="7"/>
  <c r="I62" i="7"/>
  <c r="J62" i="7"/>
  <c r="K62" i="7"/>
  <c r="L62" i="7"/>
  <c r="B18" i="7" s="1"/>
  <c r="M62" i="7"/>
  <c r="C18" i="7" s="1"/>
  <c r="N62" i="7"/>
  <c r="O62" i="7"/>
  <c r="E18" i="7" s="1"/>
  <c r="P62" i="7"/>
  <c r="A63" i="7"/>
  <c r="B63" i="7"/>
  <c r="C63" i="7"/>
  <c r="D63" i="7"/>
  <c r="E63" i="7"/>
  <c r="F63" i="7"/>
  <c r="G63" i="7"/>
  <c r="H63" i="7"/>
  <c r="I63" i="7"/>
  <c r="J63" i="7"/>
  <c r="K63" i="7"/>
  <c r="L63" i="7"/>
  <c r="B19" i="7" s="1"/>
  <c r="M63" i="7"/>
  <c r="C19" i="7" s="1"/>
  <c r="N63" i="7"/>
  <c r="O63" i="7"/>
  <c r="E19" i="7" s="1"/>
  <c r="P63" i="7"/>
  <c r="A64" i="7"/>
  <c r="B64" i="7"/>
  <c r="C64" i="7"/>
  <c r="D64" i="7"/>
  <c r="E64" i="7"/>
  <c r="F64" i="7"/>
  <c r="G64" i="7"/>
  <c r="H64" i="7"/>
  <c r="I64" i="7"/>
  <c r="J64" i="7"/>
  <c r="K64" i="7"/>
  <c r="L64" i="7"/>
  <c r="M64" i="7"/>
  <c r="C20" i="7" s="1"/>
  <c r="N64" i="7"/>
  <c r="O64" i="7"/>
  <c r="E20" i="7" s="1"/>
  <c r="P64" i="7"/>
  <c r="A65" i="7"/>
  <c r="B65" i="7"/>
  <c r="C65" i="7"/>
  <c r="D65" i="7"/>
  <c r="E65" i="7"/>
  <c r="F65" i="7"/>
  <c r="G65" i="7"/>
  <c r="H65" i="7"/>
  <c r="I65" i="7"/>
  <c r="J65" i="7"/>
  <c r="K65" i="7"/>
  <c r="L65" i="7"/>
  <c r="B21" i="7" s="1"/>
  <c r="M65" i="7"/>
  <c r="C21" i="7" s="1"/>
  <c r="N65" i="7"/>
  <c r="O65" i="7"/>
  <c r="E21" i="7" s="1"/>
  <c r="P65" i="7"/>
  <c r="A66" i="7"/>
  <c r="B66" i="7"/>
  <c r="C66" i="7"/>
  <c r="D66" i="7"/>
  <c r="E66" i="7"/>
  <c r="F66" i="7"/>
  <c r="G66" i="7"/>
  <c r="H66" i="7"/>
  <c r="I66" i="7"/>
  <c r="J66" i="7"/>
  <c r="K66" i="7"/>
  <c r="L66" i="7"/>
  <c r="B22" i="7" s="1"/>
  <c r="M66" i="7"/>
  <c r="C22" i="7" s="1"/>
  <c r="N66" i="7"/>
  <c r="O66" i="7"/>
  <c r="E22" i="7" s="1"/>
  <c r="P66" i="7"/>
  <c r="F22" i="7" s="1"/>
  <c r="A67" i="7"/>
  <c r="B67" i="7"/>
  <c r="C67" i="7"/>
  <c r="D67" i="7"/>
  <c r="E67" i="7"/>
  <c r="F67" i="7"/>
  <c r="G67" i="7"/>
  <c r="H67" i="7"/>
  <c r="I67" i="7"/>
  <c r="J67" i="7"/>
  <c r="K67" i="7"/>
  <c r="L67" i="7"/>
  <c r="B23" i="7" s="1"/>
  <c r="M67" i="7"/>
  <c r="C23" i="7" s="1"/>
  <c r="N67" i="7"/>
  <c r="O67" i="7"/>
  <c r="P67" i="7"/>
  <c r="A68" i="7"/>
  <c r="B68" i="7"/>
  <c r="C68" i="7"/>
  <c r="D68" i="7"/>
  <c r="E68" i="7"/>
  <c r="F68" i="7"/>
  <c r="G68" i="7"/>
  <c r="H68" i="7"/>
  <c r="I68" i="7"/>
  <c r="J68" i="7"/>
  <c r="K68" i="7"/>
  <c r="L68" i="7"/>
  <c r="B24" i="7" s="1"/>
  <c r="M68" i="7"/>
  <c r="C24" i="7" s="1"/>
  <c r="N68" i="7"/>
  <c r="O68" i="7"/>
  <c r="E24" i="7" s="1"/>
  <c r="P68" i="7"/>
  <c r="A69" i="7"/>
  <c r="B69" i="7"/>
  <c r="C69" i="7"/>
  <c r="D69" i="7"/>
  <c r="E69" i="7"/>
  <c r="F69" i="7"/>
  <c r="G69" i="7"/>
  <c r="H69" i="7"/>
  <c r="I69" i="7"/>
  <c r="J69" i="7"/>
  <c r="K69" i="7"/>
  <c r="L69" i="7"/>
  <c r="B25" i="7" s="1"/>
  <c r="M69" i="7"/>
  <c r="C25" i="7" s="1"/>
  <c r="N69" i="7"/>
  <c r="O69" i="7"/>
  <c r="E25" i="7" s="1"/>
  <c r="P69" i="7"/>
  <c r="F25" i="7" s="1"/>
  <c r="A70" i="7"/>
  <c r="B70" i="7"/>
  <c r="C70" i="7"/>
  <c r="D70" i="7"/>
  <c r="E70" i="7"/>
  <c r="F70" i="7"/>
  <c r="G70" i="7"/>
  <c r="H70" i="7"/>
  <c r="I70" i="7"/>
  <c r="J70" i="7"/>
  <c r="K70" i="7"/>
  <c r="L70" i="7"/>
  <c r="B26" i="7" s="1"/>
  <c r="M70" i="7"/>
  <c r="C26" i="7" s="1"/>
  <c r="N70" i="7"/>
  <c r="O70" i="7"/>
  <c r="E26" i="7" s="1"/>
  <c r="P70" i="7"/>
  <c r="A71" i="7"/>
  <c r="B71" i="7"/>
  <c r="C71" i="7"/>
  <c r="D71" i="7"/>
  <c r="E71" i="7"/>
  <c r="F71" i="7"/>
  <c r="G71" i="7"/>
  <c r="H71" i="7"/>
  <c r="I71" i="7"/>
  <c r="J71" i="7"/>
  <c r="K71" i="7"/>
  <c r="L71" i="7"/>
  <c r="M71" i="7"/>
  <c r="C27" i="7" s="1"/>
  <c r="N71" i="7"/>
  <c r="O71" i="7"/>
  <c r="E27" i="7" s="1"/>
  <c r="P71" i="7"/>
  <c r="A72" i="7"/>
  <c r="B72" i="7"/>
  <c r="C72" i="7"/>
  <c r="D72" i="7"/>
  <c r="E72" i="7"/>
  <c r="F72" i="7"/>
  <c r="G72" i="7"/>
  <c r="H72" i="7"/>
  <c r="I72" i="7"/>
  <c r="J72" i="7"/>
  <c r="K72" i="7"/>
  <c r="L72" i="7"/>
  <c r="B28" i="7" s="1"/>
  <c r="M72" i="7"/>
  <c r="C28" i="7" s="1"/>
  <c r="N72" i="7"/>
  <c r="D28" i="7" s="1"/>
  <c r="O72" i="7"/>
  <c r="E28" i="7" s="1"/>
  <c r="P72" i="7"/>
  <c r="F28" i="7" s="1"/>
  <c r="A73" i="7"/>
  <c r="B73" i="7"/>
  <c r="C73" i="7"/>
  <c r="D73" i="7"/>
  <c r="E73" i="7"/>
  <c r="F73" i="7"/>
  <c r="G73" i="7"/>
  <c r="H73" i="7"/>
  <c r="I73" i="7"/>
  <c r="J73" i="7"/>
  <c r="K73" i="7"/>
  <c r="L73" i="7"/>
  <c r="B29" i="7" s="1"/>
  <c r="M73" i="7"/>
  <c r="C29" i="7" s="1"/>
  <c r="N73" i="7"/>
  <c r="O73" i="7"/>
  <c r="P73" i="7"/>
  <c r="A74" i="7"/>
  <c r="B74" i="7"/>
  <c r="C74" i="7"/>
  <c r="D74" i="7"/>
  <c r="E74" i="7"/>
  <c r="F74" i="7"/>
  <c r="G74" i="7"/>
  <c r="H74" i="7"/>
  <c r="I74" i="7"/>
  <c r="J74" i="7"/>
  <c r="K74" i="7"/>
  <c r="L74" i="7"/>
  <c r="M74" i="7"/>
  <c r="C30" i="7" s="1"/>
  <c r="N74" i="7"/>
  <c r="O74" i="7"/>
  <c r="E30" i="7" s="1"/>
  <c r="P74" i="7"/>
  <c r="F30" i="7" s="1"/>
  <c r="A75" i="7"/>
  <c r="B75" i="7"/>
  <c r="C75" i="7"/>
  <c r="D75" i="7"/>
  <c r="E75" i="7"/>
  <c r="F75" i="7"/>
  <c r="G75" i="7"/>
  <c r="H75" i="7"/>
  <c r="I75" i="7"/>
  <c r="J75" i="7"/>
  <c r="K75" i="7"/>
  <c r="L75" i="7"/>
  <c r="B31" i="7" s="1"/>
  <c r="M75" i="7"/>
  <c r="C31" i="7" s="1"/>
  <c r="N75" i="7"/>
  <c r="D31" i="7" s="1"/>
  <c r="O75" i="7"/>
  <c r="E31" i="7" s="1"/>
  <c r="P75" i="7"/>
  <c r="F31" i="7" s="1"/>
  <c r="A76" i="7"/>
  <c r="B76" i="7"/>
  <c r="C76" i="7"/>
  <c r="D76" i="7"/>
  <c r="E76" i="7"/>
  <c r="F76" i="7"/>
  <c r="G76" i="7"/>
  <c r="H76" i="7"/>
  <c r="I76" i="7"/>
  <c r="J76" i="7"/>
  <c r="K76" i="7"/>
  <c r="L76" i="7"/>
  <c r="B32" i="7" s="1"/>
  <c r="M76" i="7"/>
  <c r="C32" i="7" s="1"/>
  <c r="N76" i="7"/>
  <c r="D32" i="7" s="1"/>
  <c r="O76" i="7"/>
  <c r="E32" i="7" s="1"/>
  <c r="P76" i="7"/>
  <c r="A77" i="7"/>
  <c r="B77" i="7"/>
  <c r="C77" i="7"/>
  <c r="D77" i="7"/>
  <c r="E77" i="7"/>
  <c r="F77" i="7"/>
  <c r="G77" i="7"/>
  <c r="H77" i="7"/>
  <c r="I77" i="7"/>
  <c r="J77" i="7"/>
  <c r="K77" i="7"/>
  <c r="L77" i="7"/>
  <c r="B33" i="7" s="1"/>
  <c r="M77" i="7"/>
  <c r="N77" i="7"/>
  <c r="O77" i="7"/>
  <c r="E33" i="7" s="1"/>
  <c r="P77" i="7"/>
  <c r="F33" i="7" s="1"/>
  <c r="A78" i="7"/>
  <c r="B78" i="7"/>
  <c r="C78" i="7"/>
  <c r="D78" i="7"/>
  <c r="E78" i="7"/>
  <c r="F78" i="7"/>
  <c r="G78" i="7"/>
  <c r="H78" i="7"/>
  <c r="I78" i="7"/>
  <c r="J78" i="7"/>
  <c r="K78" i="7"/>
  <c r="L78" i="7"/>
  <c r="B34" i="7" s="1"/>
  <c r="M78" i="7"/>
  <c r="C34" i="7" s="1"/>
  <c r="N78" i="7"/>
  <c r="D34" i="7" s="1"/>
  <c r="O78" i="7"/>
  <c r="E34" i="7" s="1"/>
  <c r="P78" i="7"/>
  <c r="F34" i="7" s="1"/>
  <c r="A79" i="7"/>
  <c r="B79" i="7"/>
  <c r="C79" i="7"/>
  <c r="D79" i="7"/>
  <c r="E79" i="7"/>
  <c r="F79" i="7"/>
  <c r="G79" i="7"/>
  <c r="H79" i="7"/>
  <c r="I79" i="7"/>
  <c r="J79" i="7"/>
  <c r="K79" i="7"/>
  <c r="L79" i="7"/>
  <c r="B35" i="7" s="1"/>
  <c r="M79" i="7"/>
  <c r="C35" i="7" s="1"/>
  <c r="N79" i="7"/>
  <c r="D35" i="7" s="1"/>
  <c r="O79" i="7"/>
  <c r="E35" i="7" s="1"/>
  <c r="P79" i="7"/>
  <c r="A80" i="7"/>
  <c r="B80" i="7"/>
  <c r="C80" i="7"/>
  <c r="D80" i="7"/>
  <c r="E80" i="7"/>
  <c r="F80" i="7"/>
  <c r="G80" i="7"/>
  <c r="H80" i="7"/>
  <c r="I80" i="7"/>
  <c r="J80" i="7"/>
  <c r="K80" i="7"/>
  <c r="L80" i="7"/>
  <c r="M80" i="7"/>
  <c r="C36" i="7" s="1"/>
  <c r="N80" i="7"/>
  <c r="O80" i="7"/>
  <c r="E36" i="7" s="1"/>
  <c r="P80" i="7"/>
  <c r="F36" i="7" s="1"/>
  <c r="A81" i="7"/>
  <c r="B81" i="7"/>
  <c r="C81" i="7"/>
  <c r="D81" i="7"/>
  <c r="E81" i="7"/>
  <c r="F81" i="7"/>
  <c r="G81" i="7"/>
  <c r="H81" i="7"/>
  <c r="I81" i="7"/>
  <c r="J81" i="7"/>
  <c r="K81" i="7"/>
  <c r="L81" i="7"/>
  <c r="B37" i="7" s="1"/>
  <c r="M81" i="7"/>
  <c r="C37" i="7" s="1"/>
  <c r="N81" i="7"/>
  <c r="O81" i="7"/>
  <c r="E37" i="7" s="1"/>
  <c r="P81" i="7"/>
  <c r="F37" i="7" s="1"/>
  <c r="A82" i="7"/>
  <c r="B82" i="7"/>
  <c r="C82" i="7"/>
  <c r="D82" i="7"/>
  <c r="E82" i="7"/>
  <c r="F82" i="7"/>
  <c r="G82" i="7"/>
  <c r="H82" i="7"/>
  <c r="I82" i="7"/>
  <c r="J82" i="7"/>
  <c r="K82" i="7"/>
  <c r="L82" i="7"/>
  <c r="B38" i="7" s="1"/>
  <c r="M82" i="7"/>
  <c r="C38" i="7" s="1"/>
  <c r="N82" i="7"/>
  <c r="D38" i="7" s="1"/>
  <c r="O82" i="7"/>
  <c r="E38" i="7" s="1"/>
  <c r="P82" i="7"/>
  <c r="F38" i="7" s="1"/>
  <c r="A51" i="6"/>
  <c r="B51" i="6"/>
  <c r="C51" i="6"/>
  <c r="D51" i="6"/>
  <c r="E51" i="6"/>
  <c r="F51" i="6"/>
  <c r="G51" i="6"/>
  <c r="H51" i="6"/>
  <c r="I51" i="6"/>
  <c r="J51" i="6"/>
  <c r="K51" i="6"/>
  <c r="L51" i="6"/>
  <c r="M51" i="6"/>
  <c r="N51" i="6"/>
  <c r="O51" i="6"/>
  <c r="P51" i="6"/>
  <c r="A52" i="6"/>
  <c r="B52" i="6"/>
  <c r="C52" i="6"/>
  <c r="D52" i="6"/>
  <c r="E52" i="6"/>
  <c r="F52" i="6"/>
  <c r="G52" i="6"/>
  <c r="H52" i="6"/>
  <c r="I52" i="6"/>
  <c r="J52" i="6"/>
  <c r="K52" i="6"/>
  <c r="L52" i="6"/>
  <c r="M52" i="6"/>
  <c r="N52" i="6"/>
  <c r="O52" i="6"/>
  <c r="P52" i="6"/>
  <c r="A53" i="6"/>
  <c r="B53" i="6"/>
  <c r="C53" i="6"/>
  <c r="D53" i="6"/>
  <c r="E53" i="6"/>
  <c r="F53" i="6"/>
  <c r="G53" i="6"/>
  <c r="H53" i="6"/>
  <c r="I53" i="6"/>
  <c r="J53" i="6"/>
  <c r="K53" i="6"/>
  <c r="L53" i="6"/>
  <c r="M53" i="6"/>
  <c r="N53" i="6"/>
  <c r="O53" i="6"/>
  <c r="P53" i="6"/>
  <c r="A54" i="6"/>
  <c r="B54" i="6"/>
  <c r="C54" i="6"/>
  <c r="D54" i="6"/>
  <c r="E54" i="6"/>
  <c r="F54" i="6"/>
  <c r="G54" i="6"/>
  <c r="H54" i="6"/>
  <c r="I54" i="6"/>
  <c r="J54" i="6"/>
  <c r="K54" i="6"/>
  <c r="L54" i="6"/>
  <c r="M54" i="6"/>
  <c r="N54" i="6"/>
  <c r="O54" i="6"/>
  <c r="P54" i="6"/>
  <c r="A55" i="6"/>
  <c r="B55" i="6"/>
  <c r="C55" i="6"/>
  <c r="D55" i="6"/>
  <c r="E55" i="6"/>
  <c r="F55" i="6"/>
  <c r="G55" i="6"/>
  <c r="H55" i="6"/>
  <c r="I55" i="6"/>
  <c r="J55" i="6"/>
  <c r="K55" i="6"/>
  <c r="L55" i="6"/>
  <c r="M55" i="6"/>
  <c r="N55" i="6"/>
  <c r="O55" i="6"/>
  <c r="P55" i="6"/>
  <c r="A56" i="6"/>
  <c r="B56" i="6"/>
  <c r="C56" i="6"/>
  <c r="D56" i="6"/>
  <c r="E56" i="6"/>
  <c r="F56" i="6"/>
  <c r="G56" i="6"/>
  <c r="H56" i="6"/>
  <c r="I56" i="6"/>
  <c r="J56" i="6"/>
  <c r="K56" i="6"/>
  <c r="L56" i="6"/>
  <c r="M56" i="6"/>
  <c r="N56" i="6"/>
  <c r="O56" i="6"/>
  <c r="P56" i="6"/>
  <c r="A57" i="6"/>
  <c r="B57" i="6"/>
  <c r="C57" i="6"/>
  <c r="D57" i="6"/>
  <c r="E57" i="6"/>
  <c r="F57" i="6"/>
  <c r="G57" i="6"/>
  <c r="H57" i="6"/>
  <c r="I57" i="6"/>
  <c r="J57" i="6"/>
  <c r="K57" i="6"/>
  <c r="L57" i="6"/>
  <c r="M57" i="6"/>
  <c r="N57" i="6"/>
  <c r="O57" i="6"/>
  <c r="P57" i="6"/>
  <c r="A58" i="6"/>
  <c r="B58" i="6"/>
  <c r="C58" i="6"/>
  <c r="D58" i="6"/>
  <c r="E58" i="6"/>
  <c r="F58" i="6"/>
  <c r="G58" i="6"/>
  <c r="H58" i="6"/>
  <c r="I58" i="6"/>
  <c r="J58" i="6"/>
  <c r="K58" i="6"/>
  <c r="L58" i="6"/>
  <c r="M58" i="6"/>
  <c r="N58" i="6"/>
  <c r="O58" i="6"/>
  <c r="P58" i="6"/>
  <c r="A59" i="6"/>
  <c r="B59" i="6"/>
  <c r="C59" i="6"/>
  <c r="D59" i="6"/>
  <c r="E59" i="6"/>
  <c r="F59" i="6"/>
  <c r="G59" i="6"/>
  <c r="H59" i="6"/>
  <c r="I59" i="6"/>
  <c r="J59" i="6"/>
  <c r="K59" i="6"/>
  <c r="L59" i="6"/>
  <c r="M59" i="6"/>
  <c r="N59" i="6"/>
  <c r="O59" i="6"/>
  <c r="P59" i="6"/>
  <c r="A60" i="6"/>
  <c r="B60" i="6"/>
  <c r="C60" i="6"/>
  <c r="D60" i="6"/>
  <c r="E60" i="6"/>
  <c r="F60" i="6"/>
  <c r="G60" i="6"/>
  <c r="H60" i="6"/>
  <c r="I60" i="6"/>
  <c r="J60" i="6"/>
  <c r="K60" i="6"/>
  <c r="L60" i="6"/>
  <c r="M60" i="6"/>
  <c r="N60" i="6"/>
  <c r="O60" i="6"/>
  <c r="P60" i="6"/>
  <c r="A61" i="6"/>
  <c r="B61" i="6"/>
  <c r="C61" i="6"/>
  <c r="D61" i="6"/>
  <c r="E61" i="6"/>
  <c r="F61" i="6"/>
  <c r="G61" i="6"/>
  <c r="H61" i="6"/>
  <c r="I61" i="6"/>
  <c r="J61" i="6"/>
  <c r="K61" i="6"/>
  <c r="L61" i="6"/>
  <c r="M61" i="6"/>
  <c r="N61" i="6"/>
  <c r="O61" i="6"/>
  <c r="P61" i="6"/>
  <c r="A62" i="6"/>
  <c r="B62" i="6"/>
  <c r="C62" i="6"/>
  <c r="D62" i="6"/>
  <c r="E62" i="6"/>
  <c r="F62" i="6"/>
  <c r="G62" i="6"/>
  <c r="H62" i="6"/>
  <c r="I62" i="6"/>
  <c r="J62" i="6"/>
  <c r="K62" i="6"/>
  <c r="L62" i="6"/>
  <c r="M62" i="6"/>
  <c r="N62" i="6"/>
  <c r="O62" i="6"/>
  <c r="P62" i="6"/>
  <c r="A63" i="6"/>
  <c r="B63" i="6"/>
  <c r="C63" i="6"/>
  <c r="D63" i="6"/>
  <c r="E63" i="6"/>
  <c r="F63" i="6"/>
  <c r="G63" i="6"/>
  <c r="H63" i="6"/>
  <c r="I63" i="6"/>
  <c r="J63" i="6"/>
  <c r="K63" i="6"/>
  <c r="L63" i="6"/>
  <c r="M63" i="6"/>
  <c r="N63" i="6"/>
  <c r="O63" i="6"/>
  <c r="P63" i="6"/>
  <c r="A64" i="6"/>
  <c r="B64" i="6"/>
  <c r="C64" i="6"/>
  <c r="D64" i="6"/>
  <c r="E64" i="6"/>
  <c r="F64" i="6"/>
  <c r="G64" i="6"/>
  <c r="H64" i="6"/>
  <c r="I64" i="6"/>
  <c r="J64" i="6"/>
  <c r="K64" i="6"/>
  <c r="L64" i="6"/>
  <c r="M64" i="6"/>
  <c r="N64" i="6"/>
  <c r="O64" i="6"/>
  <c r="P64" i="6"/>
  <c r="A65" i="6"/>
  <c r="B65" i="6"/>
  <c r="C65" i="6"/>
  <c r="D65" i="6"/>
  <c r="E65" i="6"/>
  <c r="F65" i="6"/>
  <c r="G65" i="6"/>
  <c r="H65" i="6"/>
  <c r="I65" i="6"/>
  <c r="J65" i="6"/>
  <c r="K65" i="6"/>
  <c r="L65" i="6"/>
  <c r="M65" i="6"/>
  <c r="N65" i="6"/>
  <c r="O65" i="6"/>
  <c r="P65" i="6"/>
  <c r="A66" i="6"/>
  <c r="B66" i="6"/>
  <c r="C66" i="6"/>
  <c r="D66" i="6"/>
  <c r="E66" i="6"/>
  <c r="F66" i="6"/>
  <c r="G66" i="6"/>
  <c r="H66" i="6"/>
  <c r="I66" i="6"/>
  <c r="J66" i="6"/>
  <c r="K66" i="6"/>
  <c r="L66" i="6"/>
  <c r="M66" i="6"/>
  <c r="N66" i="6"/>
  <c r="O66" i="6"/>
  <c r="P66" i="6"/>
  <c r="A67" i="6"/>
  <c r="B67" i="6"/>
  <c r="C67" i="6"/>
  <c r="D67" i="6"/>
  <c r="E67" i="6"/>
  <c r="F67" i="6"/>
  <c r="G67" i="6"/>
  <c r="H67" i="6"/>
  <c r="I67" i="6"/>
  <c r="J67" i="6"/>
  <c r="K67" i="6"/>
  <c r="L67" i="6"/>
  <c r="M67" i="6"/>
  <c r="N67" i="6"/>
  <c r="O67" i="6"/>
  <c r="P67" i="6"/>
  <c r="A68" i="6"/>
  <c r="B68" i="6"/>
  <c r="C68" i="6"/>
  <c r="D68" i="6"/>
  <c r="E68" i="6"/>
  <c r="F68" i="6"/>
  <c r="G68" i="6"/>
  <c r="H68" i="6"/>
  <c r="I68" i="6"/>
  <c r="J68" i="6"/>
  <c r="K68" i="6"/>
  <c r="L68" i="6"/>
  <c r="M68" i="6"/>
  <c r="N68" i="6"/>
  <c r="O68" i="6"/>
  <c r="P68" i="6"/>
  <c r="A69" i="6"/>
  <c r="B69" i="6"/>
  <c r="C69" i="6"/>
  <c r="D69" i="6"/>
  <c r="E69" i="6"/>
  <c r="F69" i="6"/>
  <c r="G69" i="6"/>
  <c r="H69" i="6"/>
  <c r="I69" i="6"/>
  <c r="J69" i="6"/>
  <c r="K69" i="6"/>
  <c r="L69" i="6"/>
  <c r="M69" i="6"/>
  <c r="N69" i="6"/>
  <c r="O69" i="6"/>
  <c r="P69" i="6"/>
  <c r="A70" i="6"/>
  <c r="B70" i="6"/>
  <c r="C70" i="6"/>
  <c r="D70" i="6"/>
  <c r="E70" i="6"/>
  <c r="F70" i="6"/>
  <c r="G70" i="6"/>
  <c r="H70" i="6"/>
  <c r="I70" i="6"/>
  <c r="J70" i="6"/>
  <c r="K70" i="6"/>
  <c r="L70" i="6"/>
  <c r="M70" i="6"/>
  <c r="N70" i="6"/>
  <c r="O70" i="6"/>
  <c r="P70" i="6"/>
  <c r="A71" i="6"/>
  <c r="B71" i="6"/>
  <c r="C71" i="6"/>
  <c r="D71" i="6"/>
  <c r="E71" i="6"/>
  <c r="F71" i="6"/>
  <c r="G71" i="6"/>
  <c r="H71" i="6"/>
  <c r="I71" i="6"/>
  <c r="J71" i="6"/>
  <c r="K71" i="6"/>
  <c r="L71" i="6"/>
  <c r="M71" i="6"/>
  <c r="N71" i="6"/>
  <c r="O71" i="6"/>
  <c r="P71" i="6"/>
  <c r="A72" i="6"/>
  <c r="B72" i="6"/>
  <c r="C72" i="6"/>
  <c r="D72" i="6"/>
  <c r="E72" i="6"/>
  <c r="F72" i="6"/>
  <c r="G72" i="6"/>
  <c r="H72" i="6"/>
  <c r="I72" i="6"/>
  <c r="J72" i="6"/>
  <c r="K72" i="6"/>
  <c r="L72" i="6"/>
  <c r="M72" i="6"/>
  <c r="N72" i="6"/>
  <c r="O72" i="6"/>
  <c r="P72" i="6"/>
  <c r="A73" i="6"/>
  <c r="B73" i="6"/>
  <c r="C73" i="6"/>
  <c r="D73" i="6"/>
  <c r="E73" i="6"/>
  <c r="F73" i="6"/>
  <c r="G73" i="6"/>
  <c r="H73" i="6"/>
  <c r="I73" i="6"/>
  <c r="J73" i="6"/>
  <c r="K73" i="6"/>
  <c r="L73" i="6"/>
  <c r="M73" i="6"/>
  <c r="N73" i="6"/>
  <c r="O73" i="6"/>
  <c r="P73" i="6"/>
  <c r="A74" i="6"/>
  <c r="B74" i="6"/>
  <c r="C74" i="6"/>
  <c r="D74" i="6"/>
  <c r="E74" i="6"/>
  <c r="F74" i="6"/>
  <c r="G74" i="6"/>
  <c r="H74" i="6"/>
  <c r="I74" i="6"/>
  <c r="J74" i="6"/>
  <c r="K74" i="6"/>
  <c r="L74" i="6"/>
  <c r="M74" i="6"/>
  <c r="N74" i="6"/>
  <c r="O74" i="6"/>
  <c r="P74" i="6"/>
  <c r="A75" i="6"/>
  <c r="B75" i="6"/>
  <c r="C75" i="6"/>
  <c r="D75" i="6"/>
  <c r="E75" i="6"/>
  <c r="F75" i="6"/>
  <c r="G75" i="6"/>
  <c r="H75" i="6"/>
  <c r="I75" i="6"/>
  <c r="J75" i="6"/>
  <c r="K75" i="6"/>
  <c r="L75" i="6"/>
  <c r="M75" i="6"/>
  <c r="N75" i="6"/>
  <c r="O75" i="6"/>
  <c r="P75" i="6"/>
  <c r="A76" i="6"/>
  <c r="B76" i="6"/>
  <c r="C76" i="6"/>
  <c r="D76" i="6"/>
  <c r="E76" i="6"/>
  <c r="F76" i="6"/>
  <c r="G76" i="6"/>
  <c r="H76" i="6"/>
  <c r="I76" i="6"/>
  <c r="J76" i="6"/>
  <c r="K76" i="6"/>
  <c r="L76" i="6"/>
  <c r="M76" i="6"/>
  <c r="N76" i="6"/>
  <c r="O76" i="6"/>
  <c r="P76" i="6"/>
  <c r="A77" i="6"/>
  <c r="B77" i="6"/>
  <c r="C77" i="6"/>
  <c r="D77" i="6"/>
  <c r="E77" i="6"/>
  <c r="F77" i="6"/>
  <c r="G77" i="6"/>
  <c r="H77" i="6"/>
  <c r="I77" i="6"/>
  <c r="J77" i="6"/>
  <c r="K77" i="6"/>
  <c r="F33" i="6" s="1"/>
  <c r="L77" i="6"/>
  <c r="M77" i="6"/>
  <c r="N77" i="6"/>
  <c r="O77" i="6"/>
  <c r="P77" i="6"/>
  <c r="A78" i="6"/>
  <c r="B78" i="6"/>
  <c r="C78" i="6"/>
  <c r="D78" i="6"/>
  <c r="E78" i="6"/>
  <c r="F78" i="6"/>
  <c r="G78" i="6"/>
  <c r="H78" i="6"/>
  <c r="I78" i="6"/>
  <c r="J78" i="6"/>
  <c r="K78" i="6"/>
  <c r="L78" i="6"/>
  <c r="M78" i="6"/>
  <c r="N78" i="6"/>
  <c r="O78" i="6"/>
  <c r="P78" i="6"/>
  <c r="A79" i="6"/>
  <c r="B79" i="6"/>
  <c r="C79" i="6"/>
  <c r="D79" i="6"/>
  <c r="E79" i="6"/>
  <c r="F79" i="6"/>
  <c r="G79" i="6"/>
  <c r="H79" i="6"/>
  <c r="I79" i="6"/>
  <c r="J79" i="6"/>
  <c r="K79" i="6"/>
  <c r="F35" i="6" s="1"/>
  <c r="L79" i="6"/>
  <c r="M79" i="6"/>
  <c r="N79" i="6"/>
  <c r="O79" i="6"/>
  <c r="P79" i="6"/>
  <c r="A80" i="6"/>
  <c r="B80" i="6"/>
  <c r="C80" i="6"/>
  <c r="D80" i="6"/>
  <c r="E80" i="6"/>
  <c r="F80" i="6"/>
  <c r="G80" i="6"/>
  <c r="B36" i="6" s="1"/>
  <c r="H80" i="6"/>
  <c r="I80" i="6"/>
  <c r="J80" i="6"/>
  <c r="K80" i="6"/>
  <c r="F36" i="6" s="1"/>
  <c r="L80" i="6"/>
  <c r="M80" i="6"/>
  <c r="N80" i="6"/>
  <c r="O80" i="6"/>
  <c r="P80" i="6"/>
  <c r="A81" i="6"/>
  <c r="B81" i="6"/>
  <c r="C81" i="6"/>
  <c r="D81" i="6"/>
  <c r="E81" i="6"/>
  <c r="F81" i="6"/>
  <c r="G81" i="6"/>
  <c r="B37" i="6" s="1"/>
  <c r="H81" i="6"/>
  <c r="I81" i="6"/>
  <c r="J81" i="6"/>
  <c r="K81" i="6"/>
  <c r="F37" i="6" s="1"/>
  <c r="L81" i="6"/>
  <c r="M81" i="6"/>
  <c r="N81" i="6"/>
  <c r="O81" i="6"/>
  <c r="P81" i="6"/>
  <c r="A82" i="6"/>
  <c r="B82" i="6"/>
  <c r="C82" i="6"/>
  <c r="D82" i="6"/>
  <c r="E82" i="6"/>
  <c r="F82" i="6"/>
  <c r="G82" i="6"/>
  <c r="H82" i="6"/>
  <c r="I82" i="6"/>
  <c r="J82" i="6"/>
  <c r="E38" i="6" s="1"/>
  <c r="K82" i="6"/>
  <c r="F38" i="6" s="1"/>
  <c r="L82" i="6"/>
  <c r="M82" i="6"/>
  <c r="N82" i="6"/>
  <c r="O82" i="6"/>
  <c r="P82" i="6"/>
  <c r="D37" i="7"/>
  <c r="D36" i="7"/>
  <c r="B36" i="7"/>
  <c r="F35" i="7"/>
  <c r="D33" i="7"/>
  <c r="C33" i="7"/>
  <c r="F32" i="7"/>
  <c r="D30" i="7"/>
  <c r="B30" i="7"/>
  <c r="F29" i="7"/>
  <c r="E29" i="7"/>
  <c r="D29" i="7"/>
  <c r="F27" i="7"/>
  <c r="D27" i="7"/>
  <c r="B27" i="7"/>
  <c r="F26" i="7"/>
  <c r="D26" i="7"/>
  <c r="D25" i="7"/>
  <c r="F24" i="7"/>
  <c r="D24" i="7"/>
  <c r="F23" i="7"/>
  <c r="E23" i="7"/>
  <c r="D23" i="7"/>
  <c r="D22" i="7"/>
  <c r="F21" i="7"/>
  <c r="D21" i="7"/>
  <c r="F20" i="7"/>
  <c r="D20" i="7"/>
  <c r="B20" i="7"/>
  <c r="F19" i="7"/>
  <c r="D19" i="7"/>
  <c r="F18" i="7"/>
  <c r="D18" i="7"/>
  <c r="F17" i="7"/>
  <c r="D17" i="7"/>
  <c r="F16" i="7"/>
  <c r="D16" i="7"/>
  <c r="F15" i="7"/>
  <c r="D15" i="7"/>
  <c r="F14" i="7"/>
  <c r="D14" i="7"/>
  <c r="B14" i="7"/>
  <c r="F13" i="7"/>
  <c r="E13" i="7"/>
  <c r="D13" i="7"/>
  <c r="F12" i="7"/>
  <c r="D12" i="7"/>
  <c r="F11" i="7"/>
  <c r="D11" i="7"/>
  <c r="B11" i="7"/>
  <c r="F10" i="7"/>
  <c r="D10" i="7"/>
  <c r="F9" i="7"/>
  <c r="D9" i="7"/>
  <c r="D38" i="6"/>
  <c r="C38" i="6"/>
  <c r="B38" i="6"/>
  <c r="E37" i="6"/>
  <c r="D37" i="6"/>
  <c r="C37" i="6"/>
  <c r="E36" i="6"/>
  <c r="D36" i="6"/>
  <c r="C36" i="6"/>
  <c r="E35" i="6"/>
  <c r="D35" i="6"/>
  <c r="C35" i="6"/>
  <c r="B35" i="6"/>
  <c r="F34" i="6"/>
  <c r="E34" i="6"/>
  <c r="D34" i="6"/>
  <c r="C34" i="6"/>
  <c r="B34" i="6"/>
  <c r="E33" i="6"/>
  <c r="D33" i="6"/>
  <c r="C33" i="6"/>
  <c r="B33" i="6"/>
  <c r="F32" i="6"/>
  <c r="E32" i="6"/>
  <c r="D32" i="6"/>
  <c r="C32" i="6"/>
  <c r="B32" i="6"/>
  <c r="F31" i="6"/>
  <c r="E31" i="6"/>
  <c r="D31" i="6"/>
  <c r="C31" i="6"/>
  <c r="B31" i="6"/>
  <c r="F30" i="6"/>
  <c r="E30" i="6"/>
  <c r="D30" i="6"/>
  <c r="C30" i="6"/>
  <c r="B30" i="6"/>
  <c r="F29" i="6"/>
  <c r="E29" i="6"/>
  <c r="D29" i="6"/>
  <c r="C29" i="6"/>
  <c r="B29" i="6"/>
  <c r="F28" i="6"/>
  <c r="E28" i="6"/>
  <c r="D28" i="6"/>
  <c r="C28" i="6"/>
  <c r="B28" i="6"/>
  <c r="F27" i="6"/>
  <c r="E27" i="6"/>
  <c r="D27" i="6"/>
  <c r="C27" i="6"/>
  <c r="B27" i="6"/>
  <c r="F26" i="6"/>
  <c r="E26" i="6"/>
  <c r="D26" i="6"/>
  <c r="C26" i="6"/>
  <c r="B26" i="6"/>
  <c r="F25" i="6"/>
  <c r="E25" i="6"/>
  <c r="D25" i="6"/>
  <c r="C25" i="6"/>
  <c r="B25" i="6"/>
  <c r="F24" i="6"/>
  <c r="E24" i="6"/>
  <c r="D24" i="6"/>
  <c r="C24" i="6"/>
  <c r="B24" i="6"/>
  <c r="F23" i="6"/>
  <c r="E23" i="6"/>
  <c r="D23" i="6"/>
  <c r="C23" i="6"/>
  <c r="B23" i="6"/>
  <c r="F22" i="6"/>
  <c r="E22" i="6"/>
  <c r="D22" i="6"/>
  <c r="C22" i="6"/>
  <c r="B22" i="6"/>
  <c r="F21" i="6"/>
  <c r="E21" i="6"/>
  <c r="D21" i="6"/>
  <c r="C21" i="6"/>
  <c r="B21" i="6"/>
  <c r="F20" i="6"/>
  <c r="E20" i="6"/>
  <c r="D20" i="6"/>
  <c r="C20" i="6"/>
  <c r="B20" i="6"/>
  <c r="F19" i="6"/>
  <c r="E19" i="6"/>
  <c r="D19" i="6"/>
  <c r="C19" i="6"/>
  <c r="B19" i="6"/>
  <c r="F18" i="6"/>
  <c r="E18" i="6"/>
  <c r="D18" i="6"/>
  <c r="C18" i="6"/>
  <c r="B18" i="6"/>
  <c r="F17" i="6"/>
  <c r="E17" i="6"/>
  <c r="D17" i="6"/>
  <c r="C17" i="6"/>
  <c r="B17" i="6"/>
  <c r="F16" i="6"/>
  <c r="E16" i="6"/>
  <c r="D16" i="6"/>
  <c r="C16" i="6"/>
  <c r="B16" i="6"/>
  <c r="F15" i="6"/>
  <c r="E15" i="6"/>
  <c r="D15" i="6"/>
  <c r="C15" i="6"/>
  <c r="B15" i="6"/>
  <c r="F14" i="6"/>
  <c r="E14" i="6"/>
  <c r="D14" i="6"/>
  <c r="C14" i="6"/>
  <c r="B14" i="6"/>
  <c r="F13" i="6"/>
  <c r="E13" i="6"/>
  <c r="D13" i="6"/>
  <c r="C13" i="6"/>
  <c r="B13" i="6"/>
  <c r="F12" i="6"/>
  <c r="E12" i="6"/>
  <c r="D12" i="6"/>
  <c r="C12" i="6"/>
  <c r="B12" i="6"/>
  <c r="F11" i="6"/>
  <c r="E11" i="6"/>
  <c r="D11" i="6"/>
  <c r="C11" i="6"/>
  <c r="B11" i="6"/>
  <c r="F10" i="6"/>
  <c r="E10" i="6"/>
  <c r="D10" i="6"/>
  <c r="C10" i="6"/>
  <c r="B10" i="6"/>
  <c r="F9" i="6"/>
  <c r="E9" i="6"/>
  <c r="D9" i="6"/>
  <c r="C9" i="6"/>
  <c r="B9" i="6"/>
  <c r="E38" i="5"/>
  <c r="D38" i="5"/>
  <c r="C38" i="5"/>
  <c r="B38" i="5"/>
  <c r="E37" i="5"/>
  <c r="D37" i="5"/>
  <c r="C37" i="5"/>
  <c r="B37" i="5"/>
  <c r="E36" i="5"/>
  <c r="D36" i="5"/>
  <c r="C36" i="5"/>
  <c r="B36" i="5"/>
  <c r="E35" i="5"/>
  <c r="D35" i="5"/>
  <c r="C35" i="5"/>
  <c r="B35" i="5"/>
  <c r="E34" i="5"/>
  <c r="D34" i="5"/>
  <c r="C34" i="5"/>
  <c r="B34" i="5"/>
  <c r="E33" i="5"/>
  <c r="D33" i="5"/>
  <c r="C33" i="5"/>
  <c r="B33" i="5"/>
  <c r="E32" i="5"/>
  <c r="D32" i="5"/>
  <c r="C32" i="5"/>
  <c r="B32" i="5"/>
  <c r="E31" i="5"/>
  <c r="D31" i="5"/>
  <c r="C31" i="5"/>
  <c r="B31" i="5"/>
  <c r="E30" i="5"/>
  <c r="D30" i="5"/>
  <c r="C30" i="5"/>
  <c r="B30" i="5"/>
  <c r="E29" i="5"/>
  <c r="D29" i="5"/>
  <c r="C29" i="5"/>
  <c r="B29" i="5"/>
  <c r="E28" i="5"/>
  <c r="D28" i="5"/>
  <c r="C28" i="5"/>
  <c r="B28" i="5"/>
  <c r="E27" i="5"/>
  <c r="D27" i="5"/>
  <c r="C27" i="5"/>
  <c r="B27" i="5"/>
  <c r="E26" i="5"/>
  <c r="D26" i="5"/>
  <c r="C26" i="5"/>
  <c r="B26" i="5"/>
  <c r="E25" i="5"/>
  <c r="D25" i="5"/>
  <c r="C25" i="5"/>
  <c r="B25" i="5"/>
  <c r="E24" i="5"/>
  <c r="D24" i="5"/>
  <c r="C24" i="5"/>
  <c r="E23" i="5"/>
  <c r="D23" i="5"/>
  <c r="C23" i="5"/>
  <c r="B23" i="5"/>
  <c r="E22" i="5"/>
  <c r="D22" i="5"/>
  <c r="C22" i="5"/>
  <c r="B22" i="5"/>
  <c r="E21" i="5"/>
  <c r="D21" i="5"/>
  <c r="C21" i="5"/>
  <c r="B21" i="5"/>
  <c r="E20" i="5"/>
  <c r="D20" i="5"/>
  <c r="C20" i="5"/>
  <c r="B20" i="5"/>
  <c r="E19" i="5"/>
  <c r="D19" i="5"/>
  <c r="C19" i="5"/>
  <c r="B19" i="5"/>
  <c r="E18" i="5"/>
  <c r="D18" i="5"/>
  <c r="C18" i="5"/>
  <c r="B18" i="5"/>
  <c r="E17" i="5"/>
  <c r="D17" i="5"/>
  <c r="C17" i="5"/>
  <c r="B17" i="5"/>
  <c r="E16" i="5"/>
  <c r="D16" i="5"/>
  <c r="C16" i="5"/>
  <c r="B16" i="5"/>
  <c r="E15" i="5"/>
  <c r="D15" i="5"/>
  <c r="C15" i="5"/>
  <c r="B15" i="5"/>
  <c r="E14" i="5"/>
  <c r="D14" i="5"/>
  <c r="C14" i="5"/>
  <c r="B14" i="5"/>
  <c r="E13" i="5"/>
  <c r="D13" i="5"/>
  <c r="C13" i="5"/>
  <c r="B13" i="5"/>
  <c r="E12" i="5"/>
  <c r="D12" i="5"/>
  <c r="C12" i="5"/>
  <c r="B12" i="5"/>
  <c r="E11" i="5"/>
  <c r="D11" i="5"/>
  <c r="C11" i="5"/>
  <c r="B11" i="5"/>
  <c r="E10" i="5"/>
  <c r="D10" i="5"/>
  <c r="C10" i="5"/>
  <c r="B10" i="5"/>
  <c r="E9" i="5"/>
  <c r="D9" i="5"/>
  <c r="C9" i="5"/>
  <c r="B9" i="5"/>
  <c r="I11" i="4"/>
  <c r="H11" i="4"/>
  <c r="G11" i="4"/>
  <c r="F11" i="4"/>
  <c r="R8" i="2"/>
  <c r="R7" i="2"/>
  <c r="R17" i="2"/>
  <c r="R15" i="2"/>
  <c r="W5" i="2"/>
  <c r="H8" i="15"/>
  <c r="G9" i="15"/>
  <c r="H9" i="15" s="1"/>
  <c r="I9" i="15"/>
  <c r="G10" i="15"/>
  <c r="H10" i="15" s="1"/>
  <c r="I10" i="15"/>
  <c r="G11" i="15"/>
  <c r="H11" i="15" s="1"/>
  <c r="I11" i="15"/>
  <c r="G12" i="15"/>
  <c r="H12" i="15" s="1"/>
  <c r="I12" i="15"/>
  <c r="H8" i="14"/>
  <c r="G9" i="14"/>
  <c r="I9" i="14"/>
  <c r="G10" i="14"/>
  <c r="I10" i="14"/>
  <c r="G11" i="14"/>
  <c r="I11" i="14"/>
  <c r="G12" i="14"/>
  <c r="I12" i="14"/>
  <c r="H8" i="13"/>
  <c r="G9" i="13"/>
  <c r="H9" i="13" s="1"/>
  <c r="I9" i="13"/>
  <c r="G10" i="13"/>
  <c r="H10" i="13" s="1"/>
  <c r="I10" i="13"/>
  <c r="G11" i="13"/>
  <c r="I11" i="13"/>
  <c r="G12" i="13"/>
  <c r="I12" i="13"/>
  <c r="M31" i="9"/>
  <c r="M25" i="9"/>
  <c r="F31" i="9"/>
  <c r="F30" i="9"/>
  <c r="F22" i="9"/>
  <c r="F15" i="9"/>
  <c r="F17" i="9" s="1"/>
  <c r="F19" i="9" s="1"/>
  <c r="F21" i="9" s="1"/>
  <c r="F23" i="9" s="1"/>
  <c r="F14" i="9"/>
  <c r="F13" i="9"/>
  <c r="F33" i="8"/>
  <c r="F8" i="7"/>
  <c r="F8" i="6"/>
  <c r="F9" i="4"/>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P5" i="4"/>
  <c r="Q5" i="4" s="1"/>
  <c r="L3" i="8"/>
  <c r="D48"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31" i="2"/>
  <c r="M29" i="2"/>
  <c r="M27" i="2"/>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E3" i="27"/>
  <c r="I9" i="4"/>
  <c r="H9" i="4"/>
  <c r="G9" i="4"/>
  <c r="I7" i="4"/>
  <c r="H7"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36" i="2"/>
  <c r="G7" i="4" l="1"/>
  <c r="F7" i="4"/>
  <c r="H10" i="14"/>
  <c r="J10" i="14" s="1"/>
  <c r="H12" i="14"/>
  <c r="K12" i="14" s="1"/>
  <c r="H11" i="14"/>
  <c r="J11" i="14" s="1"/>
  <c r="H9" i="14"/>
  <c r="J9" i="14" s="1"/>
  <c r="H11" i="13"/>
  <c r="H12" i="13"/>
  <c r="F25" i="9"/>
  <c r="F24" i="9"/>
  <c r="F32" i="9"/>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C8" i="7"/>
  <c r="B8" i="6"/>
  <c r="C8" i="6"/>
  <c r="E8" i="6"/>
  <c r="C25" i="16"/>
  <c r="B20" i="16"/>
  <c r="B19" i="16"/>
  <c r="B18" i="16"/>
  <c r="B15" i="16"/>
  <c r="I15" i="15"/>
  <c r="G15" i="15"/>
  <c r="I14" i="15"/>
  <c r="G14" i="15"/>
  <c r="I13" i="15"/>
  <c r="G13" i="15"/>
  <c r="D25" i="16"/>
  <c r="I15" i="14"/>
  <c r="G15" i="14"/>
  <c r="H15" i="14" s="1"/>
  <c r="I14" i="14"/>
  <c r="G14" i="14"/>
  <c r="C28" i="16" s="1"/>
  <c r="I13" i="14"/>
  <c r="G13" i="14"/>
  <c r="C27" i="16" s="1"/>
  <c r="C26" i="16"/>
  <c r="C23" i="16"/>
  <c r="I15" i="13"/>
  <c r="G15" i="13"/>
  <c r="I14" i="13"/>
  <c r="G14" i="13"/>
  <c r="B28" i="16" s="1"/>
  <c r="I13" i="13"/>
  <c r="G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8" i="5"/>
  <c r="B6" i="5"/>
  <c r="B19" i="4"/>
  <c r="B52" i="4" s="1"/>
  <c r="B14" i="4"/>
  <c r="D114" i="3" a="1"/>
  <c r="D118" i="3" s="1"/>
  <c r="B114" i="3" a="1"/>
  <c r="B118" i="3" s="1"/>
  <c r="D113" i="3"/>
  <c r="B113" i="3"/>
  <c r="B111" i="3"/>
  <c r="B110" i="3"/>
  <c r="H109" i="3"/>
  <c r="G109" i="3"/>
  <c r="C98" i="3"/>
  <c r="C97" i="3"/>
  <c r="C103" i="3" s="1"/>
  <c r="C33" i="3"/>
  <c r="C34" i="3" s="1"/>
  <c r="K32" i="3"/>
  <c r="K31" i="3"/>
  <c r="A16" i="3"/>
  <c r="A17" i="3" s="1"/>
  <c r="A18" i="3" s="1"/>
  <c r="H38" i="2"/>
  <c r="H35" i="2"/>
  <c r="H33" i="2"/>
  <c r="C31" i="2"/>
  <c r="C38" i="2" s="1"/>
  <c r="D38" i="2" s="1"/>
  <c r="C30" i="2"/>
  <c r="D28" i="2" s="1"/>
  <c r="I34" i="5" l="1"/>
  <c r="K10" i="14"/>
  <c r="K9" i="14"/>
  <c r="K11" i="14"/>
  <c r="H13" i="15"/>
  <c r="J13" i="15" s="1"/>
  <c r="K12" i="15"/>
  <c r="H13" i="13"/>
  <c r="K13" i="13" s="1"/>
  <c r="J12" i="13"/>
  <c r="B27" i="16"/>
  <c r="H14" i="13"/>
  <c r="K14" i="13" s="1"/>
  <c r="K9" i="13"/>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6" i="4"/>
  <c r="D47" i="4" s="1"/>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19"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D26" i="2"/>
  <c r="D25" i="2"/>
  <c r="D24" i="2"/>
  <c r="M32" i="9"/>
  <c r="D114" i="3"/>
  <c r="D115" i="3"/>
  <c r="D116" i="3"/>
  <c r="G8" i="7"/>
  <c r="B114" i="3"/>
  <c r="D117" i="3"/>
  <c r="G8" i="5"/>
  <c r="B115" i="3"/>
  <c r="B116" i="3"/>
  <c r="M17" i="9"/>
  <c r="M19" i="9" s="1"/>
  <c r="M21" i="9" s="1"/>
  <c r="M23" i="9" s="1"/>
  <c r="M24" i="9" s="1"/>
  <c r="B117" i="3"/>
  <c r="B25" i="16"/>
  <c r="E25" i="16" s="1"/>
  <c r="I25" i="16" s="1"/>
  <c r="D23" i="16"/>
  <c r="E23" i="16" s="1"/>
  <c r="I23" i="16" s="1"/>
  <c r="D24" i="16"/>
  <c r="C24" i="16"/>
  <c r="K15" i="14"/>
  <c r="J15" i="14"/>
  <c r="F32" i="8" l="1"/>
  <c r="D46" i="4"/>
  <c r="J12" i="15"/>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L11" i="5" s="1"/>
  <c r="B31" i="8" s="1"/>
  <c r="M18" i="7"/>
  <c r="I23" i="5"/>
  <c r="G34" i="5"/>
  <c r="H34" i="5" s="1"/>
  <c r="J34" i="5" s="1"/>
  <c r="M34" i="5"/>
  <c r="G36" i="7"/>
  <c r="L36" i="7" s="1"/>
  <c r="D6" i="8" s="1"/>
  <c r="M23" i="5"/>
  <c r="M27" i="5"/>
  <c r="M19" i="5"/>
  <c r="M15" i="5"/>
  <c r="M13" i="6"/>
  <c r="I11" i="5"/>
  <c r="M11" i="5"/>
  <c r="G26" i="7"/>
  <c r="G35" i="6"/>
  <c r="I27" i="5"/>
  <c r="G13" i="7"/>
  <c r="H13" i="7" s="1"/>
  <c r="J13" i="7" s="1"/>
  <c r="G23" i="5"/>
  <c r="H23" i="5" s="1"/>
  <c r="J23" i="5" s="1"/>
  <c r="I35" i="6"/>
  <c r="G10" i="7"/>
  <c r="G37" i="5"/>
  <c r="M37" i="5"/>
  <c r="M36" i="7"/>
  <c r="G28" i="7"/>
  <c r="M34" i="7"/>
  <c r="G23" i="7"/>
  <c r="M29" i="6"/>
  <c r="I29" i="6"/>
  <c r="I22" i="6"/>
  <c r="G13" i="6"/>
  <c r="M26" i="7"/>
  <c r="M23" i="7"/>
  <c r="G18" i="7"/>
  <c r="G34" i="7"/>
  <c r="M13" i="7"/>
  <c r="M10" i="7"/>
  <c r="M28" i="7"/>
  <c r="G22" i="6"/>
  <c r="M22" i="6"/>
  <c r="G29" i="6"/>
  <c r="I13" i="6"/>
  <c r="M17" i="6"/>
  <c r="G17" i="6"/>
  <c r="L17" i="6" s="1"/>
  <c r="C25" i="8" s="1"/>
  <c r="I17" i="6"/>
  <c r="M35" i="7"/>
  <c r="G35" i="7"/>
  <c r="L35" i="7" s="1"/>
  <c r="D7" i="8" s="1"/>
  <c r="M11" i="7"/>
  <c r="G11" i="7"/>
  <c r="L11" i="7" s="1"/>
  <c r="D31" i="8" s="1"/>
  <c r="K10" i="13"/>
  <c r="J10" i="13"/>
  <c r="M17" i="7"/>
  <c r="G17" i="7"/>
  <c r="L17" i="7" s="1"/>
  <c r="D25" i="8" s="1"/>
  <c r="M17" i="5"/>
  <c r="G17" i="5"/>
  <c r="L17" i="5" s="1"/>
  <c r="I17" i="5"/>
  <c r="G11" i="6"/>
  <c r="L11" i="6" s="1"/>
  <c r="C31" i="8" s="1"/>
  <c r="M11" i="6"/>
  <c r="I11" i="6"/>
  <c r="G19" i="5"/>
  <c r="L19" i="5" s="1"/>
  <c r="B23" i="8" s="1"/>
  <c r="M29" i="7"/>
  <c r="G29" i="7"/>
  <c r="L29" i="7" s="1"/>
  <c r="D13" i="8" s="1"/>
  <c r="M33" i="7"/>
  <c r="G33" i="7"/>
  <c r="L33" i="7" s="1"/>
  <c r="D9" i="8" s="1"/>
  <c r="I22" i="5"/>
  <c r="G22" i="5"/>
  <c r="L22" i="5" s="1"/>
  <c r="B20" i="8" s="1"/>
  <c r="M22" i="5"/>
  <c r="M33" i="5"/>
  <c r="I33" i="5"/>
  <c r="G33" i="5"/>
  <c r="L33" i="5" s="1"/>
  <c r="B9" i="8" s="1"/>
  <c r="M10" i="6"/>
  <c r="I10" i="6"/>
  <c r="G10" i="6"/>
  <c r="L10" i="6" s="1"/>
  <c r="C32" i="8" s="1"/>
  <c r="I19" i="5"/>
  <c r="I26" i="5"/>
  <c r="G26" i="5"/>
  <c r="L26" i="5" s="1"/>
  <c r="B16" i="8" s="1"/>
  <c r="M26" i="5"/>
  <c r="M31" i="5"/>
  <c r="I31" i="5"/>
  <c r="G31" i="5"/>
  <c r="L31" i="5" s="1"/>
  <c r="B11" i="8" s="1"/>
  <c r="M28" i="5"/>
  <c r="G28" i="5"/>
  <c r="L28" i="5" s="1"/>
  <c r="B14" i="8" s="1"/>
  <c r="I28" i="5"/>
  <c r="M13" i="5"/>
  <c r="G13" i="5"/>
  <c r="L13" i="5" s="1"/>
  <c r="B29" i="8" s="1"/>
  <c r="I13" i="5"/>
  <c r="G16" i="7"/>
  <c r="L16" i="7" s="1"/>
  <c r="D26" i="8" s="1"/>
  <c r="M16" i="7"/>
  <c r="I18" i="5"/>
  <c r="G18" i="5"/>
  <c r="L18" i="5" s="1"/>
  <c r="B24" i="8" s="1"/>
  <c r="M18" i="5"/>
  <c r="M16" i="6"/>
  <c r="I16" i="6"/>
  <c r="G16" i="6"/>
  <c r="L16" i="6" s="1"/>
  <c r="C26" i="8" s="1"/>
  <c r="M21" i="5"/>
  <c r="G21" i="5"/>
  <c r="L21" i="5" s="1"/>
  <c r="B21" i="8" s="1"/>
  <c r="I21" i="5"/>
  <c r="I15" i="6"/>
  <c r="G15" i="6"/>
  <c r="L15" i="6" s="1"/>
  <c r="C27" i="8" s="1"/>
  <c r="M15" i="6"/>
  <c r="J11" i="13"/>
  <c r="K11" i="13"/>
  <c r="M20" i="7"/>
  <c r="G20" i="7"/>
  <c r="L20" i="7" s="1"/>
  <c r="D22" i="8" s="1"/>
  <c r="I14" i="5"/>
  <c r="G14" i="5"/>
  <c r="L14" i="5" s="1"/>
  <c r="B28" i="8" s="1"/>
  <c r="M14" i="5"/>
  <c r="M32" i="6"/>
  <c r="I32" i="6"/>
  <c r="G32" i="6"/>
  <c r="L32" i="6" s="1"/>
  <c r="C10" i="8" s="1"/>
  <c r="G12" i="7"/>
  <c r="L12" i="7" s="1"/>
  <c r="D30" i="8" s="1"/>
  <c r="M12" i="7"/>
  <c r="G32" i="7"/>
  <c r="L32" i="7" s="1"/>
  <c r="D10" i="8" s="1"/>
  <c r="M32" i="7"/>
  <c r="M9" i="5"/>
  <c r="G9" i="5"/>
  <c r="L9" i="5" s="1"/>
  <c r="B33" i="8" s="1"/>
  <c r="I9" i="5"/>
  <c r="I10" i="5"/>
  <c r="G10" i="5"/>
  <c r="L10" i="5" s="1"/>
  <c r="B32" i="8" s="1"/>
  <c r="M10" i="5"/>
  <c r="I38" i="6"/>
  <c r="G38" i="6"/>
  <c r="M38" i="6"/>
  <c r="M9" i="6"/>
  <c r="I9" i="6"/>
  <c r="G9" i="6"/>
  <c r="L9" i="6" s="1"/>
  <c r="C33" i="8" s="1"/>
  <c r="G22" i="7"/>
  <c r="L22" i="7" s="1"/>
  <c r="D20" i="8" s="1"/>
  <c r="M22" i="7"/>
  <c r="I37" i="5"/>
  <c r="G36" i="6"/>
  <c r="L36" i="6" s="1"/>
  <c r="C6" i="8" s="1"/>
  <c r="M36" i="6"/>
  <c r="I36" i="6"/>
  <c r="M25" i="6"/>
  <c r="I25" i="6"/>
  <c r="G25" i="6"/>
  <c r="L25" i="6" s="1"/>
  <c r="C17" i="8" s="1"/>
  <c r="G15" i="5"/>
  <c r="L15" i="5" s="1"/>
  <c r="B27" i="8" s="1"/>
  <c r="M14" i="6"/>
  <c r="I14" i="6"/>
  <c r="G14" i="6"/>
  <c r="L14" i="6" s="1"/>
  <c r="C28" i="8" s="1"/>
  <c r="I15" i="5"/>
  <c r="G30" i="5"/>
  <c r="L30" i="5" s="1"/>
  <c r="B12" i="8" s="1"/>
  <c r="M19" i="7"/>
  <c r="G19" i="7"/>
  <c r="L19" i="7" s="1"/>
  <c r="D23" i="8" s="1"/>
  <c r="M19" i="6"/>
  <c r="I19" i="6"/>
  <c r="G19" i="6"/>
  <c r="L19" i="6" s="1"/>
  <c r="C23" i="8" s="1"/>
  <c r="M33" i="6"/>
  <c r="G33" i="6"/>
  <c r="L33" i="6" s="1"/>
  <c r="C9" i="8" s="1"/>
  <c r="I33" i="6"/>
  <c r="K10" i="15"/>
  <c r="J10" i="15"/>
  <c r="G9" i="7"/>
  <c r="L9" i="7" s="1"/>
  <c r="D33" i="8" s="1"/>
  <c r="M9" i="7"/>
  <c r="I29" i="5"/>
  <c r="G29" i="5"/>
  <c r="L29" i="5" s="1"/>
  <c r="B13" i="8" s="1"/>
  <c r="M29" i="5"/>
  <c r="I31" i="6"/>
  <c r="G31" i="6"/>
  <c r="L31" i="6" s="1"/>
  <c r="C11" i="8" s="1"/>
  <c r="M31" i="6"/>
  <c r="M28" i="6"/>
  <c r="I28" i="6"/>
  <c r="G28" i="6"/>
  <c r="L28" i="6" s="1"/>
  <c r="C14" i="8" s="1"/>
  <c r="I30" i="5"/>
  <c r="M24" i="5"/>
  <c r="I24" i="5"/>
  <c r="G24" i="5"/>
  <c r="L24" i="5" s="1"/>
  <c r="B18" i="8" s="1"/>
  <c r="G38" i="7"/>
  <c r="M38" i="7"/>
  <c r="M12" i="6"/>
  <c r="I12" i="6"/>
  <c r="G12" i="6"/>
  <c r="L12" i="6" s="1"/>
  <c r="C30" i="8" s="1"/>
  <c r="M20" i="5"/>
  <c r="I20" i="5"/>
  <c r="G20" i="5"/>
  <c r="L20" i="5" s="1"/>
  <c r="B22" i="8" s="1"/>
  <c r="G25" i="7"/>
  <c r="L25" i="7" s="1"/>
  <c r="D17" i="8" s="1"/>
  <c r="M25" i="7"/>
  <c r="M30" i="6"/>
  <c r="I30" i="6"/>
  <c r="G30" i="6"/>
  <c r="L30" i="6" s="1"/>
  <c r="C12" i="8" s="1"/>
  <c r="M37" i="6"/>
  <c r="I37" i="6"/>
  <c r="G37" i="6"/>
  <c r="C36" i="3"/>
  <c r="M27" i="7"/>
  <c r="G27" i="7"/>
  <c r="L27" i="7" s="1"/>
  <c r="D15" i="8" s="1"/>
  <c r="M36" i="5"/>
  <c r="I36" i="5"/>
  <c r="G36" i="5"/>
  <c r="L36" i="5" s="1"/>
  <c r="B6" i="8" s="1"/>
  <c r="G14" i="7"/>
  <c r="L14" i="7" s="1"/>
  <c r="D28" i="8" s="1"/>
  <c r="M14" i="7"/>
  <c r="I32" i="5"/>
  <c r="G32" i="5"/>
  <c r="L32" i="5" s="1"/>
  <c r="B10" i="8" s="1"/>
  <c r="M32" i="5"/>
  <c r="M15" i="7"/>
  <c r="G15" i="7"/>
  <c r="L15" i="7" s="1"/>
  <c r="D27" i="8" s="1"/>
  <c r="G27" i="6"/>
  <c r="L27" i="6" s="1"/>
  <c r="C15" i="8" s="1"/>
  <c r="M27" i="6"/>
  <c r="I27" i="6"/>
  <c r="I18" i="6"/>
  <c r="G18" i="6"/>
  <c r="L18" i="6" s="1"/>
  <c r="C24" i="8" s="1"/>
  <c r="M18" i="6"/>
  <c r="M16" i="5"/>
  <c r="I16" i="5"/>
  <c r="G16" i="5"/>
  <c r="L16" i="5" s="1"/>
  <c r="B26" i="8" s="1"/>
  <c r="M30" i="7"/>
  <c r="G30" i="7"/>
  <c r="L30" i="7" s="1"/>
  <c r="D12" i="8" s="1"/>
  <c r="M31" i="7"/>
  <c r="G31" i="7"/>
  <c r="L31" i="7" s="1"/>
  <c r="D11" i="8" s="1"/>
  <c r="M26" i="6"/>
  <c r="I26" i="6"/>
  <c r="G26" i="6"/>
  <c r="L26" i="6" s="1"/>
  <c r="C16" i="8" s="1"/>
  <c r="I34" i="6"/>
  <c r="G34" i="6"/>
  <c r="L34" i="6" s="1"/>
  <c r="C8" i="8" s="1"/>
  <c r="M34" i="6"/>
  <c r="G27" i="5"/>
  <c r="L27" i="5" s="1"/>
  <c r="B15" i="8" s="1"/>
  <c r="M21" i="7"/>
  <c r="G21" i="7"/>
  <c r="L21" i="7" s="1"/>
  <c r="D21" i="8" s="1"/>
  <c r="I21" i="6"/>
  <c r="G21" i="6"/>
  <c r="L21" i="6" s="1"/>
  <c r="C21" i="8" s="1"/>
  <c r="M21" i="6"/>
  <c r="M24" i="7"/>
  <c r="G24" i="7"/>
  <c r="L24" i="7" s="1"/>
  <c r="D18" i="8" s="1"/>
  <c r="M38" i="5"/>
  <c r="G38" i="5"/>
  <c r="I38" i="5"/>
  <c r="M23" i="6"/>
  <c r="I23" i="6"/>
  <c r="G23" i="6"/>
  <c r="L23" i="6" s="1"/>
  <c r="C19" i="8" s="1"/>
  <c r="M12" i="5"/>
  <c r="I12" i="5"/>
  <c r="G12" i="5"/>
  <c r="L12" i="5" s="1"/>
  <c r="B30" i="8" s="1"/>
  <c r="M25" i="5"/>
  <c r="I25" i="5"/>
  <c r="G25" i="5"/>
  <c r="L25" i="5" s="1"/>
  <c r="B17" i="8" s="1"/>
  <c r="G35" i="5"/>
  <c r="L35" i="5" s="1"/>
  <c r="B7" i="8" s="1"/>
  <c r="M35" i="5"/>
  <c r="I35" i="5"/>
  <c r="G37" i="7"/>
  <c r="M37" i="7"/>
  <c r="M20" i="6"/>
  <c r="I20" i="6"/>
  <c r="G20" i="6"/>
  <c r="L20" i="6" s="1"/>
  <c r="C22" i="8" s="1"/>
  <c r="G24" i="6"/>
  <c r="L24" i="6" s="1"/>
  <c r="C18" i="8" s="1"/>
  <c r="M24" i="6"/>
  <c r="I24" i="6"/>
  <c r="E31" i="8" l="1"/>
  <c r="E33" i="8"/>
  <c r="E26" i="8"/>
  <c r="E28" i="8"/>
  <c r="B25" i="8"/>
  <c r="E25" i="8" s="1"/>
  <c r="E27" i="8"/>
  <c r="E30" i="8"/>
  <c r="F31" i="8"/>
  <c r="D45" i="4"/>
  <c r="F30" i="8" s="1"/>
  <c r="H36" i="7"/>
  <c r="J36" i="7" s="1"/>
  <c r="I36" i="7"/>
  <c r="K36" i="7"/>
  <c r="K11" i="5"/>
  <c r="K13" i="7"/>
  <c r="G5" i="8"/>
  <c r="H5" i="8" s="1"/>
  <c r="K37" i="5"/>
  <c r="L37" i="5"/>
  <c r="B5" i="8" s="1"/>
  <c r="L38" i="5"/>
  <c r="B4" i="8" s="1"/>
  <c r="L34" i="5"/>
  <c r="K23" i="5"/>
  <c r="L23" i="5"/>
  <c r="B19" i="8" s="1"/>
  <c r="H11" i="5"/>
  <c r="J11" i="5" s="1"/>
  <c r="K34" i="5"/>
  <c r="L22" i="6"/>
  <c r="C20" i="8" s="1"/>
  <c r="G4" i="8"/>
  <c r="H4" i="8" s="1"/>
  <c r="I28" i="7"/>
  <c r="L28" i="7"/>
  <c r="D14" i="8" s="1"/>
  <c r="L38" i="6"/>
  <c r="C4" i="8" s="1"/>
  <c r="L10" i="7"/>
  <c r="D32" i="8" s="1"/>
  <c r="E32" i="8" s="1"/>
  <c r="K34" i="7"/>
  <c r="L34" i="7"/>
  <c r="D8" i="8" s="1"/>
  <c r="K29" i="6"/>
  <c r="L29" i="6"/>
  <c r="C13" i="8" s="1"/>
  <c r="H18" i="7"/>
  <c r="J18" i="7" s="1"/>
  <c r="L18" i="7"/>
  <c r="D24" i="8" s="1"/>
  <c r="L38" i="7"/>
  <c r="D4" i="8" s="1"/>
  <c r="I13" i="7"/>
  <c r="L13" i="7"/>
  <c r="D29" i="8" s="1"/>
  <c r="K13" i="6"/>
  <c r="L13" i="6"/>
  <c r="C29" i="8" s="1"/>
  <c r="L35" i="6"/>
  <c r="C7" i="8" s="1"/>
  <c r="L26" i="7"/>
  <c r="D16" i="8" s="1"/>
  <c r="L37" i="6"/>
  <c r="C5" i="8" s="1"/>
  <c r="L37" i="7"/>
  <c r="D5" i="8" s="1"/>
  <c r="I23" i="7"/>
  <c r="L23" i="7"/>
  <c r="D19" i="8" s="1"/>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29" i="8" l="1"/>
  <c r="B8" i="8"/>
  <c r="E8" i="8" s="1"/>
  <c r="E19" i="8"/>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0" i="4" l="1"/>
  <c r="C52" i="4" s="1"/>
  <c r="D44" i="4" l="1"/>
  <c r="C20" i="4"/>
  <c r="B21" i="4"/>
  <c r="D52" i="4" l="1"/>
  <c r="C21" i="4"/>
  <c r="F29" i="8"/>
  <c r="D43" i="4"/>
  <c r="B22" i="4"/>
  <c r="F28" i="8" l="1"/>
  <c r="D42" i="4"/>
  <c r="E52" i="4"/>
  <c r="C22" i="4"/>
  <c r="B23" i="4"/>
  <c r="F52" i="4" l="1"/>
  <c r="C23" i="4"/>
  <c r="D41" i="4"/>
  <c r="F27" i="8"/>
  <c r="B24" i="4"/>
  <c r="G52" i="4" l="1"/>
  <c r="C24" i="4"/>
  <c r="D40" i="4"/>
  <c r="F26" i="8"/>
  <c r="B25" i="4"/>
  <c r="D39" i="4" l="1"/>
  <c r="F25" i="8"/>
  <c r="H52" i="4"/>
  <c r="B26" i="4"/>
  <c r="C25" i="4"/>
  <c r="C26" i="4" l="1"/>
  <c r="I52" i="4"/>
  <c r="B27" i="4"/>
  <c r="F24" i="8"/>
  <c r="D38" i="4"/>
  <c r="D37" i="4" s="1"/>
  <c r="D36" i="4" s="1"/>
  <c r="D35" i="4" s="1"/>
  <c r="D34" i="4" s="1"/>
  <c r="D33" i="4" s="1"/>
  <c r="D32" i="4" s="1"/>
  <c r="D31" i="4" s="1"/>
  <c r="D30" i="4" s="1"/>
  <c r="D29" i="4" s="1"/>
  <c r="D28" i="4" s="1"/>
  <c r="D27" i="4" s="1"/>
  <c r="D26" i="4" s="1"/>
  <c r="D25" i="4" s="1"/>
  <c r="D24" i="4" s="1"/>
  <c r="D23" i="4" s="1"/>
  <c r="B28" i="4" l="1"/>
  <c r="C27" i="4"/>
  <c r="J52" i="4"/>
  <c r="B29" i="4" l="1"/>
  <c r="C28" i="4"/>
  <c r="K52" i="4"/>
  <c r="B30" i="4" l="1"/>
  <c r="C29" i="4"/>
  <c r="L52" i="4"/>
  <c r="B31" i="4" l="1"/>
  <c r="C30" i="4"/>
  <c r="M52" i="4"/>
  <c r="B32" i="4" l="1"/>
  <c r="C31" i="4"/>
  <c r="N52" i="4"/>
  <c r="B33" i="4" l="1"/>
  <c r="C32" i="4"/>
  <c r="O52" i="4"/>
  <c r="B34" i="4" l="1"/>
  <c r="C33" i="4"/>
  <c r="P52" i="4"/>
  <c r="B35" i="4" l="1"/>
  <c r="C34" i="4"/>
  <c r="Q52" i="4"/>
  <c r="F23" i="8"/>
  <c r="F22" i="8"/>
  <c r="F21" i="8"/>
  <c r="F20" i="8"/>
  <c r="F19" i="8"/>
  <c r="F18" i="8"/>
  <c r="F17" i="8"/>
  <c r="F16" i="8"/>
  <c r="F15" i="8"/>
  <c r="F14" i="8"/>
  <c r="F13" i="8"/>
  <c r="F12" i="8"/>
  <c r="F11" i="8"/>
  <c r="F10" i="8"/>
  <c r="B36" i="4" l="1"/>
  <c r="C35" i="4"/>
  <c r="R52" i="4"/>
  <c r="F8" i="8"/>
  <c r="D22" i="4"/>
  <c r="F9" i="8"/>
  <c r="B37" i="4" l="1"/>
  <c r="C36" i="4"/>
  <c r="S52" i="4"/>
  <c r="F7" i="8"/>
  <c r="D21" i="4"/>
  <c r="B38" i="4" l="1"/>
  <c r="C37" i="4"/>
  <c r="T52" i="4"/>
  <c r="F6" i="8"/>
  <c r="D20" i="4"/>
  <c r="C38" i="4" l="1"/>
  <c r="U52" i="4"/>
  <c r="B39" i="4"/>
  <c r="F5" i="8"/>
  <c r="D19" i="4"/>
  <c r="F4" i="8" s="1"/>
  <c r="M21" i="8"/>
  <c r="M7" i="8"/>
  <c r="M15" i="8"/>
  <c r="M29" i="8"/>
  <c r="M12" i="8"/>
  <c r="M4" i="8"/>
  <c r="M28" i="8"/>
  <c r="M8" i="8"/>
  <c r="M10" i="8"/>
  <c r="M11" i="8"/>
  <c r="M24" i="8"/>
  <c r="M20" i="8"/>
  <c r="M30" i="8"/>
  <c r="M14" i="8"/>
  <c r="M17" i="8"/>
  <c r="M26" i="8"/>
  <c r="M9" i="8"/>
  <c r="M6" i="8"/>
  <c r="M13" i="8"/>
  <c r="M16" i="8"/>
  <c r="M19" i="8"/>
  <c r="M25" i="8"/>
  <c r="M5" i="8"/>
  <c r="M22" i="8"/>
  <c r="M18" i="8"/>
  <c r="M27" i="8"/>
  <c r="M23" i="8"/>
  <c r="C39" i="4" l="1"/>
  <c r="V52" i="4"/>
  <c r="B40" i="4"/>
  <c r="B13" i="10"/>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28" i="10"/>
  <c r="G28" i="10"/>
  <c r="D23" i="10"/>
  <c r="D29" i="10"/>
  <c r="D33" i="10"/>
  <c r="D31" i="10"/>
  <c r="D13" i="10"/>
  <c r="D22" i="10"/>
  <c r="G29" i="10"/>
  <c r="D32" i="10"/>
  <c r="D9" i="10"/>
  <c r="D30" i="10"/>
  <c r="D24" i="10"/>
  <c r="G27" i="10"/>
  <c r="D6" i="10"/>
  <c r="D20" i="10"/>
  <c r="D12" i="10"/>
  <c r="D8" i="10"/>
  <c r="D21" i="10"/>
  <c r="D11" i="10"/>
  <c r="D17" i="10"/>
  <c r="D18" i="10"/>
  <c r="D10" i="10"/>
  <c r="D34" i="10"/>
  <c r="D27" i="10"/>
  <c r="D25" i="10"/>
  <c r="D7" i="10"/>
  <c r="D16" i="10"/>
  <c r="D14" i="10"/>
  <c r="D15" i="10"/>
  <c r="D26" i="10"/>
  <c r="D19" i="10"/>
  <c r="D5" i="10"/>
  <c r="W52" i="4" l="1"/>
  <c r="C40" i="4"/>
  <c r="B41" i="4"/>
  <c r="AC22" i="10"/>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 r="X52" i="4" l="1"/>
  <c r="C41" i="4"/>
  <c r="B42" i="4"/>
  <c r="C42" i="4" l="1"/>
  <c r="Y52" i="4"/>
  <c r="B43" i="4"/>
  <c r="C43" i="4" l="1"/>
  <c r="Z52" i="4"/>
  <c r="B44" i="4"/>
  <c r="C44" i="4" l="1"/>
  <c r="AA52" i="4"/>
  <c r="B45" i="4"/>
  <c r="C45" i="4" l="1"/>
  <c r="AB52" i="4"/>
  <c r="B46" i="4"/>
  <c r="B47" i="4" l="1"/>
  <c r="C46" i="4"/>
  <c r="AC52" i="4"/>
  <c r="C47" i="4" l="1"/>
  <c r="AD52" i="4"/>
  <c r="B48" i="4"/>
  <c r="C48" i="4" l="1"/>
  <c r="AE52" i="4"/>
</calcChain>
</file>

<file path=xl/sharedStrings.xml><?xml version="1.0" encoding="utf-8"?>
<sst xmlns="http://schemas.openxmlformats.org/spreadsheetml/2006/main" count="1674" uniqueCount="413">
  <si>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</si>
  <si>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</si>
  <si>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</si>
  <si>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</si>
  <si>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</si>
  <si>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</si>
  <si>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</si>
  <si>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</si>
  <si>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</si>
  <si>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</si>
  <si>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</si>
  <si>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</si>
  <si>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</si>
  <si>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</si>
  <si>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</si>
  <si>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</si>
  <si>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</si>
  <si>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</si>
  <si>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</si>
  <si>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</si>
  <si>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Analysis using Bottle Samples and RM8632a</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</si>
  <si>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</si>
  <si>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</si>
  <si>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</si>
  <si>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</si>
  <si>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</si>
  <si>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</si>
  <si>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</si>
  <si>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</si>
  <si>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</si>
  <si>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</si>
  <si>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</si>
  <si>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</si>
  <si>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</si>
  <si>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</si>
  <si>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</si>
  <si>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</si>
  <si>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</si>
  <si>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</si>
  <si>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</si>
  <si>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</si>
  <si>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</si>
  <si>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</si>
  <si>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</si>
  <si>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</si>
  <si>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MIL5606 Fluid</t>
  </si>
  <si>
    <t>Portion 5</t>
  </si>
  <si>
    <t>Temperature</t>
  </si>
  <si>
    <t>40'C</t>
  </si>
  <si>
    <t>10ml Weight</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</si>
  <si>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</si>
  <si>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</si>
  <si>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</si>
  <si>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</si>
  <si>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</si>
  <si>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</si>
  <si>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</si>
  <si>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</si>
  <si>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</si>
  <si>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</si>
  <si>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</si>
  <si>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</si>
  <si>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</si>
  <si>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</si>
  <si>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</si>
  <si>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</si>
  <si>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</si>
  <si>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</si>
  <si>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</si>
  <si>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</si>
  <si>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</si>
  <si>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</si>
  <si>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</si>
  <si>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</si>
  <si>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</si>
  <si>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</si>
  <si>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</si>
  <si>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</si>
  <si>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</si>
  <si>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</si>
  <si>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</si>
  <si>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</si>
  <si>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</si>
  <si>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</si>
  <si>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</si>
  <si>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</si>
  <si>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</si>
  <si>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</si>
  <si>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</si>
  <si>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</si>
  <si>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</si>
  <si>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</si>
  <si>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</si>
  <si>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</si>
  <si>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</si>
  <si>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</si>
  <si>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</si>
  <si>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</si>
  <si>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</si>
  <si>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</si>
  <si>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</si>
  <si>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</si>
  <si>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</si>
  <si>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</si>
  <si>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</si>
  <si>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</si>
  <si>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</si>
  <si>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</si>
  <si>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</si>
  <si>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</si>
  <si>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</si>
  <si>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</si>
  <si>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</si>
  <si>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</si>
  <si>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</si>
  <si>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</si>
  <si>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</si>
  <si>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</si>
  <si>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</si>
  <si>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</si>
  <si>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</si>
  <si>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</si>
  <si>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</si>
  <si>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</si>
  <si>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</si>
  <si>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</si>
  <si>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</si>
  <si>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</si>
  <si>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</si>
  <si>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</si>
  <si>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</si>
  <si>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</si>
  <si>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</si>
  <si>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</si>
  <si>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</si>
  <si>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</si>
  <si>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</si>
  <si>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</si>
  <si>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</si>
  <si>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</si>
  <si>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</si>
  <si>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</si>
  <si>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</si>
  <si>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</si>
  <si>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</si>
  <si>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</si>
  <si>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</si>
  <si>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</si>
  <si>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</si>
  <si>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</si>
  <si>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</si>
  <si>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</si>
  <si>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</si>
  <si>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</si>
  <si>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</si>
  <si>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</si>
  <si>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</si>
  <si>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</si>
  <si>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</si>
  <si>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</si>
  <si>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</si>
  <si>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</si>
  <si>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</si>
  <si>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</si>
  <si>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</si>
  <si>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</si>
  <si>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</si>
  <si>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</si>
  <si>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</si>
  <si>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</si>
  <si>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</si>
  <si>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</si>
  <si>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</si>
  <si>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</si>
  <si>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</si>
  <si>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</si>
  <si>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</si>
  <si>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</si>
  <si>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</si>
  <si>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</si>
  <si>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</si>
  <si>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</si>
  <si>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</si>
  <si>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</si>
  <si>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</si>
  <si>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</si>
  <si>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</si>
  <si>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</si>
  <si>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</si>
  <si>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</si>
  <si>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</si>
  <si>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</si>
  <si>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</si>
  <si>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</si>
  <si>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</si>
  <si>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</si>
  <si>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</si>
  <si>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</si>
  <si>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</si>
  <si>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</si>
  <si>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</si>
  <si>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</si>
  <si>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</si>
  <si>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</si>
  <si>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</si>
  <si>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</si>
  <si>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</si>
  <si>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</si>
  <si>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</si>
  <si>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</si>
  <si>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</si>
  <si>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</si>
  <si>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</si>
  <si>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</si>
  <si>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</si>
  <si>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</si>
  <si>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</si>
  <si>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</si>
  <si>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</si>
  <si>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</si>
  <si>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</si>
  <si>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</si>
  <si>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</si>
  <si>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</si>
  <si>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</si>
  <si>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</si>
  <si>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</si>
  <si>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</si>
  <si>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</si>
  <si>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</si>
  <si>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</si>
  <si>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</si>
  <si>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</si>
  <si>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</si>
  <si>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</si>
  <si>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</si>
  <si>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</si>
  <si>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</si>
  <si>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</si>
  <si>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</si>
  <si>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</si>
  <si>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</si>
  <si>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</si>
  <si>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</si>
  <si>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</si>
  <si>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</si>
  <si>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</si>
  <si>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</si>
  <si>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</si>
  <si>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</si>
  <si>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</si>
  <si>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</si>
  <si>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</si>
  <si>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</si>
  <si>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</si>
  <si>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</si>
  <si>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</si>
  <si>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</si>
  <si>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</si>
  <si>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</si>
  <si>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</si>
  <si>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</si>
  <si>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</si>
  <si>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</si>
  <si>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</si>
  <si>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</si>
  <si>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</si>
  <si>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</si>
  <si>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Partistan 34D</t>
  </si>
  <si>
    <t>#00009</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</si>
  <si>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</si>
  <si>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</si>
  <si>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</si>
  <si>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</si>
  <si>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</si>
  <si>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</si>
  <si>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</si>
  <si>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</si>
  <si>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</si>
  <si>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</si>
  <si>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</si>
  <si>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</si>
  <si>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</si>
  <si>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</si>
  <si>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</si>
  <si>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</si>
  <si>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</si>
  <si>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</si>
  <si>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</si>
  <si>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</si>
  <si>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</si>
  <si>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</si>
  <si>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</si>
  <si>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</si>
  <si>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</si>
  <si>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</si>
  <si>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</si>
  <si>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After 110ml</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</si>
  <si>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</si>
  <si>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</si>
  <si>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</si>
  <si>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</si>
  <si>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</si>
  <si>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</si>
  <si>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</si>
  <si>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</si>
  <si>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</si>
  <si>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</si>
  <si>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</si>
  <si>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</si>
  <si>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</si>
  <si>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</si>
  <si>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</si>
  <si>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</si>
  <si>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</si>
  <si>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</si>
  <si>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</si>
  <si>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</si>
  <si>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</si>
  <si>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</si>
  <si>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</si>
  <si>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</si>
  <si>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</si>
  <si>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</si>
  <si>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</si>
  <si>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</si>
  <si>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</si>
  <si>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</si>
  <si>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</si>
  <si>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</si>
  <si>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</si>
  <si>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</si>
  <si>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</si>
  <si>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</si>
  <si>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</si>
  <si>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</si>
  <si>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</si>
  <si>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</si>
  <si>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</si>
  <si>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</si>
  <si>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</si>
  <si>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</si>
  <si>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</si>
  <si>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</si>
  <si>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</si>
  <si>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</si>
  <si>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</si>
  <si>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</si>
  <si>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</si>
  <si>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</si>
  <si>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</si>
  <si>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</si>
  <si>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</si>
  <si>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</si>
  <si>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</si>
  <si>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</si>
  <si>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</si>
  <si>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AVERAGE 6um count/ml</t>
  </si>
  <si>
    <t>Expected 6um count/ml</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</si>
  <si>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</si>
  <si>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</si>
  <si>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</si>
  <si>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</si>
  <si>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</si>
  <si>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</si>
  <si>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</si>
  <si>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</si>
  <si>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</si>
  <si>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</si>
  <si>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</si>
  <si>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</si>
  <si>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</si>
  <si>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</si>
  <si>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</si>
  <si>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</si>
  <si>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</si>
  <si>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</si>
  <si>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</si>
  <si>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</si>
  <si>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</si>
  <si>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</si>
  <si>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</si>
  <si>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</si>
  <si>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</si>
  <si>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</si>
  <si>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</si>
  <si>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</si>
  <si>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</si>
  <si>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</si>
  <si>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</si>
  <si>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</si>
  <si>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</si>
  <si>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</si>
  <si>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</si>
  <si>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</si>
  <si>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</si>
  <si>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</si>
  <si>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</si>
  <si>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</si>
  <si>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</si>
  <si>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</si>
  <si>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</si>
  <si>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</si>
  <si>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</si>
  <si>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</si>
  <si>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</si>
  <si>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</si>
  <si>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</si>
  <si>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</si>
  <si>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</si>
  <si>
    <t>LPA4</t>
  </si>
  <si>
    <t>37D</t>
  </si>
  <si>
    <t>RAW CSV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</si>
</sst>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2"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i/>
      <sz val="10"/>
      <color rgb="FF808080"/>
      <name val="Arial"/>
      <family val="2"/>
    </font>
    <font>
      <b/>
      <i/>
      <sz val="10"/>
      <color rgb="FF80808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21" fillId="2" borderId="0" applyBorder="0" applyAlignment="0" applyProtection="0"/>
    <xf numFmtId="0" fontId="1" fillId="8" borderId="0" applyNumberFormat="0" applyBorder="0" applyAlignment="0" applyProtection="0"/>
    <xf numFmtId="0" fontId="25" fillId="0" borderId="0"/>
    <xf numFmtId="9" fontId="24" fillId="0" borderId="0" applyFont="0" applyFill="0" applyBorder="0" applyAlignment="0" applyProtection="0"/>
    <xf numFmtId="43" fontId="24" fillId="0" borderId="0" applyFont="0" applyFill="0" applyBorder="0" applyAlignment="0" applyProtection="0"/>
    <xf numFmtId="0" fontId="41" fillId="14" borderId="24" applyNumberFormat="0" applyAlignment="0" applyProtection="0"/>
  </cellStyleXfs>
  <cellXfs count="268">
    <xf numFmtId="0" fontId="0" fillId="0" borderId="0" xfId="0"/>
    <xf numFmtId="0" fontId="16"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3" fillId="0" borderId="0" xfId="0" applyFont="1"/>
    <xf numFmtId="0" fontId="14" fillId="0" borderId="0" xfId="0" applyFont="1" applyAlignment="1">
      <alignment horizontal="right"/>
    </xf>
    <xf numFmtId="0" fontId="14" fillId="0" borderId="0" xfId="0" applyFont="1"/>
    <xf numFmtId="0" fontId="18"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9" fillId="0" borderId="5" xfId="0" applyFont="1" applyBorder="1"/>
    <xf numFmtId="0" fontId="18" fillId="0" borderId="6" xfId="0" applyFont="1" applyBorder="1"/>
    <xf numFmtId="0" fontId="19" fillId="0" borderId="7" xfId="0" applyFont="1" applyBorder="1"/>
    <xf numFmtId="0" fontId="19" fillId="0" borderId="0" xfId="0" applyFont="1"/>
    <xf numFmtId="10" fontId="18" fillId="0" borderId="0" xfId="0" applyNumberFormat="1" applyFont="1"/>
    <xf numFmtId="0" fontId="16" fillId="6" borderId="13" xfId="0" applyFont="1" applyFill="1" applyBorder="1" applyAlignment="1">
      <alignment horizontal="center" vertical="center"/>
    </xf>
    <xf numFmtId="0" fontId="16" fillId="6" borderId="13" xfId="0" applyFont="1" applyFill="1" applyBorder="1" applyAlignment="1">
      <alignment horizontal="center" vertical="center" wrapText="1"/>
    </xf>
    <xf numFmtId="0" fontId="16" fillId="6" borderId="13" xfId="0" applyFont="1" applyFill="1" applyBorder="1" applyAlignment="1">
      <alignment horizontal="center" wrapText="1"/>
    </xf>
    <xf numFmtId="0" fontId="20"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66" fontId="2" fillId="0" borderId="11" xfId="0" applyNumberFormat="1" applyFon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9" fillId="0" borderId="0" xfId="0" applyNumberFormat="1" applyFont="1"/>
    <xf numFmtId="0" fontId="19" fillId="0" borderId="0" xfId="0" applyFont="1" applyAlignment="1">
      <alignment horizontal="right"/>
    </xf>
    <xf numFmtId="1" fontId="19" fillId="0" borderId="11" xfId="0" applyNumberFormat="1" applyFont="1" applyBorder="1"/>
    <xf numFmtId="1" fontId="0" fillId="0" borderId="11" xfId="0" applyNumberFormat="1" applyBorder="1"/>
    <xf numFmtId="0" fontId="19" fillId="0" borderId="11" xfId="0" applyFont="1" applyBorder="1" applyAlignment="1">
      <alignment horizontal="right"/>
    </xf>
    <xf numFmtId="166" fontId="19" fillId="0" borderId="0" xfId="0" applyNumberFormat="1" applyFont="1"/>
    <xf numFmtId="0" fontId="2" fillId="7" borderId="0" xfId="0" applyFont="1" applyFill="1"/>
    <xf numFmtId="0" fontId="22" fillId="0" borderId="0" xfId="0" applyFont="1"/>
    <xf numFmtId="0" fontId="23" fillId="0" borderId="0" xfId="0" applyFont="1" applyAlignment="1">
      <alignment vertical="center"/>
    </xf>
    <xf numFmtId="0" fontId="21" fillId="2" borderId="0" xfId="1"/>
    <xf numFmtId="165" fontId="0" fillId="5" borderId="0" xfId="0" applyNumberFormat="1" applyFill="1" applyAlignment="1">
      <alignment horizontal="right"/>
    </xf>
    <xf numFmtId="0" fontId="1" fillId="8" borderId="0" xfId="2" applyAlignment="1">
      <alignment horizontal="left"/>
    </xf>
    <xf numFmtId="0" fontId="21" fillId="9" borderId="0" xfId="3" applyFont="1" applyFill="1" applyAlignment="1">
      <alignment vertical="center" wrapText="1"/>
    </xf>
    <xf numFmtId="0" fontId="25" fillId="0" borderId="0" xfId="3" applyAlignment="1">
      <alignment vertical="center"/>
    </xf>
    <xf numFmtId="0" fontId="25" fillId="0" borderId="0" xfId="3"/>
    <xf numFmtId="164" fontId="25" fillId="0" borderId="0" xfId="3" applyNumberFormat="1"/>
    <xf numFmtId="0" fontId="25" fillId="0" borderId="0" xfId="3" applyAlignment="1">
      <alignment horizontal="right"/>
    </xf>
    <xf numFmtId="0" fontId="25" fillId="0" borderId="0" xfId="3" applyProtection="1">
      <protection locked="0"/>
    </xf>
    <xf numFmtId="1" fontId="25" fillId="0" borderId="0" xfId="3" applyNumberFormat="1" applyProtection="1">
      <protection locked="0"/>
    </xf>
    <xf numFmtId="10" fontId="25" fillId="0" borderId="0" xfId="3" applyNumberFormat="1"/>
    <xf numFmtId="2" fontId="25" fillId="0" borderId="0" xfId="3" applyNumberFormat="1"/>
    <xf numFmtId="0" fontId="24" fillId="0" borderId="0" xfId="3" applyFont="1"/>
    <xf numFmtId="0" fontId="0" fillId="0" borderId="0" xfId="0" applyAlignment="1">
      <alignment horizontal="right" vertical="center"/>
    </xf>
    <xf numFmtId="0" fontId="27" fillId="8" borderId="0" xfId="2" applyFont="1"/>
    <xf numFmtId="0" fontId="24" fillId="0" borderId="0" xfId="0" applyFont="1"/>
    <xf numFmtId="164" fontId="0" fillId="0" borderId="0" xfId="0" applyNumberFormat="1" applyAlignment="1">
      <alignment horizontal="right" vertical="center"/>
    </xf>
    <xf numFmtId="2" fontId="24" fillId="0" borderId="0" xfId="0" applyNumberFormat="1" applyFont="1"/>
    <xf numFmtId="165" fontId="21"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3" fillId="0" borderId="0" xfId="0" applyFont="1"/>
    <xf numFmtId="0" fontId="25" fillId="0" borderId="5" xfId="3" applyBorder="1"/>
    <xf numFmtId="0" fontId="25" fillId="0" borderId="6" xfId="3" applyBorder="1"/>
    <xf numFmtId="0" fontId="29" fillId="0" borderId="7" xfId="3" applyFont="1" applyBorder="1" applyAlignment="1">
      <alignment horizontal="right"/>
    </xf>
    <xf numFmtId="0" fontId="27" fillId="8" borderId="9" xfId="2" applyFont="1" applyBorder="1"/>
    <xf numFmtId="0" fontId="24" fillId="0" borderId="9" xfId="0" applyFont="1" applyBorder="1"/>
    <xf numFmtId="0" fontId="30" fillId="0" borderId="8" xfId="3" applyFont="1" applyBorder="1"/>
    <xf numFmtId="0" fontId="24" fillId="0" borderId="0" xfId="0" applyFont="1" applyAlignment="1">
      <alignment horizontal="right" vertical="center"/>
    </xf>
    <xf numFmtId="0" fontId="24" fillId="0" borderId="0" xfId="0" applyFont="1" applyAlignment="1">
      <alignment horizontal="right"/>
    </xf>
    <xf numFmtId="0" fontId="30" fillId="0" borderId="0" xfId="3" applyFont="1" applyAlignment="1">
      <alignment horizontal="right"/>
    </xf>
    <xf numFmtId="0" fontId="30" fillId="0" borderId="0" xfId="3" applyFont="1"/>
    <xf numFmtId="0" fontId="30" fillId="0" borderId="10" xfId="3" applyFont="1" applyBorder="1"/>
    <xf numFmtId="0" fontId="24" fillId="0" borderId="11" xfId="0" applyFont="1" applyBorder="1" applyAlignment="1">
      <alignment horizontal="right" vertical="center"/>
    </xf>
    <xf numFmtId="165" fontId="21" fillId="2" borderId="12" xfId="1" applyNumberFormat="1" applyBorder="1"/>
    <xf numFmtId="2" fontId="31" fillId="0" borderId="0" xfId="3" applyNumberFormat="1" applyFont="1"/>
    <xf numFmtId="2" fontId="2" fillId="0" borderId="9" xfId="0" applyNumberFormat="1" applyFont="1" applyBorder="1"/>
    <xf numFmtId="2" fontId="27" fillId="8" borderId="9" xfId="2" applyNumberFormat="1" applyFont="1" applyBorder="1"/>
    <xf numFmtId="0" fontId="19" fillId="0" borderId="0" xfId="0" applyFont="1" applyAlignment="1">
      <alignment horizontal="right" vertical="center"/>
    </xf>
    <xf numFmtId="0" fontId="19" fillId="0" borderId="9" xfId="0" applyFont="1" applyBorder="1"/>
    <xf numFmtId="0" fontId="32" fillId="0" borderId="0" xfId="3" applyFont="1" applyAlignment="1">
      <alignment horizontal="right"/>
    </xf>
    <xf numFmtId="0" fontId="32" fillId="0" borderId="0" xfId="3" applyFont="1"/>
    <xf numFmtId="0" fontId="32" fillId="0" borderId="9" xfId="3" applyFont="1" applyBorder="1"/>
    <xf numFmtId="2" fontId="32" fillId="0" borderId="0" xfId="3" applyNumberFormat="1" applyFont="1"/>
    <xf numFmtId="1" fontId="32" fillId="0" borderId="0" xfId="3" applyNumberFormat="1" applyFont="1"/>
    <xf numFmtId="1" fontId="2" fillId="0" borderId="8" xfId="0" applyNumberFormat="1" applyFont="1" applyBorder="1"/>
    <xf numFmtId="167" fontId="25"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9" fillId="0" borderId="0" xfId="0" applyNumberFormat="1" applyFont="1"/>
    <xf numFmtId="0" fontId="34" fillId="0" borderId="0" xfId="0" applyFont="1"/>
    <xf numFmtId="0" fontId="35" fillId="0" borderId="0" xfId="0" applyFont="1"/>
    <xf numFmtId="165" fontId="33" fillId="2" borderId="0" xfId="1" applyNumberFormat="1" applyFont="1"/>
    <xf numFmtId="1" fontId="21"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6"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9" fillId="5" borderId="0" xfId="0" applyNumberFormat="1" applyFont="1" applyFill="1"/>
    <xf numFmtId="1" fontId="19" fillId="5" borderId="11" xfId="0" applyNumberFormat="1" applyFont="1" applyFill="1" applyBorder="1"/>
    <xf numFmtId="166" fontId="19" fillId="5" borderId="0" xfId="0" applyNumberFormat="1" applyFont="1" applyFill="1"/>
    <xf numFmtId="165" fontId="19" fillId="5" borderId="0" xfId="0" applyNumberFormat="1" applyFont="1" applyFill="1"/>
    <xf numFmtId="0" fontId="19" fillId="5" borderId="0" xfId="0" applyFont="1" applyFill="1"/>
    <xf numFmtId="166" fontId="19" fillId="5" borderId="11" xfId="0" applyNumberFormat="1" applyFont="1" applyFill="1" applyBorder="1"/>
    <xf numFmtId="165" fontId="19" fillId="5" borderId="11" xfId="0" applyNumberFormat="1" applyFont="1" applyFill="1" applyBorder="1"/>
    <xf numFmtId="165" fontId="19"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7" fillId="0" borderId="0" xfId="0" applyFont="1"/>
    <xf numFmtId="10" fontId="38" fillId="0" borderId="0" xfId="0" applyNumberFormat="1" applyFont="1" applyAlignment="1">
      <alignment horizontal="right"/>
    </xf>
    <xf numFmtId="0" fontId="39"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6"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7" fillId="8" borderId="0" xfId="2" applyNumberFormat="1" applyFont="1"/>
    <xf numFmtId="0" fontId="33" fillId="2" borderId="0" xfId="1" applyFont="1"/>
    <xf numFmtId="14" fontId="0" fillId="0" borderId="0" xfId="0" applyNumberForma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40"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1" fillId="8" borderId="0" xfId="2" applyBorder="1" applyAlignment="1">
      <alignment horizontal="right"/>
    </xf>
    <xf numFmtId="2" fontId="1" fillId="8" borderId="0" xfId="2" applyNumberFormat="1" applyBorder="1" applyAlignment="1">
      <alignment horizontal="right"/>
    </xf>
    <xf numFmtId="2" fontId="41" fillId="14" borderId="24" xfId="6" applyNumberFormat="1" applyAlignment="1">
      <alignment horizontal="right"/>
    </xf>
    <xf numFmtId="166" fontId="41" fillId="14" borderId="24" xfId="6" applyNumberFormat="1" applyAlignment="1">
      <alignment horizontal="right"/>
    </xf>
    <xf numFmtId="0" fontId="0" fillId="0" borderId="22" xfId="0" applyBorder="1"/>
    <xf numFmtId="0" fontId="28"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6"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5" fillId="0" borderId="0" xfId="3" applyAlignment="1">
      <alignment vertical="center"/>
    </xf>
    <xf numFmtId="0" fontId="23" fillId="0" borderId="0" xfId="3" applyFont="1" applyAlignment="1">
      <alignment vertical="center" wrapText="1"/>
    </xf>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56.373774227433159</c:v>
                </c:pt>
                <c:pt idx="1">
                  <c:v>93.378383844046169</c:v>
                </c:pt>
                <c:pt idx="2">
                  <c:v>146.20388070254046</c:v>
                </c:pt>
                <c:pt idx="3">
                  <c:v>209.21288607751393</c:v>
                </c:pt>
                <c:pt idx="4">
                  <c:v>273.51327940883493</c:v>
                </c:pt>
                <c:pt idx="5">
                  <c:v>348.98971315768063</c:v>
                </c:pt>
                <c:pt idx="6">
                  <c:v>439.28325476561304</c:v>
                </c:pt>
                <c:pt idx="7">
                  <c:v>536.93474276608208</c:v>
                </c:pt>
                <c:pt idx="8">
                  <c:v>635.53211445242027</c:v>
                </c:pt>
                <c:pt idx="9">
                  <c:v>741.4037911810334</c:v>
                </c:pt>
                <c:pt idx="10">
                  <c:v>854.86318962192752</c:v>
                </c:pt>
                <c:pt idx="11">
                  <c:v>971.34961616754288</c:v>
                </c:pt>
                <c:pt idx="12">
                  <c:v>1088.6802599175317</c:v>
                </c:pt>
                <c:pt idx="13">
                  <c:v>1206.8995893566339</c:v>
                </c:pt>
                <c:pt idx="14">
                  <c:v>1329.4008916497762</c:v>
                </c:pt>
                <c:pt idx="15">
                  <c:v>1461.1650125488532</c:v>
                </c:pt>
                <c:pt idx="16">
                  <c:v>1612.139624642843</c:v>
                </c:pt>
                <c:pt idx="17">
                  <c:v>1797.7737378078068</c:v>
                </c:pt>
                <c:pt idx="18">
                  <c:v>1991.1778011423148</c:v>
                </c:pt>
                <c:pt idx="19">
                  <c:v>2200.058555676017</c:v>
                </c:pt>
                <c:pt idx="20">
                  <c:v>2450.3878526020053</c:v>
                </c:pt>
                <c:pt idx="21">
                  <c:v>2721.976847191856</c:v>
                </c:pt>
                <c:pt idx="22">
                  <c:v>3002.6569572390699</c:v>
                </c:pt>
                <c:pt idx="23">
                  <c:v>3304.9038617650303</c:v>
                </c:pt>
                <c:pt idx="24">
                  <c:v>3629.2172924134729</c:v>
                </c:pt>
                <c:pt idx="25">
                  <c:v>3986.7456517223354</c:v>
                </c:pt>
                <c:pt idx="26">
                  <c:v>4411.6231647171353</c:v>
                </c:pt>
                <c:pt idx="27">
                  <c:v>17889.525787712497</c:v>
                </c:pt>
                <c:pt idx="28">
                  <c:v>15611.845410610362</c:v>
                </c:pt>
                <c:pt idx="29">
                  <c:v>25000.000000000018</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37</c:v>
                </c:pt>
                <c:pt idx="143">
                  <c:v>36</c:v>
                </c:pt>
                <c:pt idx="144">
                  <c:v>38</c:v>
                </c:pt>
                <c:pt idx="145">
                  <c:v>42</c:v>
                </c:pt>
                <c:pt idx="146">
                  <c:v>43</c:v>
                </c:pt>
                <c:pt idx="147">
                  <c:v>32</c:v>
                </c:pt>
                <c:pt idx="148">
                  <c:v>42</c:v>
                </c:pt>
                <c:pt idx="149">
                  <c:v>50</c:v>
                </c:pt>
                <c:pt idx="150">
                  <c:v>49</c:v>
                </c:pt>
                <c:pt idx="151">
                  <c:v>35</c:v>
                </c:pt>
                <c:pt idx="152">
                  <c:v>44</c:v>
                </c:pt>
                <c:pt idx="153">
                  <c:v>36</c:v>
                </c:pt>
                <c:pt idx="154">
                  <c:v>42</c:v>
                </c:pt>
                <c:pt idx="155">
                  <c:v>42</c:v>
                </c:pt>
                <c:pt idx="156">
                  <c:v>42</c:v>
                </c:pt>
                <c:pt idx="157">
                  <c:v>51</c:v>
                </c:pt>
                <c:pt idx="158">
                  <c:v>44</c:v>
                </c:pt>
                <c:pt idx="159">
                  <c:v>59</c:v>
                </c:pt>
                <c:pt idx="160">
                  <c:v>59</c:v>
                </c:pt>
                <c:pt idx="161">
                  <c:v>43</c:v>
                </c:pt>
                <c:pt idx="162">
                  <c:v>44</c:v>
                </c:pt>
                <c:pt idx="163">
                  <c:v>50</c:v>
                </c:pt>
                <c:pt idx="164">
                  <c:v>49</c:v>
                </c:pt>
                <c:pt idx="165">
                  <c:v>62</c:v>
                </c:pt>
                <c:pt idx="166">
                  <c:v>58</c:v>
                </c:pt>
                <c:pt idx="167">
                  <c:v>61</c:v>
                </c:pt>
                <c:pt idx="168">
                  <c:v>69</c:v>
                </c:pt>
                <c:pt idx="169">
                  <c:v>54</c:v>
                </c:pt>
                <c:pt idx="170">
                  <c:v>75</c:v>
                </c:pt>
                <c:pt idx="171">
                  <c:v>75</c:v>
                </c:pt>
                <c:pt idx="172">
                  <c:v>90</c:v>
                </c:pt>
                <c:pt idx="173">
                  <c:v>101</c:v>
                </c:pt>
                <c:pt idx="174">
                  <c:v>111</c:v>
                </c:pt>
                <c:pt idx="175">
                  <c:v>117</c:v>
                </c:pt>
                <c:pt idx="176">
                  <c:v>128</c:v>
                </c:pt>
                <c:pt idx="177">
                  <c:v>120</c:v>
                </c:pt>
                <c:pt idx="178">
                  <c:v>127</c:v>
                </c:pt>
                <c:pt idx="179">
                  <c:v>133</c:v>
                </c:pt>
                <c:pt idx="180">
                  <c:v>157</c:v>
                </c:pt>
                <c:pt idx="181">
                  <c:v>142</c:v>
                </c:pt>
                <c:pt idx="182">
                  <c:v>171</c:v>
                </c:pt>
                <c:pt idx="183">
                  <c:v>184</c:v>
                </c:pt>
                <c:pt idx="184">
                  <c:v>198</c:v>
                </c:pt>
                <c:pt idx="185">
                  <c:v>221</c:v>
                </c:pt>
                <c:pt idx="186">
                  <c:v>220</c:v>
                </c:pt>
                <c:pt idx="187">
                  <c:v>234</c:v>
                </c:pt>
                <c:pt idx="188">
                  <c:v>257</c:v>
                </c:pt>
                <c:pt idx="189">
                  <c:v>258</c:v>
                </c:pt>
                <c:pt idx="190">
                  <c:v>260</c:v>
                </c:pt>
                <c:pt idx="191">
                  <c:v>305</c:v>
                </c:pt>
                <c:pt idx="192">
                  <c:v>333</c:v>
                </c:pt>
                <c:pt idx="193">
                  <c:v>362</c:v>
                </c:pt>
                <c:pt idx="194">
                  <c:v>349</c:v>
                </c:pt>
                <c:pt idx="195">
                  <c:v>420</c:v>
                </c:pt>
                <c:pt idx="196">
                  <c:v>418</c:v>
                </c:pt>
                <c:pt idx="197">
                  <c:v>439</c:v>
                </c:pt>
                <c:pt idx="198">
                  <c:v>469</c:v>
                </c:pt>
                <c:pt idx="199">
                  <c:v>489</c:v>
                </c:pt>
                <c:pt idx="200">
                  <c:v>536</c:v>
                </c:pt>
                <c:pt idx="201">
                  <c:v>566</c:v>
                </c:pt>
                <c:pt idx="202">
                  <c:v>539</c:v>
                </c:pt>
                <c:pt idx="203">
                  <c:v>614</c:v>
                </c:pt>
                <c:pt idx="204">
                  <c:v>600</c:v>
                </c:pt>
                <c:pt idx="205">
                  <c:v>607</c:v>
                </c:pt>
                <c:pt idx="206">
                  <c:v>679</c:v>
                </c:pt>
                <c:pt idx="207">
                  <c:v>654</c:v>
                </c:pt>
                <c:pt idx="208">
                  <c:v>707</c:v>
                </c:pt>
                <c:pt idx="209">
                  <c:v>770</c:v>
                </c:pt>
                <c:pt idx="210">
                  <c:v>732</c:v>
                </c:pt>
                <c:pt idx="211">
                  <c:v>767</c:v>
                </c:pt>
                <c:pt idx="212">
                  <c:v>714</c:v>
                </c:pt>
                <c:pt idx="213">
                  <c:v>741</c:v>
                </c:pt>
                <c:pt idx="214">
                  <c:v>799</c:v>
                </c:pt>
                <c:pt idx="215">
                  <c:v>759</c:v>
                </c:pt>
                <c:pt idx="216">
                  <c:v>757</c:v>
                </c:pt>
                <c:pt idx="217">
                  <c:v>766</c:v>
                </c:pt>
                <c:pt idx="218">
                  <c:v>740</c:v>
                </c:pt>
                <c:pt idx="219">
                  <c:v>764</c:v>
                </c:pt>
                <c:pt idx="220">
                  <c:v>785</c:v>
                </c:pt>
                <c:pt idx="221">
                  <c:v>772</c:v>
                </c:pt>
                <c:pt idx="222">
                  <c:v>758</c:v>
                </c:pt>
                <c:pt idx="223">
                  <c:v>752</c:v>
                </c:pt>
                <c:pt idx="224">
                  <c:v>763</c:v>
                </c:pt>
                <c:pt idx="225">
                  <c:v>722</c:v>
                </c:pt>
                <c:pt idx="226">
                  <c:v>747</c:v>
                </c:pt>
                <c:pt idx="227">
                  <c:v>693</c:v>
                </c:pt>
                <c:pt idx="228">
                  <c:v>754</c:v>
                </c:pt>
                <c:pt idx="229">
                  <c:v>716</c:v>
                </c:pt>
                <c:pt idx="230">
                  <c:v>646</c:v>
                </c:pt>
                <c:pt idx="231">
                  <c:v>638</c:v>
                </c:pt>
                <c:pt idx="232">
                  <c:v>628</c:v>
                </c:pt>
                <c:pt idx="233">
                  <c:v>619</c:v>
                </c:pt>
                <c:pt idx="234">
                  <c:v>570</c:v>
                </c:pt>
                <c:pt idx="235">
                  <c:v>561</c:v>
                </c:pt>
                <c:pt idx="236">
                  <c:v>550</c:v>
                </c:pt>
                <c:pt idx="237">
                  <c:v>506</c:v>
                </c:pt>
                <c:pt idx="238">
                  <c:v>470</c:v>
                </c:pt>
                <c:pt idx="239">
                  <c:v>477</c:v>
                </c:pt>
                <c:pt idx="240">
                  <c:v>461</c:v>
                </c:pt>
                <c:pt idx="241">
                  <c:v>436</c:v>
                </c:pt>
                <c:pt idx="242">
                  <c:v>412</c:v>
                </c:pt>
                <c:pt idx="243">
                  <c:v>445</c:v>
                </c:pt>
                <c:pt idx="244">
                  <c:v>395</c:v>
                </c:pt>
                <c:pt idx="245">
                  <c:v>344</c:v>
                </c:pt>
                <c:pt idx="246">
                  <c:v>346</c:v>
                </c:pt>
                <c:pt idx="247">
                  <c:v>321</c:v>
                </c:pt>
                <c:pt idx="248">
                  <c:v>299</c:v>
                </c:pt>
                <c:pt idx="249">
                  <c:v>272</c:v>
                </c:pt>
                <c:pt idx="250">
                  <c:v>285</c:v>
                </c:pt>
                <c:pt idx="251">
                  <c:v>293</c:v>
                </c:pt>
                <c:pt idx="252">
                  <c:v>283</c:v>
                </c:pt>
                <c:pt idx="253">
                  <c:v>255</c:v>
                </c:pt>
                <c:pt idx="254">
                  <c:v>216</c:v>
                </c:pt>
                <c:pt idx="255">
                  <c:v>208</c:v>
                </c:pt>
                <c:pt idx="256">
                  <c:v>189</c:v>
                </c:pt>
                <c:pt idx="257">
                  <c:v>213</c:v>
                </c:pt>
                <c:pt idx="258">
                  <c:v>187</c:v>
                </c:pt>
                <c:pt idx="259">
                  <c:v>155</c:v>
                </c:pt>
                <c:pt idx="260">
                  <c:v>154</c:v>
                </c:pt>
                <c:pt idx="261">
                  <c:v>132</c:v>
                </c:pt>
                <c:pt idx="262">
                  <c:v>137</c:v>
                </c:pt>
                <c:pt idx="263">
                  <c:v>107</c:v>
                </c:pt>
                <c:pt idx="264">
                  <c:v>120</c:v>
                </c:pt>
                <c:pt idx="265">
                  <c:v>111</c:v>
                </c:pt>
                <c:pt idx="266">
                  <c:v>88</c:v>
                </c:pt>
                <c:pt idx="267">
                  <c:v>93</c:v>
                </c:pt>
                <c:pt idx="268">
                  <c:v>86</c:v>
                </c:pt>
                <c:pt idx="269">
                  <c:v>87</c:v>
                </c:pt>
                <c:pt idx="270">
                  <c:v>71</c:v>
                </c:pt>
                <c:pt idx="271">
                  <c:v>60</c:v>
                </c:pt>
                <c:pt idx="272">
                  <c:v>72</c:v>
                </c:pt>
                <c:pt idx="273">
                  <c:v>55</c:v>
                </c:pt>
                <c:pt idx="274">
                  <c:v>50</c:v>
                </c:pt>
                <c:pt idx="275">
                  <c:v>46</c:v>
                </c:pt>
                <c:pt idx="276">
                  <c:v>44</c:v>
                </c:pt>
                <c:pt idx="277">
                  <c:v>44</c:v>
                </c:pt>
                <c:pt idx="278">
                  <c:v>40</c:v>
                </c:pt>
                <c:pt idx="279">
                  <c:v>30</c:v>
                </c:pt>
                <c:pt idx="280">
                  <c:v>33</c:v>
                </c:pt>
                <c:pt idx="281">
                  <c:v>26</c:v>
                </c:pt>
                <c:pt idx="282">
                  <c:v>21</c:v>
                </c:pt>
                <c:pt idx="283">
                  <c:v>19</c:v>
                </c:pt>
                <c:pt idx="284">
                  <c:v>34</c:v>
                </c:pt>
                <c:pt idx="285">
                  <c:v>27</c:v>
                </c:pt>
                <c:pt idx="286">
                  <c:v>24</c:v>
                </c:pt>
                <c:pt idx="287">
                  <c:v>25</c:v>
                </c:pt>
                <c:pt idx="288">
                  <c:v>15</c:v>
                </c:pt>
                <c:pt idx="289">
                  <c:v>20</c:v>
                </c:pt>
                <c:pt idx="290">
                  <c:v>12</c:v>
                </c:pt>
                <c:pt idx="291">
                  <c:v>15</c:v>
                </c:pt>
                <c:pt idx="292">
                  <c:v>18</c:v>
                </c:pt>
                <c:pt idx="293">
                  <c:v>19</c:v>
                </c:pt>
                <c:pt idx="294">
                  <c:v>16</c:v>
                </c:pt>
                <c:pt idx="295">
                  <c:v>20</c:v>
                </c:pt>
                <c:pt idx="296">
                  <c:v>8</c:v>
                </c:pt>
                <c:pt idx="297">
                  <c:v>15</c:v>
                </c:pt>
                <c:pt idx="298">
                  <c:v>10</c:v>
                </c:pt>
                <c:pt idx="299">
                  <c:v>7</c:v>
                </c:pt>
                <c:pt idx="300">
                  <c:v>7</c:v>
                </c:pt>
                <c:pt idx="301">
                  <c:v>8</c:v>
                </c:pt>
                <c:pt idx="302">
                  <c:v>12</c:v>
                </c:pt>
                <c:pt idx="303">
                  <c:v>9</c:v>
                </c:pt>
                <c:pt idx="304">
                  <c:v>8</c:v>
                </c:pt>
                <c:pt idx="305">
                  <c:v>9</c:v>
                </c:pt>
                <c:pt idx="306">
                  <c:v>11</c:v>
                </c:pt>
                <c:pt idx="307">
                  <c:v>7</c:v>
                </c:pt>
                <c:pt idx="308">
                  <c:v>3</c:v>
                </c:pt>
                <c:pt idx="309">
                  <c:v>7</c:v>
                </c:pt>
                <c:pt idx="310">
                  <c:v>6</c:v>
                </c:pt>
                <c:pt idx="311">
                  <c:v>11</c:v>
                </c:pt>
                <c:pt idx="312">
                  <c:v>13</c:v>
                </c:pt>
                <c:pt idx="313">
                  <c:v>4</c:v>
                </c:pt>
                <c:pt idx="314">
                  <c:v>6</c:v>
                </c:pt>
                <c:pt idx="315">
                  <c:v>11</c:v>
                </c:pt>
                <c:pt idx="316">
                  <c:v>3</c:v>
                </c:pt>
                <c:pt idx="317">
                  <c:v>5</c:v>
                </c:pt>
                <c:pt idx="318">
                  <c:v>2</c:v>
                </c:pt>
                <c:pt idx="319">
                  <c:v>2</c:v>
                </c:pt>
                <c:pt idx="320">
                  <c:v>5</c:v>
                </c:pt>
                <c:pt idx="321">
                  <c:v>9</c:v>
                </c:pt>
                <c:pt idx="322">
                  <c:v>7</c:v>
                </c:pt>
                <c:pt idx="323">
                  <c:v>8</c:v>
                </c:pt>
                <c:pt idx="324">
                  <c:v>4</c:v>
                </c:pt>
                <c:pt idx="325">
                  <c:v>8</c:v>
                </c:pt>
                <c:pt idx="326">
                  <c:v>5</c:v>
                </c:pt>
                <c:pt idx="327">
                  <c:v>6</c:v>
                </c:pt>
                <c:pt idx="328">
                  <c:v>11</c:v>
                </c:pt>
                <c:pt idx="329">
                  <c:v>4</c:v>
                </c:pt>
                <c:pt idx="330">
                  <c:v>3</c:v>
                </c:pt>
                <c:pt idx="331">
                  <c:v>4</c:v>
                </c:pt>
                <c:pt idx="332">
                  <c:v>2</c:v>
                </c:pt>
                <c:pt idx="333">
                  <c:v>7</c:v>
                </c:pt>
                <c:pt idx="334">
                  <c:v>4</c:v>
                </c:pt>
                <c:pt idx="335">
                  <c:v>7</c:v>
                </c:pt>
                <c:pt idx="336">
                  <c:v>4</c:v>
                </c:pt>
                <c:pt idx="337">
                  <c:v>4</c:v>
                </c:pt>
                <c:pt idx="338">
                  <c:v>10</c:v>
                </c:pt>
                <c:pt idx="339">
                  <c:v>4</c:v>
                </c:pt>
                <c:pt idx="340">
                  <c:v>4</c:v>
                </c:pt>
                <c:pt idx="341">
                  <c:v>4</c:v>
                </c:pt>
                <c:pt idx="342">
                  <c:v>4</c:v>
                </c:pt>
                <c:pt idx="343">
                  <c:v>5</c:v>
                </c:pt>
                <c:pt idx="344">
                  <c:v>5</c:v>
                </c:pt>
                <c:pt idx="345">
                  <c:v>4</c:v>
                </c:pt>
                <c:pt idx="346">
                  <c:v>10</c:v>
                </c:pt>
                <c:pt idx="347">
                  <c:v>3</c:v>
                </c:pt>
                <c:pt idx="348">
                  <c:v>4</c:v>
                </c:pt>
                <c:pt idx="349">
                  <c:v>6</c:v>
                </c:pt>
                <c:pt idx="350">
                  <c:v>4</c:v>
                </c:pt>
                <c:pt idx="351">
                  <c:v>2</c:v>
                </c:pt>
                <c:pt idx="352">
                  <c:v>6</c:v>
                </c:pt>
                <c:pt idx="353">
                  <c:v>3</c:v>
                </c:pt>
                <c:pt idx="354">
                  <c:v>6</c:v>
                </c:pt>
                <c:pt idx="355">
                  <c:v>6</c:v>
                </c:pt>
                <c:pt idx="356">
                  <c:v>5</c:v>
                </c:pt>
                <c:pt idx="357">
                  <c:v>8</c:v>
                </c:pt>
                <c:pt idx="358">
                  <c:v>1</c:v>
                </c:pt>
                <c:pt idx="359">
                  <c:v>4</c:v>
                </c:pt>
                <c:pt idx="360">
                  <c:v>2</c:v>
                </c:pt>
                <c:pt idx="361">
                  <c:v>6</c:v>
                </c:pt>
                <c:pt idx="362">
                  <c:v>5</c:v>
                </c:pt>
                <c:pt idx="363">
                  <c:v>10</c:v>
                </c:pt>
                <c:pt idx="364">
                  <c:v>5</c:v>
                </c:pt>
                <c:pt idx="365">
                  <c:v>5</c:v>
                </c:pt>
                <c:pt idx="366">
                  <c:v>4</c:v>
                </c:pt>
                <c:pt idx="367">
                  <c:v>5</c:v>
                </c:pt>
                <c:pt idx="368">
                  <c:v>2</c:v>
                </c:pt>
                <c:pt idx="369">
                  <c:v>3</c:v>
                </c:pt>
                <c:pt idx="370">
                  <c:v>2</c:v>
                </c:pt>
                <c:pt idx="371">
                  <c:v>2</c:v>
                </c:pt>
                <c:pt idx="372">
                  <c:v>5</c:v>
                </c:pt>
                <c:pt idx="373">
                  <c:v>7</c:v>
                </c:pt>
                <c:pt idx="374">
                  <c:v>5</c:v>
                </c:pt>
                <c:pt idx="375">
                  <c:v>9</c:v>
                </c:pt>
                <c:pt idx="376">
                  <c:v>5</c:v>
                </c:pt>
                <c:pt idx="377">
                  <c:v>3</c:v>
                </c:pt>
                <c:pt idx="378">
                  <c:v>5</c:v>
                </c:pt>
                <c:pt idx="379">
                  <c:v>8</c:v>
                </c:pt>
                <c:pt idx="380">
                  <c:v>3</c:v>
                </c:pt>
                <c:pt idx="381">
                  <c:v>5</c:v>
                </c:pt>
                <c:pt idx="382">
                  <c:v>3</c:v>
                </c:pt>
                <c:pt idx="383">
                  <c:v>6</c:v>
                </c:pt>
                <c:pt idx="384">
                  <c:v>6</c:v>
                </c:pt>
                <c:pt idx="385">
                  <c:v>4</c:v>
                </c:pt>
                <c:pt idx="386">
                  <c:v>1</c:v>
                </c:pt>
                <c:pt idx="387">
                  <c:v>3</c:v>
                </c:pt>
                <c:pt idx="388">
                  <c:v>10</c:v>
                </c:pt>
                <c:pt idx="389">
                  <c:v>2</c:v>
                </c:pt>
                <c:pt idx="390">
                  <c:v>2</c:v>
                </c:pt>
                <c:pt idx="391">
                  <c:v>6</c:v>
                </c:pt>
                <c:pt idx="392">
                  <c:v>6</c:v>
                </c:pt>
                <c:pt idx="393">
                  <c:v>1</c:v>
                </c:pt>
                <c:pt idx="394">
                  <c:v>5</c:v>
                </c:pt>
                <c:pt idx="395">
                  <c:v>2</c:v>
                </c:pt>
                <c:pt idx="396">
                  <c:v>8</c:v>
                </c:pt>
                <c:pt idx="397">
                  <c:v>9</c:v>
                </c:pt>
                <c:pt idx="398">
                  <c:v>4</c:v>
                </c:pt>
                <c:pt idx="399">
                  <c:v>7</c:v>
                </c:pt>
                <c:pt idx="400">
                  <c:v>4</c:v>
                </c:pt>
                <c:pt idx="401">
                  <c:v>6</c:v>
                </c:pt>
                <c:pt idx="402">
                  <c:v>1</c:v>
                </c:pt>
                <c:pt idx="403">
                  <c:v>5</c:v>
                </c:pt>
                <c:pt idx="404">
                  <c:v>6</c:v>
                </c:pt>
                <c:pt idx="405">
                  <c:v>5</c:v>
                </c:pt>
                <c:pt idx="406">
                  <c:v>2</c:v>
                </c:pt>
                <c:pt idx="407">
                  <c:v>10</c:v>
                </c:pt>
                <c:pt idx="408">
                  <c:v>4</c:v>
                </c:pt>
                <c:pt idx="409">
                  <c:v>2</c:v>
                </c:pt>
                <c:pt idx="410">
                  <c:v>6</c:v>
                </c:pt>
                <c:pt idx="411">
                  <c:v>1</c:v>
                </c:pt>
                <c:pt idx="412">
                  <c:v>6</c:v>
                </c:pt>
                <c:pt idx="413">
                  <c:v>6</c:v>
                </c:pt>
                <c:pt idx="414">
                  <c:v>4</c:v>
                </c:pt>
                <c:pt idx="415">
                  <c:v>4</c:v>
                </c:pt>
                <c:pt idx="416">
                  <c:v>3</c:v>
                </c:pt>
                <c:pt idx="417">
                  <c:v>3</c:v>
                </c:pt>
                <c:pt idx="418">
                  <c:v>6</c:v>
                </c:pt>
                <c:pt idx="419">
                  <c:v>6</c:v>
                </c:pt>
                <c:pt idx="420">
                  <c:v>4</c:v>
                </c:pt>
                <c:pt idx="421">
                  <c:v>5</c:v>
                </c:pt>
                <c:pt idx="422">
                  <c:v>7</c:v>
                </c:pt>
                <c:pt idx="423">
                  <c:v>5</c:v>
                </c:pt>
                <c:pt idx="424">
                  <c:v>6</c:v>
                </c:pt>
                <c:pt idx="425">
                  <c:v>7</c:v>
                </c:pt>
                <c:pt idx="426">
                  <c:v>5</c:v>
                </c:pt>
                <c:pt idx="427">
                  <c:v>4</c:v>
                </c:pt>
                <c:pt idx="428">
                  <c:v>3</c:v>
                </c:pt>
                <c:pt idx="429">
                  <c:v>5</c:v>
                </c:pt>
                <c:pt idx="430">
                  <c:v>5</c:v>
                </c:pt>
                <c:pt idx="431">
                  <c:v>5</c:v>
                </c:pt>
                <c:pt idx="432">
                  <c:v>2</c:v>
                </c:pt>
                <c:pt idx="433">
                  <c:v>7</c:v>
                </c:pt>
                <c:pt idx="434">
                  <c:v>7</c:v>
                </c:pt>
                <c:pt idx="435">
                  <c:v>8</c:v>
                </c:pt>
                <c:pt idx="436">
                  <c:v>5</c:v>
                </c:pt>
                <c:pt idx="437">
                  <c:v>7</c:v>
                </c:pt>
                <c:pt idx="438">
                  <c:v>5</c:v>
                </c:pt>
                <c:pt idx="439">
                  <c:v>4</c:v>
                </c:pt>
                <c:pt idx="440">
                  <c:v>3</c:v>
                </c:pt>
                <c:pt idx="441">
                  <c:v>6</c:v>
                </c:pt>
                <c:pt idx="442">
                  <c:v>4</c:v>
                </c:pt>
                <c:pt idx="443">
                  <c:v>4</c:v>
                </c:pt>
                <c:pt idx="444">
                  <c:v>3</c:v>
                </c:pt>
                <c:pt idx="445">
                  <c:v>7</c:v>
                </c:pt>
                <c:pt idx="446">
                  <c:v>7</c:v>
                </c:pt>
                <c:pt idx="447">
                  <c:v>1</c:v>
                </c:pt>
                <c:pt idx="448">
                  <c:v>5</c:v>
                </c:pt>
                <c:pt idx="449">
                  <c:v>3</c:v>
                </c:pt>
                <c:pt idx="450">
                  <c:v>9</c:v>
                </c:pt>
                <c:pt idx="451">
                  <c:v>6</c:v>
                </c:pt>
                <c:pt idx="452">
                  <c:v>5</c:v>
                </c:pt>
                <c:pt idx="453">
                  <c:v>4</c:v>
                </c:pt>
                <c:pt idx="454">
                  <c:v>2</c:v>
                </c:pt>
                <c:pt idx="455">
                  <c:v>4</c:v>
                </c:pt>
                <c:pt idx="456">
                  <c:v>0</c:v>
                </c:pt>
                <c:pt idx="457">
                  <c:v>3</c:v>
                </c:pt>
                <c:pt idx="458">
                  <c:v>4</c:v>
                </c:pt>
                <c:pt idx="459">
                  <c:v>4</c:v>
                </c:pt>
                <c:pt idx="460">
                  <c:v>3</c:v>
                </c:pt>
                <c:pt idx="461">
                  <c:v>1</c:v>
                </c:pt>
                <c:pt idx="462">
                  <c:v>2</c:v>
                </c:pt>
                <c:pt idx="463">
                  <c:v>3</c:v>
                </c:pt>
                <c:pt idx="464">
                  <c:v>3</c:v>
                </c:pt>
                <c:pt idx="465">
                  <c:v>3</c:v>
                </c:pt>
                <c:pt idx="466">
                  <c:v>2</c:v>
                </c:pt>
                <c:pt idx="467">
                  <c:v>2</c:v>
                </c:pt>
                <c:pt idx="468">
                  <c:v>1</c:v>
                </c:pt>
                <c:pt idx="469">
                  <c:v>4</c:v>
                </c:pt>
                <c:pt idx="470">
                  <c:v>2</c:v>
                </c:pt>
                <c:pt idx="471">
                  <c:v>2</c:v>
                </c:pt>
                <c:pt idx="472">
                  <c:v>1</c:v>
                </c:pt>
                <c:pt idx="473">
                  <c:v>4</c:v>
                </c:pt>
                <c:pt idx="474">
                  <c:v>4</c:v>
                </c:pt>
                <c:pt idx="475">
                  <c:v>1</c:v>
                </c:pt>
                <c:pt idx="476">
                  <c:v>3</c:v>
                </c:pt>
                <c:pt idx="477">
                  <c:v>1</c:v>
                </c:pt>
                <c:pt idx="478">
                  <c:v>3</c:v>
                </c:pt>
                <c:pt idx="479">
                  <c:v>3</c:v>
                </c:pt>
                <c:pt idx="480">
                  <c:v>3</c:v>
                </c:pt>
                <c:pt idx="481">
                  <c:v>2</c:v>
                </c:pt>
                <c:pt idx="482">
                  <c:v>1</c:v>
                </c:pt>
                <c:pt idx="483">
                  <c:v>1</c:v>
                </c:pt>
                <c:pt idx="484">
                  <c:v>2</c:v>
                </c:pt>
                <c:pt idx="485">
                  <c:v>0</c:v>
                </c:pt>
                <c:pt idx="486">
                  <c:v>3</c:v>
                </c:pt>
                <c:pt idx="487">
                  <c:v>0</c:v>
                </c:pt>
                <c:pt idx="488">
                  <c:v>4</c:v>
                </c:pt>
                <c:pt idx="489">
                  <c:v>4</c:v>
                </c:pt>
                <c:pt idx="490">
                  <c:v>3</c:v>
                </c:pt>
                <c:pt idx="491">
                  <c:v>1</c:v>
                </c:pt>
                <c:pt idx="492">
                  <c:v>2</c:v>
                </c:pt>
                <c:pt idx="493">
                  <c:v>1</c:v>
                </c:pt>
                <c:pt idx="494">
                  <c:v>0</c:v>
                </c:pt>
                <c:pt idx="495">
                  <c:v>0</c:v>
                </c:pt>
                <c:pt idx="496">
                  <c:v>3</c:v>
                </c:pt>
                <c:pt idx="497">
                  <c:v>1</c:v>
                </c:pt>
                <c:pt idx="498">
                  <c:v>1</c:v>
                </c:pt>
                <c:pt idx="499">
                  <c:v>2</c:v>
                </c:pt>
                <c:pt idx="500">
                  <c:v>0</c:v>
                </c:pt>
                <c:pt idx="501">
                  <c:v>2</c:v>
                </c:pt>
                <c:pt idx="502">
                  <c:v>1</c:v>
                </c:pt>
                <c:pt idx="503">
                  <c:v>0</c:v>
                </c:pt>
                <c:pt idx="504">
                  <c:v>0</c:v>
                </c:pt>
                <c:pt idx="505">
                  <c:v>0</c:v>
                </c:pt>
                <c:pt idx="506">
                  <c:v>2</c:v>
                </c:pt>
                <c:pt idx="507">
                  <c:v>1</c:v>
                </c:pt>
                <c:pt idx="508">
                  <c:v>0</c:v>
                </c:pt>
                <c:pt idx="509">
                  <c:v>3</c:v>
                </c:pt>
                <c:pt idx="510">
                  <c:v>0</c:v>
                </c:pt>
                <c:pt idx="511">
                  <c:v>0</c:v>
                </c:pt>
                <c:pt idx="512">
                  <c:v>1</c:v>
                </c:pt>
                <c:pt idx="513">
                  <c:v>2</c:v>
                </c:pt>
                <c:pt idx="514">
                  <c:v>1</c:v>
                </c:pt>
                <c:pt idx="515">
                  <c:v>0</c:v>
                </c:pt>
                <c:pt idx="516">
                  <c:v>0</c:v>
                </c:pt>
                <c:pt idx="517">
                  <c:v>1</c:v>
                </c:pt>
                <c:pt idx="518">
                  <c:v>0</c:v>
                </c:pt>
                <c:pt idx="519">
                  <c:v>2</c:v>
                </c:pt>
                <c:pt idx="520">
                  <c:v>0</c:v>
                </c:pt>
                <c:pt idx="521">
                  <c:v>3</c:v>
                </c:pt>
                <c:pt idx="522">
                  <c:v>1</c:v>
                </c:pt>
                <c:pt idx="523">
                  <c:v>0</c:v>
                </c:pt>
                <c:pt idx="524">
                  <c:v>1</c:v>
                </c:pt>
                <c:pt idx="525">
                  <c:v>1</c:v>
                </c:pt>
                <c:pt idx="526">
                  <c:v>0</c:v>
                </c:pt>
                <c:pt idx="527">
                  <c:v>0</c:v>
                </c:pt>
                <c:pt idx="528">
                  <c:v>0</c:v>
                </c:pt>
                <c:pt idx="529">
                  <c:v>1</c:v>
                </c:pt>
                <c:pt idx="530">
                  <c:v>0</c:v>
                </c:pt>
                <c:pt idx="531">
                  <c:v>0</c:v>
                </c:pt>
                <c:pt idx="532">
                  <c:v>2</c:v>
                </c:pt>
                <c:pt idx="533">
                  <c:v>0</c:v>
                </c:pt>
                <c:pt idx="534">
                  <c:v>0</c:v>
                </c:pt>
                <c:pt idx="535">
                  <c:v>2</c:v>
                </c:pt>
                <c:pt idx="536">
                  <c:v>0</c:v>
                </c:pt>
                <c:pt idx="537">
                  <c:v>1</c:v>
                </c:pt>
                <c:pt idx="538">
                  <c:v>0</c:v>
                </c:pt>
                <c:pt idx="539">
                  <c:v>1</c:v>
                </c:pt>
                <c:pt idx="540">
                  <c:v>0</c:v>
                </c:pt>
                <c:pt idx="541">
                  <c:v>1</c:v>
                </c:pt>
                <c:pt idx="542">
                  <c:v>0</c:v>
                </c:pt>
                <c:pt idx="543">
                  <c:v>0</c:v>
                </c:pt>
                <c:pt idx="544">
                  <c:v>0</c:v>
                </c:pt>
                <c:pt idx="545">
                  <c:v>1</c:v>
                </c:pt>
                <c:pt idx="546">
                  <c:v>1</c:v>
                </c:pt>
                <c:pt idx="547">
                  <c:v>2</c:v>
                </c:pt>
                <c:pt idx="548">
                  <c:v>0</c:v>
                </c:pt>
                <c:pt idx="549">
                  <c:v>0</c:v>
                </c:pt>
                <c:pt idx="550">
                  <c:v>0</c:v>
                </c:pt>
                <c:pt idx="551">
                  <c:v>0</c:v>
                </c:pt>
                <c:pt idx="552">
                  <c:v>0</c:v>
                </c:pt>
                <c:pt idx="553">
                  <c:v>1</c:v>
                </c:pt>
                <c:pt idx="554">
                  <c:v>0</c:v>
                </c:pt>
                <c:pt idx="555">
                  <c:v>0</c:v>
                </c:pt>
                <c:pt idx="556">
                  <c:v>1</c:v>
                </c:pt>
                <c:pt idx="557">
                  <c:v>0</c:v>
                </c:pt>
                <c:pt idx="558">
                  <c:v>3</c:v>
                </c:pt>
                <c:pt idx="559">
                  <c:v>1</c:v>
                </c:pt>
                <c:pt idx="560">
                  <c:v>1</c:v>
                </c:pt>
                <c:pt idx="561">
                  <c:v>1</c:v>
                </c:pt>
                <c:pt idx="562">
                  <c:v>0</c:v>
                </c:pt>
                <c:pt idx="563">
                  <c:v>0</c:v>
                </c:pt>
                <c:pt idx="564">
                  <c:v>0</c:v>
                </c:pt>
                <c:pt idx="565">
                  <c:v>0</c:v>
                </c:pt>
                <c:pt idx="566">
                  <c:v>0</c:v>
                </c:pt>
                <c:pt idx="567">
                  <c:v>1</c:v>
                </c:pt>
                <c:pt idx="568">
                  <c:v>0</c:v>
                </c:pt>
                <c:pt idx="569">
                  <c:v>0</c:v>
                </c:pt>
                <c:pt idx="570">
                  <c:v>0</c:v>
                </c:pt>
                <c:pt idx="571">
                  <c:v>1</c:v>
                </c:pt>
                <c:pt idx="572">
                  <c:v>2</c:v>
                </c:pt>
                <c:pt idx="573">
                  <c:v>0</c:v>
                </c:pt>
                <c:pt idx="574">
                  <c:v>0</c:v>
                </c:pt>
                <c:pt idx="575">
                  <c:v>0</c:v>
                </c:pt>
                <c:pt idx="576">
                  <c:v>0</c:v>
                </c:pt>
                <c:pt idx="577">
                  <c:v>1</c:v>
                </c:pt>
                <c:pt idx="578">
                  <c:v>0</c:v>
                </c:pt>
                <c:pt idx="579">
                  <c:v>0</c:v>
                </c:pt>
                <c:pt idx="580">
                  <c:v>0</c:v>
                </c:pt>
                <c:pt idx="581">
                  <c:v>0</c:v>
                </c:pt>
                <c:pt idx="582">
                  <c:v>1</c:v>
                </c:pt>
                <c:pt idx="583">
                  <c:v>0</c:v>
                </c:pt>
                <c:pt idx="584">
                  <c:v>0</c:v>
                </c:pt>
                <c:pt idx="585">
                  <c:v>1</c:v>
                </c:pt>
                <c:pt idx="586">
                  <c:v>2</c:v>
                </c:pt>
                <c:pt idx="587">
                  <c:v>2</c:v>
                </c:pt>
                <c:pt idx="588">
                  <c:v>0</c:v>
                </c:pt>
                <c:pt idx="589">
                  <c:v>0</c:v>
                </c:pt>
                <c:pt idx="590">
                  <c:v>3</c:v>
                </c:pt>
                <c:pt idx="591">
                  <c:v>1</c:v>
                </c:pt>
                <c:pt idx="592">
                  <c:v>0</c:v>
                </c:pt>
                <c:pt idx="593">
                  <c:v>1</c:v>
                </c:pt>
                <c:pt idx="594">
                  <c:v>0</c:v>
                </c:pt>
                <c:pt idx="595">
                  <c:v>0</c:v>
                </c:pt>
                <c:pt idx="596">
                  <c:v>1</c:v>
                </c:pt>
                <c:pt idx="597">
                  <c:v>1</c:v>
                </c:pt>
                <c:pt idx="598">
                  <c:v>0</c:v>
                </c:pt>
                <c:pt idx="599">
                  <c:v>0</c:v>
                </c:pt>
                <c:pt idx="600">
                  <c:v>0</c:v>
                </c:pt>
                <c:pt idx="601">
                  <c:v>0</c:v>
                </c:pt>
                <c:pt idx="602">
                  <c:v>0</c:v>
                </c:pt>
                <c:pt idx="603">
                  <c:v>1</c:v>
                </c:pt>
                <c:pt idx="604">
                  <c:v>1</c:v>
                </c:pt>
                <c:pt idx="605">
                  <c:v>0</c:v>
                </c:pt>
                <c:pt idx="606">
                  <c:v>1</c:v>
                </c:pt>
                <c:pt idx="607">
                  <c:v>1</c:v>
                </c:pt>
                <c:pt idx="608">
                  <c:v>0</c:v>
                </c:pt>
                <c:pt idx="609">
                  <c:v>1</c:v>
                </c:pt>
                <c:pt idx="610">
                  <c:v>0</c:v>
                </c:pt>
                <c:pt idx="611">
                  <c:v>2</c:v>
                </c:pt>
                <c:pt idx="612">
                  <c:v>0</c:v>
                </c:pt>
                <c:pt idx="613">
                  <c:v>0</c:v>
                </c:pt>
                <c:pt idx="614">
                  <c:v>0</c:v>
                </c:pt>
                <c:pt idx="615">
                  <c:v>0</c:v>
                </c:pt>
                <c:pt idx="616">
                  <c:v>0</c:v>
                </c:pt>
                <c:pt idx="617">
                  <c:v>1</c:v>
                </c:pt>
                <c:pt idx="618">
                  <c:v>0</c:v>
                </c:pt>
                <c:pt idx="619">
                  <c:v>0</c:v>
                </c:pt>
                <c:pt idx="620">
                  <c:v>0</c:v>
                </c:pt>
                <c:pt idx="621">
                  <c:v>0</c:v>
                </c:pt>
                <c:pt idx="622">
                  <c:v>1</c:v>
                </c:pt>
                <c:pt idx="623">
                  <c:v>0</c:v>
                </c:pt>
                <c:pt idx="624">
                  <c:v>1</c:v>
                </c:pt>
                <c:pt idx="625">
                  <c:v>0</c:v>
                </c:pt>
                <c:pt idx="626">
                  <c:v>0</c:v>
                </c:pt>
                <c:pt idx="627">
                  <c:v>0</c:v>
                </c:pt>
                <c:pt idx="628">
                  <c:v>0</c:v>
                </c:pt>
                <c:pt idx="629">
                  <c:v>0</c:v>
                </c:pt>
                <c:pt idx="630">
                  <c:v>1</c:v>
                </c:pt>
                <c:pt idx="631">
                  <c:v>0</c:v>
                </c:pt>
                <c:pt idx="632">
                  <c:v>0</c:v>
                </c:pt>
                <c:pt idx="633">
                  <c:v>0</c:v>
                </c:pt>
                <c:pt idx="634">
                  <c:v>0</c:v>
                </c:pt>
                <c:pt idx="635">
                  <c:v>1</c:v>
                </c:pt>
                <c:pt idx="636">
                  <c:v>0</c:v>
                </c:pt>
                <c:pt idx="637">
                  <c:v>0</c:v>
                </c:pt>
                <c:pt idx="638">
                  <c:v>1</c:v>
                </c:pt>
                <c:pt idx="639">
                  <c:v>0</c:v>
                </c:pt>
                <c:pt idx="640">
                  <c:v>0</c:v>
                </c:pt>
                <c:pt idx="641">
                  <c:v>0</c:v>
                </c:pt>
                <c:pt idx="642">
                  <c:v>0</c:v>
                </c:pt>
                <c:pt idx="643">
                  <c:v>0</c:v>
                </c:pt>
                <c:pt idx="644">
                  <c:v>0</c:v>
                </c:pt>
                <c:pt idx="645">
                  <c:v>0</c:v>
                </c:pt>
                <c:pt idx="646">
                  <c:v>0</c:v>
                </c:pt>
                <c:pt idx="647">
                  <c:v>0</c:v>
                </c:pt>
                <c:pt idx="648">
                  <c:v>0</c:v>
                </c:pt>
                <c:pt idx="649">
                  <c:v>0</c:v>
                </c:pt>
                <c:pt idx="650">
                  <c:v>0</c:v>
                </c:pt>
                <c:pt idx="651">
                  <c:v>1</c:v>
                </c:pt>
                <c:pt idx="652">
                  <c:v>0</c:v>
                </c:pt>
                <c:pt idx="653">
                  <c:v>0</c:v>
                </c:pt>
                <c:pt idx="654">
                  <c:v>0</c:v>
                </c:pt>
                <c:pt idx="655">
                  <c:v>0</c:v>
                </c:pt>
                <c:pt idx="656">
                  <c:v>0</c:v>
                </c:pt>
                <c:pt idx="657">
                  <c:v>1</c:v>
                </c:pt>
                <c:pt idx="658">
                  <c:v>0</c:v>
                </c:pt>
                <c:pt idx="659">
                  <c:v>1</c:v>
                </c:pt>
                <c:pt idx="660">
                  <c:v>0</c:v>
                </c:pt>
                <c:pt idx="661">
                  <c:v>0</c:v>
                </c:pt>
                <c:pt idx="662">
                  <c:v>1</c:v>
                </c:pt>
                <c:pt idx="663">
                  <c:v>1</c:v>
                </c:pt>
                <c:pt idx="664">
                  <c:v>0</c:v>
                </c:pt>
                <c:pt idx="665">
                  <c:v>0</c:v>
                </c:pt>
                <c:pt idx="666">
                  <c:v>0</c:v>
                </c:pt>
                <c:pt idx="667">
                  <c:v>0</c:v>
                </c:pt>
                <c:pt idx="668">
                  <c:v>1</c:v>
                </c:pt>
                <c:pt idx="669">
                  <c:v>0</c:v>
                </c:pt>
                <c:pt idx="670">
                  <c:v>0</c:v>
                </c:pt>
                <c:pt idx="671">
                  <c:v>0</c:v>
                </c:pt>
                <c:pt idx="672">
                  <c:v>1</c:v>
                </c:pt>
                <c:pt idx="673">
                  <c:v>0</c:v>
                </c:pt>
                <c:pt idx="674">
                  <c:v>0</c:v>
                </c:pt>
                <c:pt idx="675">
                  <c:v>0</c:v>
                </c:pt>
                <c:pt idx="676">
                  <c:v>1</c:v>
                </c:pt>
                <c:pt idx="677">
                  <c:v>0</c:v>
                </c:pt>
                <c:pt idx="678">
                  <c:v>0</c:v>
                </c:pt>
                <c:pt idx="679">
                  <c:v>0</c:v>
                </c:pt>
                <c:pt idx="680">
                  <c:v>0</c:v>
                </c:pt>
                <c:pt idx="681">
                  <c:v>0</c:v>
                </c:pt>
                <c:pt idx="682">
                  <c:v>0</c:v>
                </c:pt>
                <c:pt idx="683">
                  <c:v>0</c:v>
                </c:pt>
                <c:pt idx="684">
                  <c:v>0</c:v>
                </c:pt>
                <c:pt idx="685">
                  <c:v>0</c:v>
                </c:pt>
                <c:pt idx="686">
                  <c:v>0</c:v>
                </c:pt>
                <c:pt idx="687">
                  <c:v>0</c:v>
                </c:pt>
                <c:pt idx="688">
                  <c:v>0</c:v>
                </c:pt>
                <c:pt idx="689">
                  <c:v>2</c:v>
                </c:pt>
                <c:pt idx="690">
                  <c:v>0</c:v>
                </c:pt>
                <c:pt idx="691">
                  <c:v>1</c:v>
                </c:pt>
                <c:pt idx="692">
                  <c:v>0</c:v>
                </c:pt>
                <c:pt idx="693">
                  <c:v>0</c:v>
                </c:pt>
                <c:pt idx="694">
                  <c:v>1</c:v>
                </c:pt>
                <c:pt idx="695">
                  <c:v>0</c:v>
                </c:pt>
                <c:pt idx="696">
                  <c:v>0</c:v>
                </c:pt>
                <c:pt idx="697">
                  <c:v>0</c:v>
                </c:pt>
                <c:pt idx="698">
                  <c:v>0</c:v>
                </c:pt>
                <c:pt idx="699">
                  <c:v>0</c:v>
                </c:pt>
                <c:pt idx="700">
                  <c:v>0</c:v>
                </c:pt>
                <c:pt idx="701">
                  <c:v>1</c:v>
                </c:pt>
                <c:pt idx="702">
                  <c:v>1</c:v>
                </c:pt>
                <c:pt idx="703">
                  <c:v>0</c:v>
                </c:pt>
                <c:pt idx="704">
                  <c:v>0</c:v>
                </c:pt>
                <c:pt idx="705">
                  <c:v>0</c:v>
                </c:pt>
                <c:pt idx="706">
                  <c:v>0</c:v>
                </c:pt>
                <c:pt idx="707">
                  <c:v>1</c:v>
                </c:pt>
                <c:pt idx="708">
                  <c:v>0</c:v>
                </c:pt>
                <c:pt idx="709">
                  <c:v>0</c:v>
                </c:pt>
                <c:pt idx="710">
                  <c:v>0</c:v>
                </c:pt>
                <c:pt idx="711">
                  <c:v>0</c:v>
                </c:pt>
                <c:pt idx="712">
                  <c:v>0</c:v>
                </c:pt>
                <c:pt idx="713">
                  <c:v>0</c:v>
                </c:pt>
                <c:pt idx="714">
                  <c:v>0</c:v>
                </c:pt>
                <c:pt idx="715">
                  <c:v>1</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1</c:v>
                </c:pt>
                <c:pt idx="745">
                  <c:v>0</c:v>
                </c:pt>
                <c:pt idx="746">
                  <c:v>0</c:v>
                </c:pt>
                <c:pt idx="747">
                  <c:v>0</c:v>
                </c:pt>
                <c:pt idx="748">
                  <c:v>0</c:v>
                </c:pt>
                <c:pt idx="749">
                  <c:v>1</c:v>
                </c:pt>
                <c:pt idx="750">
                  <c:v>0</c:v>
                </c:pt>
                <c:pt idx="751">
                  <c:v>0</c:v>
                </c:pt>
                <c:pt idx="752">
                  <c:v>0</c:v>
                </c:pt>
                <c:pt idx="753">
                  <c:v>1</c:v>
                </c:pt>
                <c:pt idx="754">
                  <c:v>0</c:v>
                </c:pt>
                <c:pt idx="755">
                  <c:v>0</c:v>
                </c:pt>
                <c:pt idx="756">
                  <c:v>0</c:v>
                </c:pt>
                <c:pt idx="757">
                  <c:v>0</c:v>
                </c:pt>
                <c:pt idx="758">
                  <c:v>0</c:v>
                </c:pt>
                <c:pt idx="759">
                  <c:v>1</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1</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1</c:v>
                </c:pt>
                <c:pt idx="833">
                  <c:v>0</c:v>
                </c:pt>
                <c:pt idx="834">
                  <c:v>0</c:v>
                </c:pt>
                <c:pt idx="835">
                  <c:v>0</c:v>
                </c:pt>
                <c:pt idx="836">
                  <c:v>0</c:v>
                </c:pt>
                <c:pt idx="837">
                  <c:v>0</c:v>
                </c:pt>
                <c:pt idx="838">
                  <c:v>0</c:v>
                </c:pt>
                <c:pt idx="839">
                  <c:v>0</c:v>
                </c:pt>
                <c:pt idx="840">
                  <c:v>0</c:v>
                </c:pt>
                <c:pt idx="841">
                  <c:v>0</c:v>
                </c:pt>
                <c:pt idx="842">
                  <c:v>1</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1</c:v>
                </c:pt>
                <c:pt idx="859">
                  <c:v>0</c:v>
                </c:pt>
                <c:pt idx="860">
                  <c:v>0</c:v>
                </c:pt>
                <c:pt idx="861">
                  <c:v>0</c:v>
                </c:pt>
                <c:pt idx="862">
                  <c:v>0</c:v>
                </c:pt>
                <c:pt idx="863">
                  <c:v>0</c:v>
                </c:pt>
                <c:pt idx="864">
                  <c:v>0</c:v>
                </c:pt>
                <c:pt idx="865">
                  <c:v>0</c:v>
                </c:pt>
                <c:pt idx="866">
                  <c:v>0</c:v>
                </c:pt>
                <c:pt idx="867">
                  <c:v>1</c:v>
                </c:pt>
                <c:pt idx="868">
                  <c:v>0</c:v>
                </c:pt>
                <c:pt idx="869">
                  <c:v>0</c:v>
                </c:pt>
                <c:pt idx="870">
                  <c:v>0</c:v>
                </c:pt>
                <c:pt idx="871">
                  <c:v>0</c:v>
                </c:pt>
                <c:pt idx="872">
                  <c:v>1</c:v>
                </c:pt>
                <c:pt idx="873">
                  <c:v>0</c:v>
                </c:pt>
                <c:pt idx="874">
                  <c:v>1</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1</c:v>
                </c:pt>
                <c:pt idx="913">
                  <c:v>0</c:v>
                </c:pt>
                <c:pt idx="914">
                  <c:v>0</c:v>
                </c:pt>
                <c:pt idx="915">
                  <c:v>0</c:v>
                </c:pt>
                <c:pt idx="916">
                  <c:v>0</c:v>
                </c:pt>
                <c:pt idx="917">
                  <c:v>0</c:v>
                </c:pt>
                <c:pt idx="918">
                  <c:v>0</c:v>
                </c:pt>
                <c:pt idx="919">
                  <c:v>0</c:v>
                </c:pt>
                <c:pt idx="920">
                  <c:v>0</c:v>
                </c:pt>
                <c:pt idx="921">
                  <c:v>0</c:v>
                </c:pt>
                <c:pt idx="922">
                  <c:v>0</c:v>
                </c:pt>
                <c:pt idx="923">
                  <c:v>0</c:v>
                </c:pt>
                <c:pt idx="924">
                  <c:v>1</c:v>
                </c:pt>
                <c:pt idx="925">
                  <c:v>0</c:v>
                </c:pt>
                <c:pt idx="926">
                  <c:v>1</c:v>
                </c:pt>
                <c:pt idx="927">
                  <c:v>0</c:v>
                </c:pt>
                <c:pt idx="928">
                  <c:v>0</c:v>
                </c:pt>
                <c:pt idx="929">
                  <c:v>0</c:v>
                </c:pt>
                <c:pt idx="930">
                  <c:v>0</c:v>
                </c:pt>
                <c:pt idx="931">
                  <c:v>1</c:v>
                </c:pt>
                <c:pt idx="932">
                  <c:v>0</c:v>
                </c:pt>
                <c:pt idx="933">
                  <c:v>0</c:v>
                </c:pt>
                <c:pt idx="934">
                  <c:v>0</c:v>
                </c:pt>
                <c:pt idx="935">
                  <c:v>0</c:v>
                </c:pt>
                <c:pt idx="936">
                  <c:v>0</c:v>
                </c:pt>
                <c:pt idx="937">
                  <c:v>0</c:v>
                </c:pt>
                <c:pt idx="938">
                  <c:v>0</c:v>
                </c:pt>
                <c:pt idx="939">
                  <c:v>0</c:v>
                </c:pt>
                <c:pt idx="940">
                  <c:v>1</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1</c:v>
                </c:pt>
                <c:pt idx="968">
                  <c:v>0</c:v>
                </c:pt>
                <c:pt idx="969">
                  <c:v>0</c:v>
                </c:pt>
                <c:pt idx="970">
                  <c:v>0</c:v>
                </c:pt>
                <c:pt idx="971">
                  <c:v>0</c:v>
                </c:pt>
                <c:pt idx="972">
                  <c:v>0</c:v>
                </c:pt>
                <c:pt idx="973">
                  <c:v>0</c:v>
                </c:pt>
                <c:pt idx="974">
                  <c:v>0</c:v>
                </c:pt>
                <c:pt idx="975">
                  <c:v>0</c:v>
                </c:pt>
                <c:pt idx="976">
                  <c:v>0</c:v>
                </c:pt>
                <c:pt idx="977">
                  <c:v>0</c:v>
                </c:pt>
                <c:pt idx="978">
                  <c:v>0</c:v>
                </c:pt>
                <c:pt idx="979">
                  <c:v>0</c:v>
                </c:pt>
                <c:pt idx="980">
                  <c:v>1</c:v>
                </c:pt>
                <c:pt idx="981">
                  <c:v>0</c:v>
                </c:pt>
                <c:pt idx="982">
                  <c:v>0</c:v>
                </c:pt>
                <c:pt idx="983">
                  <c:v>0</c:v>
                </c:pt>
                <c:pt idx="984">
                  <c:v>0</c:v>
                </c:pt>
                <c:pt idx="985">
                  <c:v>0</c:v>
                </c:pt>
                <c:pt idx="986">
                  <c:v>0</c:v>
                </c:pt>
                <c:pt idx="987">
                  <c:v>0</c:v>
                </c:pt>
                <c:pt idx="988">
                  <c:v>0</c:v>
                </c:pt>
                <c:pt idx="989">
                  <c:v>0</c:v>
                </c:pt>
                <c:pt idx="990">
                  <c:v>1</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4.625</c:v>
                </c:pt>
                <c:pt idx="139">
                  <c:v>9.125</c:v>
                </c:pt>
                <c:pt idx="140">
                  <c:v>13.875</c:v>
                </c:pt>
                <c:pt idx="141">
                  <c:v>19.125</c:v>
                </c:pt>
                <c:pt idx="142">
                  <c:v>24.5</c:v>
                </c:pt>
                <c:pt idx="143">
                  <c:v>28.5</c:v>
                </c:pt>
                <c:pt idx="144">
                  <c:v>33.75</c:v>
                </c:pt>
                <c:pt idx="145">
                  <c:v>40</c:v>
                </c:pt>
                <c:pt idx="146">
                  <c:v>41.5</c:v>
                </c:pt>
                <c:pt idx="147">
                  <c:v>41.375</c:v>
                </c:pt>
                <c:pt idx="148">
                  <c:v>42.125</c:v>
                </c:pt>
                <c:pt idx="149">
                  <c:v>41.375</c:v>
                </c:pt>
                <c:pt idx="150">
                  <c:v>41.25</c:v>
                </c:pt>
                <c:pt idx="151">
                  <c:v>42.5</c:v>
                </c:pt>
                <c:pt idx="152">
                  <c:v>42.5</c:v>
                </c:pt>
                <c:pt idx="153">
                  <c:v>42.625</c:v>
                </c:pt>
                <c:pt idx="154">
                  <c:v>42</c:v>
                </c:pt>
                <c:pt idx="155">
                  <c:v>45</c:v>
                </c:pt>
                <c:pt idx="156">
                  <c:v>46.875</c:v>
                </c:pt>
                <c:pt idx="157">
                  <c:v>47.75</c:v>
                </c:pt>
                <c:pt idx="158">
                  <c:v>48</c:v>
                </c:pt>
                <c:pt idx="159">
                  <c:v>49</c:v>
                </c:pt>
                <c:pt idx="160">
                  <c:v>49.875</c:v>
                </c:pt>
                <c:pt idx="161">
                  <c:v>51.25</c:v>
                </c:pt>
                <c:pt idx="162">
                  <c:v>53</c:v>
                </c:pt>
                <c:pt idx="163">
                  <c:v>53.25</c:v>
                </c:pt>
                <c:pt idx="164">
                  <c:v>54.5</c:v>
                </c:pt>
                <c:pt idx="165">
                  <c:v>55.875</c:v>
                </c:pt>
                <c:pt idx="166">
                  <c:v>59.75</c:v>
                </c:pt>
                <c:pt idx="167">
                  <c:v>62.875</c:v>
                </c:pt>
                <c:pt idx="168">
                  <c:v>68</c:v>
                </c:pt>
                <c:pt idx="169">
                  <c:v>72.875</c:v>
                </c:pt>
                <c:pt idx="170">
                  <c:v>79.5</c:v>
                </c:pt>
                <c:pt idx="171">
                  <c:v>86.5</c:v>
                </c:pt>
                <c:pt idx="172">
                  <c:v>93.875</c:v>
                </c:pt>
                <c:pt idx="173">
                  <c:v>102.125</c:v>
                </c:pt>
                <c:pt idx="174">
                  <c:v>108.625</c:v>
                </c:pt>
                <c:pt idx="175">
                  <c:v>115.875</c:v>
                </c:pt>
                <c:pt idx="176">
                  <c:v>124.25</c:v>
                </c:pt>
                <c:pt idx="177">
                  <c:v>129.375</c:v>
                </c:pt>
                <c:pt idx="178">
                  <c:v>136.875</c:v>
                </c:pt>
                <c:pt idx="179">
                  <c:v>145.25</c:v>
                </c:pt>
                <c:pt idx="180">
                  <c:v>154</c:v>
                </c:pt>
                <c:pt idx="181">
                  <c:v>166.625</c:v>
                </c:pt>
                <c:pt idx="182">
                  <c:v>178.25</c:v>
                </c:pt>
                <c:pt idx="183">
                  <c:v>190.875</c:v>
                </c:pt>
                <c:pt idx="184">
                  <c:v>203.375</c:v>
                </c:pt>
                <c:pt idx="185">
                  <c:v>217.875</c:v>
                </c:pt>
                <c:pt idx="186">
                  <c:v>229</c:v>
                </c:pt>
                <c:pt idx="187">
                  <c:v>244.125</c:v>
                </c:pt>
                <c:pt idx="188">
                  <c:v>261</c:v>
                </c:pt>
                <c:pt idx="189">
                  <c:v>278.625</c:v>
                </c:pt>
                <c:pt idx="190">
                  <c:v>294.75</c:v>
                </c:pt>
                <c:pt idx="191">
                  <c:v>318</c:v>
                </c:pt>
                <c:pt idx="192">
                  <c:v>338.125</c:v>
                </c:pt>
                <c:pt idx="193">
                  <c:v>360.75</c:v>
                </c:pt>
                <c:pt idx="194">
                  <c:v>386.875</c:v>
                </c:pt>
                <c:pt idx="195">
                  <c:v>409.875</c:v>
                </c:pt>
                <c:pt idx="196">
                  <c:v>435.25</c:v>
                </c:pt>
                <c:pt idx="197">
                  <c:v>460.75</c:v>
                </c:pt>
                <c:pt idx="198">
                  <c:v>484.5</c:v>
                </c:pt>
                <c:pt idx="199">
                  <c:v>508.75</c:v>
                </c:pt>
                <c:pt idx="200">
                  <c:v>531.5</c:v>
                </c:pt>
                <c:pt idx="201">
                  <c:v>552.5</c:v>
                </c:pt>
                <c:pt idx="202">
                  <c:v>578.75</c:v>
                </c:pt>
                <c:pt idx="203">
                  <c:v>599.375</c:v>
                </c:pt>
                <c:pt idx="204">
                  <c:v>620.75</c:v>
                </c:pt>
                <c:pt idx="205">
                  <c:v>646.25</c:v>
                </c:pt>
                <c:pt idx="206">
                  <c:v>670.375</c:v>
                </c:pt>
                <c:pt idx="207">
                  <c:v>689.5</c:v>
                </c:pt>
                <c:pt idx="208">
                  <c:v>703.75</c:v>
                </c:pt>
                <c:pt idx="209">
                  <c:v>720.5</c:v>
                </c:pt>
                <c:pt idx="210">
                  <c:v>735.5</c:v>
                </c:pt>
                <c:pt idx="211">
                  <c:v>748.625</c:v>
                </c:pt>
                <c:pt idx="212">
                  <c:v>754.875</c:v>
                </c:pt>
                <c:pt idx="213">
                  <c:v>754.375</c:v>
                </c:pt>
                <c:pt idx="214">
                  <c:v>755.375</c:v>
                </c:pt>
                <c:pt idx="215">
                  <c:v>755</c:v>
                </c:pt>
                <c:pt idx="216">
                  <c:v>763.875</c:v>
                </c:pt>
                <c:pt idx="217">
                  <c:v>767.75</c:v>
                </c:pt>
                <c:pt idx="218">
                  <c:v>762.625</c:v>
                </c:pt>
                <c:pt idx="219">
                  <c:v>761.75</c:v>
                </c:pt>
                <c:pt idx="220">
                  <c:v>762.5</c:v>
                </c:pt>
                <c:pt idx="221">
                  <c:v>757</c:v>
                </c:pt>
                <c:pt idx="222">
                  <c:v>757.875</c:v>
                </c:pt>
                <c:pt idx="223">
                  <c:v>749</c:v>
                </c:pt>
                <c:pt idx="224">
                  <c:v>745.125</c:v>
                </c:pt>
                <c:pt idx="225">
                  <c:v>738.125</c:v>
                </c:pt>
                <c:pt idx="226">
                  <c:v>724.125</c:v>
                </c:pt>
                <c:pt idx="227">
                  <c:v>709.875</c:v>
                </c:pt>
                <c:pt idx="228">
                  <c:v>693</c:v>
                </c:pt>
                <c:pt idx="229">
                  <c:v>680.125</c:v>
                </c:pt>
                <c:pt idx="230">
                  <c:v>658</c:v>
                </c:pt>
                <c:pt idx="231">
                  <c:v>641.5</c:v>
                </c:pt>
                <c:pt idx="232">
                  <c:v>616</c:v>
                </c:pt>
                <c:pt idx="233">
                  <c:v>589.75</c:v>
                </c:pt>
                <c:pt idx="234">
                  <c:v>567.75</c:v>
                </c:pt>
                <c:pt idx="235">
                  <c:v>547.625</c:v>
                </c:pt>
                <c:pt idx="236">
                  <c:v>526.75</c:v>
                </c:pt>
                <c:pt idx="237">
                  <c:v>503.875</c:v>
                </c:pt>
                <c:pt idx="238">
                  <c:v>484.125</c:v>
                </c:pt>
                <c:pt idx="239">
                  <c:v>469.625</c:v>
                </c:pt>
                <c:pt idx="240">
                  <c:v>450.25</c:v>
                </c:pt>
                <c:pt idx="241">
                  <c:v>430</c:v>
                </c:pt>
                <c:pt idx="242">
                  <c:v>414.5</c:v>
                </c:pt>
                <c:pt idx="243">
                  <c:v>395</c:v>
                </c:pt>
                <c:pt idx="244">
                  <c:v>374.75</c:v>
                </c:pt>
                <c:pt idx="245">
                  <c:v>354.25</c:v>
                </c:pt>
                <c:pt idx="246">
                  <c:v>338.375</c:v>
                </c:pt>
                <c:pt idx="247">
                  <c:v>319.375</c:v>
                </c:pt>
                <c:pt idx="248">
                  <c:v>305.375</c:v>
                </c:pt>
                <c:pt idx="249">
                  <c:v>294.25</c:v>
                </c:pt>
                <c:pt idx="250">
                  <c:v>278</c:v>
                </c:pt>
                <c:pt idx="251">
                  <c:v>263.875</c:v>
                </c:pt>
                <c:pt idx="252">
                  <c:v>250.125</c:v>
                </c:pt>
                <c:pt idx="253">
                  <c:v>242.75</c:v>
                </c:pt>
                <c:pt idx="254">
                  <c:v>230.5</c:v>
                </c:pt>
                <c:pt idx="255">
                  <c:v>213.25</c:v>
                </c:pt>
                <c:pt idx="256">
                  <c:v>197.125</c:v>
                </c:pt>
                <c:pt idx="257">
                  <c:v>181.75</c:v>
                </c:pt>
                <c:pt idx="258">
                  <c:v>171.875</c:v>
                </c:pt>
                <c:pt idx="259">
                  <c:v>159.25</c:v>
                </c:pt>
                <c:pt idx="260">
                  <c:v>150.625</c:v>
                </c:pt>
                <c:pt idx="261">
                  <c:v>137.875</c:v>
                </c:pt>
                <c:pt idx="262">
                  <c:v>125.5</c:v>
                </c:pt>
                <c:pt idx="263">
                  <c:v>117.75</c:v>
                </c:pt>
                <c:pt idx="264">
                  <c:v>109.25</c:v>
                </c:pt>
                <c:pt idx="265">
                  <c:v>103.625</c:v>
                </c:pt>
                <c:pt idx="266">
                  <c:v>95.375</c:v>
                </c:pt>
                <c:pt idx="267">
                  <c:v>89.5</c:v>
                </c:pt>
                <c:pt idx="268">
                  <c:v>83.5</c:v>
                </c:pt>
                <c:pt idx="269">
                  <c:v>76.5</c:v>
                </c:pt>
                <c:pt idx="270">
                  <c:v>71.75</c:v>
                </c:pt>
                <c:pt idx="271">
                  <c:v>65.875</c:v>
                </c:pt>
                <c:pt idx="272">
                  <c:v>60.625</c:v>
                </c:pt>
                <c:pt idx="273">
                  <c:v>55.25</c:v>
                </c:pt>
                <c:pt idx="274">
                  <c:v>51.375</c:v>
                </c:pt>
                <c:pt idx="275">
                  <c:v>47.625</c:v>
                </c:pt>
                <c:pt idx="276">
                  <c:v>42.75</c:v>
                </c:pt>
                <c:pt idx="277">
                  <c:v>39.125</c:v>
                </c:pt>
                <c:pt idx="278">
                  <c:v>35.5</c:v>
                </c:pt>
                <c:pt idx="279">
                  <c:v>32.125</c:v>
                </c:pt>
                <c:pt idx="280">
                  <c:v>30.875</c:v>
                </c:pt>
                <c:pt idx="281">
                  <c:v>28.75</c:v>
                </c:pt>
                <c:pt idx="282">
                  <c:v>26.75</c:v>
                </c:pt>
                <c:pt idx="283">
                  <c:v>26.125</c:v>
                </c:pt>
                <c:pt idx="284">
                  <c:v>23.875</c:v>
                </c:pt>
                <c:pt idx="285">
                  <c:v>23.125</c:v>
                </c:pt>
                <c:pt idx="286">
                  <c:v>22</c:v>
                </c:pt>
                <c:pt idx="287">
                  <c:v>21.5</c:v>
                </c:pt>
                <c:pt idx="288">
                  <c:v>19.5</c:v>
                </c:pt>
                <c:pt idx="289">
                  <c:v>18.5</c:v>
                </c:pt>
                <c:pt idx="290">
                  <c:v>17.5</c:v>
                </c:pt>
                <c:pt idx="291">
                  <c:v>16.875</c:v>
                </c:pt>
                <c:pt idx="292">
                  <c:v>16</c:v>
                </c:pt>
                <c:pt idx="293">
                  <c:v>15.375</c:v>
                </c:pt>
                <c:pt idx="294">
                  <c:v>15.125</c:v>
                </c:pt>
                <c:pt idx="295">
                  <c:v>14.125</c:v>
                </c:pt>
                <c:pt idx="296">
                  <c:v>12.75</c:v>
                </c:pt>
                <c:pt idx="297">
                  <c:v>11.375</c:v>
                </c:pt>
                <c:pt idx="298">
                  <c:v>10.875</c:v>
                </c:pt>
                <c:pt idx="299">
                  <c:v>9.5</c:v>
                </c:pt>
                <c:pt idx="300">
                  <c:v>9.5</c:v>
                </c:pt>
                <c:pt idx="301">
                  <c:v>8.75</c:v>
                </c:pt>
                <c:pt idx="302">
                  <c:v>8.875</c:v>
                </c:pt>
                <c:pt idx="303">
                  <c:v>8.875</c:v>
                </c:pt>
                <c:pt idx="304">
                  <c:v>8.375</c:v>
                </c:pt>
                <c:pt idx="305">
                  <c:v>8.25</c:v>
                </c:pt>
                <c:pt idx="306">
                  <c:v>7.5</c:v>
                </c:pt>
                <c:pt idx="307">
                  <c:v>7.75</c:v>
                </c:pt>
                <c:pt idx="308">
                  <c:v>8.375</c:v>
                </c:pt>
                <c:pt idx="309">
                  <c:v>7.75</c:v>
                </c:pt>
                <c:pt idx="310">
                  <c:v>7.125</c:v>
                </c:pt>
                <c:pt idx="311">
                  <c:v>7.625</c:v>
                </c:pt>
                <c:pt idx="312">
                  <c:v>7.625</c:v>
                </c:pt>
                <c:pt idx="313">
                  <c:v>7.375</c:v>
                </c:pt>
                <c:pt idx="314">
                  <c:v>6.875</c:v>
                </c:pt>
                <c:pt idx="315">
                  <c:v>5.75</c:v>
                </c:pt>
                <c:pt idx="316">
                  <c:v>4.75</c:v>
                </c:pt>
                <c:pt idx="317">
                  <c:v>5.375</c:v>
                </c:pt>
                <c:pt idx="318">
                  <c:v>5.5</c:v>
                </c:pt>
                <c:pt idx="319">
                  <c:v>5.125</c:v>
                </c:pt>
                <c:pt idx="320">
                  <c:v>5.25</c:v>
                </c:pt>
                <c:pt idx="321">
                  <c:v>5.625</c:v>
                </c:pt>
                <c:pt idx="322">
                  <c:v>6</c:v>
                </c:pt>
                <c:pt idx="323">
                  <c:v>6.5</c:v>
                </c:pt>
                <c:pt idx="324">
                  <c:v>7.25</c:v>
                </c:pt>
                <c:pt idx="325">
                  <c:v>6.625</c:v>
                </c:pt>
                <c:pt idx="326">
                  <c:v>6.125</c:v>
                </c:pt>
                <c:pt idx="327">
                  <c:v>5.625</c:v>
                </c:pt>
                <c:pt idx="328">
                  <c:v>5.375</c:v>
                </c:pt>
                <c:pt idx="329">
                  <c:v>5.25</c:v>
                </c:pt>
                <c:pt idx="330">
                  <c:v>5.125</c:v>
                </c:pt>
                <c:pt idx="331">
                  <c:v>5.25</c:v>
                </c:pt>
                <c:pt idx="332">
                  <c:v>4.375</c:v>
                </c:pt>
                <c:pt idx="333">
                  <c:v>4.375</c:v>
                </c:pt>
                <c:pt idx="334">
                  <c:v>5.25</c:v>
                </c:pt>
                <c:pt idx="335">
                  <c:v>5.25</c:v>
                </c:pt>
                <c:pt idx="336">
                  <c:v>5.5</c:v>
                </c:pt>
                <c:pt idx="337">
                  <c:v>5.125</c:v>
                </c:pt>
                <c:pt idx="338">
                  <c:v>5.125</c:v>
                </c:pt>
                <c:pt idx="339">
                  <c:v>4.875</c:v>
                </c:pt>
                <c:pt idx="340">
                  <c:v>5</c:v>
                </c:pt>
                <c:pt idx="341">
                  <c:v>5</c:v>
                </c:pt>
                <c:pt idx="342">
                  <c:v>5</c:v>
                </c:pt>
                <c:pt idx="343">
                  <c:v>4.875</c:v>
                </c:pt>
                <c:pt idx="344">
                  <c:v>4.875</c:v>
                </c:pt>
                <c:pt idx="345">
                  <c:v>5.125</c:v>
                </c:pt>
                <c:pt idx="346">
                  <c:v>5.125</c:v>
                </c:pt>
                <c:pt idx="347">
                  <c:v>4.75</c:v>
                </c:pt>
                <c:pt idx="348">
                  <c:v>4.875</c:v>
                </c:pt>
                <c:pt idx="349">
                  <c:v>4.75</c:v>
                </c:pt>
                <c:pt idx="350">
                  <c:v>4.25</c:v>
                </c:pt>
                <c:pt idx="351">
                  <c:v>4.625</c:v>
                </c:pt>
                <c:pt idx="352">
                  <c:v>4.75</c:v>
                </c:pt>
                <c:pt idx="353">
                  <c:v>5</c:v>
                </c:pt>
                <c:pt idx="354">
                  <c:v>4.625</c:v>
                </c:pt>
                <c:pt idx="355">
                  <c:v>4.875</c:v>
                </c:pt>
                <c:pt idx="356">
                  <c:v>4.375</c:v>
                </c:pt>
                <c:pt idx="357">
                  <c:v>4.75</c:v>
                </c:pt>
                <c:pt idx="358">
                  <c:v>4.625</c:v>
                </c:pt>
                <c:pt idx="359">
                  <c:v>5.125</c:v>
                </c:pt>
                <c:pt idx="360">
                  <c:v>5.125</c:v>
                </c:pt>
                <c:pt idx="361">
                  <c:v>4.75</c:v>
                </c:pt>
                <c:pt idx="362">
                  <c:v>5.125</c:v>
                </c:pt>
                <c:pt idx="363">
                  <c:v>5.25</c:v>
                </c:pt>
                <c:pt idx="364">
                  <c:v>5.25</c:v>
                </c:pt>
                <c:pt idx="365">
                  <c:v>4.875</c:v>
                </c:pt>
                <c:pt idx="366">
                  <c:v>4.5</c:v>
                </c:pt>
                <c:pt idx="367">
                  <c:v>3.5</c:v>
                </c:pt>
                <c:pt idx="368">
                  <c:v>3.5</c:v>
                </c:pt>
                <c:pt idx="369">
                  <c:v>3.75</c:v>
                </c:pt>
                <c:pt idx="370">
                  <c:v>3.875</c:v>
                </c:pt>
                <c:pt idx="371">
                  <c:v>4.375</c:v>
                </c:pt>
                <c:pt idx="372">
                  <c:v>4.75</c:v>
                </c:pt>
                <c:pt idx="373">
                  <c:v>4.75</c:v>
                </c:pt>
                <c:pt idx="374">
                  <c:v>5.125</c:v>
                </c:pt>
                <c:pt idx="375">
                  <c:v>5.875</c:v>
                </c:pt>
                <c:pt idx="376">
                  <c:v>5.625</c:v>
                </c:pt>
                <c:pt idx="377">
                  <c:v>5.375</c:v>
                </c:pt>
                <c:pt idx="378">
                  <c:v>5.125</c:v>
                </c:pt>
                <c:pt idx="379">
                  <c:v>4.75</c:v>
                </c:pt>
                <c:pt idx="380">
                  <c:v>4.875</c:v>
                </c:pt>
                <c:pt idx="381">
                  <c:v>5</c:v>
                </c:pt>
                <c:pt idx="382">
                  <c:v>4.5</c:v>
                </c:pt>
                <c:pt idx="383">
                  <c:v>3.875</c:v>
                </c:pt>
                <c:pt idx="384">
                  <c:v>4.75</c:v>
                </c:pt>
                <c:pt idx="385">
                  <c:v>4.375</c:v>
                </c:pt>
                <c:pt idx="386">
                  <c:v>4.25</c:v>
                </c:pt>
                <c:pt idx="387">
                  <c:v>4.25</c:v>
                </c:pt>
                <c:pt idx="388">
                  <c:v>4.25</c:v>
                </c:pt>
                <c:pt idx="389">
                  <c:v>3.875</c:v>
                </c:pt>
                <c:pt idx="390">
                  <c:v>4.375</c:v>
                </c:pt>
                <c:pt idx="391">
                  <c:v>4.25</c:v>
                </c:pt>
                <c:pt idx="392">
                  <c:v>4</c:v>
                </c:pt>
                <c:pt idx="393">
                  <c:v>4.875</c:v>
                </c:pt>
                <c:pt idx="394">
                  <c:v>5.125</c:v>
                </c:pt>
                <c:pt idx="395">
                  <c:v>5.25</c:v>
                </c:pt>
                <c:pt idx="396">
                  <c:v>5</c:v>
                </c:pt>
                <c:pt idx="397">
                  <c:v>5.625</c:v>
                </c:pt>
                <c:pt idx="398">
                  <c:v>5.125</c:v>
                </c:pt>
                <c:pt idx="399">
                  <c:v>5.5</c:v>
                </c:pt>
                <c:pt idx="400">
                  <c:v>5.25</c:v>
                </c:pt>
                <c:pt idx="401">
                  <c:v>4.75</c:v>
                </c:pt>
                <c:pt idx="402">
                  <c:v>4.5</c:v>
                </c:pt>
                <c:pt idx="403">
                  <c:v>4.875</c:v>
                </c:pt>
                <c:pt idx="404">
                  <c:v>4.875</c:v>
                </c:pt>
                <c:pt idx="405">
                  <c:v>4.375</c:v>
                </c:pt>
                <c:pt idx="406">
                  <c:v>5</c:v>
                </c:pt>
                <c:pt idx="407">
                  <c:v>4.5</c:v>
                </c:pt>
                <c:pt idx="408">
                  <c:v>4.5</c:v>
                </c:pt>
                <c:pt idx="409">
                  <c:v>4.625</c:v>
                </c:pt>
                <c:pt idx="410">
                  <c:v>4.875</c:v>
                </c:pt>
                <c:pt idx="411">
                  <c:v>4.125</c:v>
                </c:pt>
                <c:pt idx="412">
                  <c:v>4</c:v>
                </c:pt>
                <c:pt idx="413">
                  <c:v>4.125</c:v>
                </c:pt>
                <c:pt idx="414">
                  <c:v>4.125</c:v>
                </c:pt>
                <c:pt idx="415">
                  <c:v>4.75</c:v>
                </c:pt>
                <c:pt idx="416">
                  <c:v>4.5</c:v>
                </c:pt>
                <c:pt idx="417">
                  <c:v>4.375</c:v>
                </c:pt>
                <c:pt idx="418">
                  <c:v>4.75</c:v>
                </c:pt>
                <c:pt idx="419">
                  <c:v>4.875</c:v>
                </c:pt>
                <c:pt idx="420">
                  <c:v>5.25</c:v>
                </c:pt>
                <c:pt idx="421">
                  <c:v>5.75</c:v>
                </c:pt>
                <c:pt idx="422">
                  <c:v>5.625</c:v>
                </c:pt>
                <c:pt idx="423">
                  <c:v>5.375</c:v>
                </c:pt>
                <c:pt idx="424">
                  <c:v>5.25</c:v>
                </c:pt>
                <c:pt idx="425">
                  <c:v>5.25</c:v>
                </c:pt>
                <c:pt idx="426">
                  <c:v>5</c:v>
                </c:pt>
                <c:pt idx="427">
                  <c:v>5</c:v>
                </c:pt>
                <c:pt idx="428">
                  <c:v>4.5</c:v>
                </c:pt>
                <c:pt idx="429">
                  <c:v>4.5</c:v>
                </c:pt>
                <c:pt idx="430">
                  <c:v>4.75</c:v>
                </c:pt>
                <c:pt idx="431">
                  <c:v>5.25</c:v>
                </c:pt>
                <c:pt idx="432">
                  <c:v>5.5</c:v>
                </c:pt>
                <c:pt idx="433">
                  <c:v>5.75</c:v>
                </c:pt>
                <c:pt idx="434">
                  <c:v>5.75</c:v>
                </c:pt>
                <c:pt idx="435">
                  <c:v>5.625</c:v>
                </c:pt>
                <c:pt idx="436">
                  <c:v>5.75</c:v>
                </c:pt>
                <c:pt idx="437">
                  <c:v>5.625</c:v>
                </c:pt>
                <c:pt idx="438">
                  <c:v>5.25</c:v>
                </c:pt>
                <c:pt idx="439">
                  <c:v>4.75</c:v>
                </c:pt>
                <c:pt idx="440">
                  <c:v>4.5</c:v>
                </c:pt>
                <c:pt idx="441">
                  <c:v>4.5</c:v>
                </c:pt>
                <c:pt idx="442">
                  <c:v>4.75</c:v>
                </c:pt>
                <c:pt idx="443">
                  <c:v>4.375</c:v>
                </c:pt>
                <c:pt idx="444">
                  <c:v>4.625</c:v>
                </c:pt>
                <c:pt idx="445">
                  <c:v>4.25</c:v>
                </c:pt>
                <c:pt idx="446">
                  <c:v>4.875</c:v>
                </c:pt>
                <c:pt idx="447">
                  <c:v>5.125</c:v>
                </c:pt>
                <c:pt idx="448">
                  <c:v>5.375</c:v>
                </c:pt>
                <c:pt idx="449">
                  <c:v>5</c:v>
                </c:pt>
                <c:pt idx="450">
                  <c:v>4.375</c:v>
                </c:pt>
                <c:pt idx="451">
                  <c:v>4.75</c:v>
                </c:pt>
                <c:pt idx="452">
                  <c:v>4.125</c:v>
                </c:pt>
                <c:pt idx="453">
                  <c:v>4.125</c:v>
                </c:pt>
                <c:pt idx="454">
                  <c:v>3.5</c:v>
                </c:pt>
                <c:pt idx="455">
                  <c:v>3.25</c:v>
                </c:pt>
                <c:pt idx="456">
                  <c:v>3</c:v>
                </c:pt>
                <c:pt idx="457">
                  <c:v>2.625</c:v>
                </c:pt>
                <c:pt idx="458">
                  <c:v>2.625</c:v>
                </c:pt>
                <c:pt idx="459">
                  <c:v>2.5</c:v>
                </c:pt>
                <c:pt idx="460">
                  <c:v>2.875</c:v>
                </c:pt>
                <c:pt idx="461">
                  <c:v>2.875</c:v>
                </c:pt>
                <c:pt idx="462">
                  <c:v>2.625</c:v>
                </c:pt>
                <c:pt idx="463">
                  <c:v>2.375</c:v>
                </c:pt>
                <c:pt idx="464">
                  <c:v>2.125</c:v>
                </c:pt>
                <c:pt idx="465">
                  <c:v>2.5</c:v>
                </c:pt>
                <c:pt idx="466">
                  <c:v>2.5</c:v>
                </c:pt>
                <c:pt idx="467">
                  <c:v>2.375</c:v>
                </c:pt>
                <c:pt idx="468">
                  <c:v>2.125</c:v>
                </c:pt>
                <c:pt idx="469">
                  <c:v>2.25</c:v>
                </c:pt>
                <c:pt idx="470">
                  <c:v>2.5</c:v>
                </c:pt>
                <c:pt idx="471">
                  <c:v>2.375</c:v>
                </c:pt>
                <c:pt idx="472">
                  <c:v>2.625</c:v>
                </c:pt>
                <c:pt idx="473">
                  <c:v>2.25</c:v>
                </c:pt>
                <c:pt idx="474">
                  <c:v>2.375</c:v>
                </c:pt>
                <c:pt idx="475">
                  <c:v>2.5</c:v>
                </c:pt>
                <c:pt idx="476">
                  <c:v>2.75</c:v>
                </c:pt>
                <c:pt idx="477">
                  <c:v>2.5</c:v>
                </c:pt>
                <c:pt idx="478">
                  <c:v>2.125</c:v>
                </c:pt>
                <c:pt idx="479">
                  <c:v>2.125</c:v>
                </c:pt>
                <c:pt idx="480">
                  <c:v>2</c:v>
                </c:pt>
                <c:pt idx="481">
                  <c:v>1.875</c:v>
                </c:pt>
                <c:pt idx="482">
                  <c:v>1.875</c:v>
                </c:pt>
                <c:pt idx="483">
                  <c:v>1.5</c:v>
                </c:pt>
                <c:pt idx="484">
                  <c:v>1.625</c:v>
                </c:pt>
                <c:pt idx="485">
                  <c:v>1.875</c:v>
                </c:pt>
                <c:pt idx="486">
                  <c:v>2.125</c:v>
                </c:pt>
                <c:pt idx="487">
                  <c:v>2.125</c:v>
                </c:pt>
                <c:pt idx="488">
                  <c:v>2.125</c:v>
                </c:pt>
                <c:pt idx="489">
                  <c:v>2.25</c:v>
                </c:pt>
                <c:pt idx="490">
                  <c:v>1.875</c:v>
                </c:pt>
                <c:pt idx="491">
                  <c:v>1.875</c:v>
                </c:pt>
                <c:pt idx="492">
                  <c:v>1.75</c:v>
                </c:pt>
                <c:pt idx="493">
                  <c:v>1.375</c:v>
                </c:pt>
                <c:pt idx="494">
                  <c:v>1.125</c:v>
                </c:pt>
                <c:pt idx="495">
                  <c:v>1.25</c:v>
                </c:pt>
                <c:pt idx="496">
                  <c:v>1</c:v>
                </c:pt>
                <c:pt idx="497">
                  <c:v>1.125</c:v>
                </c:pt>
                <c:pt idx="498">
                  <c:v>1.25</c:v>
                </c:pt>
                <c:pt idx="499">
                  <c:v>1.25</c:v>
                </c:pt>
                <c:pt idx="500">
                  <c:v>0.875</c:v>
                </c:pt>
                <c:pt idx="501">
                  <c:v>0.75</c:v>
                </c:pt>
                <c:pt idx="502">
                  <c:v>0.875</c:v>
                </c:pt>
                <c:pt idx="503">
                  <c:v>0.75</c:v>
                </c:pt>
                <c:pt idx="504">
                  <c:v>0.75</c:v>
                </c:pt>
                <c:pt idx="505">
                  <c:v>0.875</c:v>
                </c:pt>
                <c:pt idx="506">
                  <c:v>0.75</c:v>
                </c:pt>
                <c:pt idx="507">
                  <c:v>0.75</c:v>
                </c:pt>
                <c:pt idx="508">
                  <c:v>0.875</c:v>
                </c:pt>
                <c:pt idx="509">
                  <c:v>1.125</c:v>
                </c:pt>
                <c:pt idx="510">
                  <c:v>1</c:v>
                </c:pt>
                <c:pt idx="511">
                  <c:v>0.875</c:v>
                </c:pt>
                <c:pt idx="512">
                  <c:v>0.875</c:v>
                </c:pt>
                <c:pt idx="513">
                  <c:v>0.625</c:v>
                </c:pt>
                <c:pt idx="514">
                  <c:v>0.625</c:v>
                </c:pt>
                <c:pt idx="515">
                  <c:v>0.875</c:v>
                </c:pt>
                <c:pt idx="516">
                  <c:v>0.75</c:v>
                </c:pt>
                <c:pt idx="517">
                  <c:v>0.875</c:v>
                </c:pt>
                <c:pt idx="518">
                  <c:v>0.875</c:v>
                </c:pt>
                <c:pt idx="519">
                  <c:v>0.875</c:v>
                </c:pt>
                <c:pt idx="520">
                  <c:v>1</c:v>
                </c:pt>
                <c:pt idx="521">
                  <c:v>1</c:v>
                </c:pt>
                <c:pt idx="522">
                  <c:v>1</c:v>
                </c:pt>
                <c:pt idx="523">
                  <c:v>0.75</c:v>
                </c:pt>
                <c:pt idx="524">
                  <c:v>0.75</c:v>
                </c:pt>
                <c:pt idx="525">
                  <c:v>0.5</c:v>
                </c:pt>
                <c:pt idx="526">
                  <c:v>0.375</c:v>
                </c:pt>
                <c:pt idx="527">
                  <c:v>0.375</c:v>
                </c:pt>
                <c:pt idx="528">
                  <c:v>0.5</c:v>
                </c:pt>
                <c:pt idx="529">
                  <c:v>0.375</c:v>
                </c:pt>
                <c:pt idx="530">
                  <c:v>0.375</c:v>
                </c:pt>
                <c:pt idx="531">
                  <c:v>0.625</c:v>
                </c:pt>
                <c:pt idx="532">
                  <c:v>0.625</c:v>
                </c:pt>
                <c:pt idx="533">
                  <c:v>0.625</c:v>
                </c:pt>
                <c:pt idx="534">
                  <c:v>0.625</c:v>
                </c:pt>
                <c:pt idx="535">
                  <c:v>0.75</c:v>
                </c:pt>
                <c:pt idx="536">
                  <c:v>0.5</c:v>
                </c:pt>
                <c:pt idx="537">
                  <c:v>0.625</c:v>
                </c:pt>
                <c:pt idx="538">
                  <c:v>0.625</c:v>
                </c:pt>
                <c:pt idx="539">
                  <c:v>0.375</c:v>
                </c:pt>
                <c:pt idx="540">
                  <c:v>0.375</c:v>
                </c:pt>
                <c:pt idx="541">
                  <c:v>0.375</c:v>
                </c:pt>
                <c:pt idx="542">
                  <c:v>0.5</c:v>
                </c:pt>
                <c:pt idx="543">
                  <c:v>0.625</c:v>
                </c:pt>
                <c:pt idx="544">
                  <c:v>0.625</c:v>
                </c:pt>
                <c:pt idx="545">
                  <c:v>0.5</c:v>
                </c:pt>
                <c:pt idx="546">
                  <c:v>0.5</c:v>
                </c:pt>
                <c:pt idx="547">
                  <c:v>0.5</c:v>
                </c:pt>
                <c:pt idx="548">
                  <c:v>0.5</c:v>
                </c:pt>
                <c:pt idx="549">
                  <c:v>0.5</c:v>
                </c:pt>
                <c:pt idx="550">
                  <c:v>0.375</c:v>
                </c:pt>
                <c:pt idx="551">
                  <c:v>0.125</c:v>
                </c:pt>
                <c:pt idx="552">
                  <c:v>0.25</c:v>
                </c:pt>
                <c:pt idx="553">
                  <c:v>0.25</c:v>
                </c:pt>
                <c:pt idx="554">
                  <c:v>0.625</c:v>
                </c:pt>
                <c:pt idx="555">
                  <c:v>0.75</c:v>
                </c:pt>
                <c:pt idx="556">
                  <c:v>0.875</c:v>
                </c:pt>
                <c:pt idx="557">
                  <c:v>0.875</c:v>
                </c:pt>
                <c:pt idx="558">
                  <c:v>0.875</c:v>
                </c:pt>
                <c:pt idx="559">
                  <c:v>0.875</c:v>
                </c:pt>
                <c:pt idx="560">
                  <c:v>0.75</c:v>
                </c:pt>
                <c:pt idx="561">
                  <c:v>0.75</c:v>
                </c:pt>
                <c:pt idx="562">
                  <c:v>0.375</c:v>
                </c:pt>
                <c:pt idx="563">
                  <c:v>0.375</c:v>
                </c:pt>
                <c:pt idx="564">
                  <c:v>0.25</c:v>
                </c:pt>
                <c:pt idx="565">
                  <c:v>0.125</c:v>
                </c:pt>
                <c:pt idx="566">
                  <c:v>0.125</c:v>
                </c:pt>
                <c:pt idx="567">
                  <c:v>0.25</c:v>
                </c:pt>
                <c:pt idx="568">
                  <c:v>0.5</c:v>
                </c:pt>
                <c:pt idx="569">
                  <c:v>0.5</c:v>
                </c:pt>
                <c:pt idx="570">
                  <c:v>0.5</c:v>
                </c:pt>
                <c:pt idx="571">
                  <c:v>0.375</c:v>
                </c:pt>
                <c:pt idx="572">
                  <c:v>0.375</c:v>
                </c:pt>
                <c:pt idx="573">
                  <c:v>0.5</c:v>
                </c:pt>
                <c:pt idx="574">
                  <c:v>0.5</c:v>
                </c:pt>
                <c:pt idx="575">
                  <c:v>0.375</c:v>
                </c:pt>
                <c:pt idx="576">
                  <c:v>0.125</c:v>
                </c:pt>
                <c:pt idx="577">
                  <c:v>0.125</c:v>
                </c:pt>
                <c:pt idx="578">
                  <c:v>0.25</c:v>
                </c:pt>
                <c:pt idx="579">
                  <c:v>0.25</c:v>
                </c:pt>
                <c:pt idx="580">
                  <c:v>0.25</c:v>
                </c:pt>
                <c:pt idx="581">
                  <c:v>0.25</c:v>
                </c:pt>
                <c:pt idx="582">
                  <c:v>0.5</c:v>
                </c:pt>
                <c:pt idx="583">
                  <c:v>0.75</c:v>
                </c:pt>
                <c:pt idx="584">
                  <c:v>0.75</c:v>
                </c:pt>
                <c:pt idx="585">
                  <c:v>0.75</c:v>
                </c:pt>
                <c:pt idx="586">
                  <c:v>1</c:v>
                </c:pt>
                <c:pt idx="587">
                  <c:v>1.125</c:v>
                </c:pt>
                <c:pt idx="588">
                  <c:v>1.125</c:v>
                </c:pt>
                <c:pt idx="589">
                  <c:v>1.125</c:v>
                </c:pt>
                <c:pt idx="590">
                  <c:v>0.875</c:v>
                </c:pt>
                <c:pt idx="591">
                  <c:v>0.625</c:v>
                </c:pt>
                <c:pt idx="592">
                  <c:v>0.75</c:v>
                </c:pt>
                <c:pt idx="593">
                  <c:v>0.875</c:v>
                </c:pt>
                <c:pt idx="594">
                  <c:v>0.5</c:v>
                </c:pt>
                <c:pt idx="595">
                  <c:v>0.375</c:v>
                </c:pt>
                <c:pt idx="596">
                  <c:v>0.375</c:v>
                </c:pt>
                <c:pt idx="597">
                  <c:v>0.25</c:v>
                </c:pt>
                <c:pt idx="598">
                  <c:v>0.25</c:v>
                </c:pt>
                <c:pt idx="599">
                  <c:v>0.375</c:v>
                </c:pt>
                <c:pt idx="600">
                  <c:v>0.375</c:v>
                </c:pt>
                <c:pt idx="601">
                  <c:v>0.25</c:v>
                </c:pt>
                <c:pt idx="602">
                  <c:v>0.375</c:v>
                </c:pt>
                <c:pt idx="603">
                  <c:v>0.5</c:v>
                </c:pt>
                <c:pt idx="604">
                  <c:v>0.5</c:v>
                </c:pt>
                <c:pt idx="605">
                  <c:v>0.625</c:v>
                </c:pt>
                <c:pt idx="606">
                  <c:v>0.625</c:v>
                </c:pt>
                <c:pt idx="607">
                  <c:v>0.75</c:v>
                </c:pt>
                <c:pt idx="608">
                  <c:v>0.625</c:v>
                </c:pt>
                <c:pt idx="609">
                  <c:v>0.625</c:v>
                </c:pt>
                <c:pt idx="610">
                  <c:v>0.5</c:v>
                </c:pt>
                <c:pt idx="611">
                  <c:v>0.375</c:v>
                </c:pt>
                <c:pt idx="612">
                  <c:v>0.375</c:v>
                </c:pt>
                <c:pt idx="613">
                  <c:v>0.375</c:v>
                </c:pt>
                <c:pt idx="614">
                  <c:v>0.375</c:v>
                </c:pt>
                <c:pt idx="615">
                  <c:v>0.125</c:v>
                </c:pt>
                <c:pt idx="616">
                  <c:v>0.125</c:v>
                </c:pt>
                <c:pt idx="617">
                  <c:v>0.125</c:v>
                </c:pt>
                <c:pt idx="618">
                  <c:v>0.25</c:v>
                </c:pt>
                <c:pt idx="619">
                  <c:v>0.25</c:v>
                </c:pt>
                <c:pt idx="620">
                  <c:v>0.375</c:v>
                </c:pt>
                <c:pt idx="621">
                  <c:v>0.25</c:v>
                </c:pt>
                <c:pt idx="622">
                  <c:v>0.25</c:v>
                </c:pt>
                <c:pt idx="623">
                  <c:v>0.25</c:v>
                </c:pt>
                <c:pt idx="624">
                  <c:v>0.25</c:v>
                </c:pt>
                <c:pt idx="625">
                  <c:v>0.25</c:v>
                </c:pt>
                <c:pt idx="626">
                  <c:v>0.25</c:v>
                </c:pt>
                <c:pt idx="627">
                  <c:v>0.25</c:v>
                </c:pt>
                <c:pt idx="628">
                  <c:v>0.125</c:v>
                </c:pt>
                <c:pt idx="629">
                  <c:v>0.125</c:v>
                </c:pt>
                <c:pt idx="630">
                  <c:v>0.125</c:v>
                </c:pt>
                <c:pt idx="631">
                  <c:v>0.25</c:v>
                </c:pt>
                <c:pt idx="632">
                  <c:v>0.25</c:v>
                </c:pt>
                <c:pt idx="633">
                  <c:v>0.25</c:v>
                </c:pt>
                <c:pt idx="634">
                  <c:v>0.25</c:v>
                </c:pt>
                <c:pt idx="635">
                  <c:v>0.25</c:v>
                </c:pt>
                <c:pt idx="636">
                  <c:v>0.25</c:v>
                </c:pt>
                <c:pt idx="637">
                  <c:v>0.25</c:v>
                </c:pt>
                <c:pt idx="638">
                  <c:v>0.25</c:v>
                </c:pt>
                <c:pt idx="639">
                  <c:v>0.125</c:v>
                </c:pt>
                <c:pt idx="640">
                  <c:v>0.125</c:v>
                </c:pt>
                <c:pt idx="641">
                  <c:v>0.125</c:v>
                </c:pt>
                <c:pt idx="642">
                  <c:v>0</c:v>
                </c:pt>
                <c:pt idx="643">
                  <c:v>0</c:v>
                </c:pt>
                <c:pt idx="644">
                  <c:v>0</c:v>
                </c:pt>
                <c:pt idx="645">
                  <c:v>0</c:v>
                </c:pt>
                <c:pt idx="646">
                  <c:v>0</c:v>
                </c:pt>
                <c:pt idx="647">
                  <c:v>0.125</c:v>
                </c:pt>
                <c:pt idx="648">
                  <c:v>0.125</c:v>
                </c:pt>
                <c:pt idx="649">
                  <c:v>0.125</c:v>
                </c:pt>
                <c:pt idx="650">
                  <c:v>0.125</c:v>
                </c:pt>
                <c:pt idx="651">
                  <c:v>0.125</c:v>
                </c:pt>
                <c:pt idx="652">
                  <c:v>0.125</c:v>
                </c:pt>
                <c:pt idx="653">
                  <c:v>0.25</c:v>
                </c:pt>
                <c:pt idx="654">
                  <c:v>0.25</c:v>
                </c:pt>
                <c:pt idx="655">
                  <c:v>0.25</c:v>
                </c:pt>
                <c:pt idx="656">
                  <c:v>0.25</c:v>
                </c:pt>
                <c:pt idx="657">
                  <c:v>0.25</c:v>
                </c:pt>
                <c:pt idx="658">
                  <c:v>0.375</c:v>
                </c:pt>
                <c:pt idx="659">
                  <c:v>0.5</c:v>
                </c:pt>
                <c:pt idx="660">
                  <c:v>0.5</c:v>
                </c:pt>
                <c:pt idx="661">
                  <c:v>0.375</c:v>
                </c:pt>
                <c:pt idx="662">
                  <c:v>0.375</c:v>
                </c:pt>
                <c:pt idx="663">
                  <c:v>0.25</c:v>
                </c:pt>
                <c:pt idx="664">
                  <c:v>0.375</c:v>
                </c:pt>
                <c:pt idx="665">
                  <c:v>0.375</c:v>
                </c:pt>
                <c:pt idx="666">
                  <c:v>0.25</c:v>
                </c:pt>
                <c:pt idx="667">
                  <c:v>0.125</c:v>
                </c:pt>
                <c:pt idx="668">
                  <c:v>0.25</c:v>
                </c:pt>
                <c:pt idx="669">
                  <c:v>0.25</c:v>
                </c:pt>
                <c:pt idx="670">
                  <c:v>0.25</c:v>
                </c:pt>
                <c:pt idx="671">
                  <c:v>0.25</c:v>
                </c:pt>
                <c:pt idx="672">
                  <c:v>0.25</c:v>
                </c:pt>
                <c:pt idx="673">
                  <c:v>0.25</c:v>
                </c:pt>
                <c:pt idx="674">
                  <c:v>0.25</c:v>
                </c:pt>
                <c:pt idx="675">
                  <c:v>0.25</c:v>
                </c:pt>
                <c:pt idx="676">
                  <c:v>0.125</c:v>
                </c:pt>
                <c:pt idx="677">
                  <c:v>0.125</c:v>
                </c:pt>
                <c:pt idx="678">
                  <c:v>0.125</c:v>
                </c:pt>
                <c:pt idx="679">
                  <c:v>0.125</c:v>
                </c:pt>
                <c:pt idx="680">
                  <c:v>0</c:v>
                </c:pt>
                <c:pt idx="681">
                  <c:v>0</c:v>
                </c:pt>
                <c:pt idx="682">
                  <c:v>0</c:v>
                </c:pt>
                <c:pt idx="683">
                  <c:v>0</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16270828" y="12537255"/>
          <a:ext cx="8219361" cy="1354165"/>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320</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321</v>
      </c>
      <c r="B13" s="9"/>
      <c r="C13" s="2" t="s">
        <v>322</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0"/>
  <sheetViews>
    <sheetView zoomScale="85" zoomScaleNormal="85" workbookViewId="0">
      <selection activeCell="R23" sqref="R23"/>
    </sheetView>
  </sheetViews>
  <sheetFormatPr defaultColWidth="11.53125" defaultRowHeight="12.75" x14ac:dyDescent="0.35"/>
  <cols>
    <col min="2" max="2" width="15.19921875" customWidth="1"/>
    <col min="5" max="5" width="16.86328125" customWidth="1"/>
  </cols>
  <sheetData>
    <row r="1" spans="1:23" ht="36.75" thickBot="1" x14ac:dyDescent="0.45">
      <c r="A1" s="259" t="s">
        <v>290</v>
      </c>
      <c r="B1" s="259"/>
      <c r="C1" s="259"/>
      <c r="D1" s="259"/>
      <c r="E1" s="259"/>
      <c r="F1" s="10"/>
      <c r="G1" s="10"/>
      <c r="H1" s="10"/>
      <c r="I1" s="10"/>
      <c r="J1" s="10"/>
      <c r="K1" s="10"/>
      <c r="L1" s="10"/>
      <c r="M1" s="10"/>
      <c r="N1" s="10"/>
      <c r="O1" s="10"/>
    </row>
    <row r="2" spans="1:23" ht="13.15" x14ac:dyDescent="0.4">
      <c r="A2" s="10"/>
      <c r="B2" s="10"/>
      <c r="C2" s="10"/>
      <c r="D2" s="10"/>
      <c r="E2" s="10"/>
      <c r="F2" s="10"/>
      <c r="G2" s="10"/>
      <c r="H2" s="10"/>
      <c r="I2" s="10"/>
      <c r="J2" s="10"/>
      <c r="K2" s="10"/>
      <c r="L2" s="10"/>
      <c r="M2" s="10"/>
      <c r="N2" s="10"/>
      <c r="O2" s="10"/>
      <c r="P2" s="252" t="s">
        <v>398</v>
      </c>
      <c r="Q2" s="253"/>
      <c r="R2" s="253"/>
      <c r="S2" s="232"/>
      <c r="U2" s="8" t="s">
        <v>399</v>
      </c>
    </row>
    <row r="3" spans="1:23" ht="15.75" x14ac:dyDescent="0.5">
      <c r="A3" s="11" t="s">
        <v>20</v>
      </c>
      <c r="B3" s="10"/>
      <c r="C3" s="10"/>
      <c r="D3" s="10"/>
      <c r="E3" s="10"/>
      <c r="F3" s="11" t="s">
        <v>21</v>
      </c>
      <c r="G3" s="11"/>
      <c r="H3" s="10"/>
      <c r="I3" s="10"/>
      <c r="J3" s="10"/>
      <c r="K3" s="67" t="s">
        <v>348</v>
      </c>
      <c r="L3" s="11"/>
      <c r="M3" s="10"/>
      <c r="N3" s="10"/>
      <c r="O3" s="10"/>
      <c r="P3" s="236" t="s">
        <v>406</v>
      </c>
      <c r="Q3" s="10"/>
      <c r="R3" s="254">
        <v>100</v>
      </c>
      <c r="S3" s="234" t="s">
        <v>71</v>
      </c>
      <c r="U3" t="s">
        <v>401</v>
      </c>
      <c r="W3" s="8">
        <v>250</v>
      </c>
    </row>
    <row r="4" spans="1:23" ht="13.9" x14ac:dyDescent="0.4">
      <c r="A4" s="10"/>
      <c r="B4" s="10"/>
      <c r="C4" s="10"/>
      <c r="E4" s="10"/>
      <c r="F4" s="10"/>
      <c r="G4" s="10"/>
      <c r="H4" s="10"/>
      <c r="I4" s="10"/>
      <c r="J4" s="10"/>
      <c r="K4" s="10"/>
      <c r="L4" s="10"/>
      <c r="M4" s="10"/>
      <c r="N4" s="10"/>
      <c r="O4" s="10"/>
      <c r="P4" s="236" t="s">
        <v>407</v>
      </c>
      <c r="R4" s="254">
        <v>100</v>
      </c>
      <c r="S4" s="234" t="s">
        <v>53</v>
      </c>
      <c r="U4" t="s">
        <v>400</v>
      </c>
      <c r="W4" s="8">
        <v>1000</v>
      </c>
    </row>
    <row r="5" spans="1:23" ht="13.9" x14ac:dyDescent="0.4">
      <c r="A5" s="10" t="s">
        <v>22</v>
      </c>
      <c r="B5" s="10"/>
      <c r="C5" s="10"/>
      <c r="D5" s="12" t="s">
        <v>23</v>
      </c>
      <c r="E5" s="10"/>
      <c r="G5" s="10"/>
      <c r="H5" s="10"/>
      <c r="I5" s="10"/>
      <c r="K5" s="10" t="s">
        <v>354</v>
      </c>
      <c r="L5" s="10"/>
      <c r="M5" s="10"/>
      <c r="N5" s="10"/>
      <c r="O5" s="10"/>
      <c r="P5" s="236" t="s">
        <v>408</v>
      </c>
      <c r="R5" s="255">
        <v>1</v>
      </c>
      <c r="S5" s="234" t="s">
        <v>71</v>
      </c>
      <c r="U5" t="s">
        <v>402</v>
      </c>
      <c r="W5" s="8">
        <f>W4*W3/1000</f>
        <v>250</v>
      </c>
    </row>
    <row r="6" spans="1:23" ht="13.15" x14ac:dyDescent="0.4">
      <c r="A6" s="10" t="s">
        <v>24</v>
      </c>
      <c r="B6" s="10"/>
      <c r="C6" s="10"/>
      <c r="D6" s="12" t="s">
        <v>25</v>
      </c>
      <c r="E6" s="10"/>
      <c r="F6" s="10"/>
      <c r="G6" s="10"/>
      <c r="H6" s="10"/>
      <c r="I6" s="10"/>
      <c r="K6" s="10" t="s">
        <v>355</v>
      </c>
      <c r="L6" s="10"/>
      <c r="M6" s="10"/>
      <c r="N6" s="10"/>
      <c r="O6" s="10"/>
      <c r="P6" s="236"/>
      <c r="S6" s="234"/>
    </row>
    <row r="7" spans="1:23" ht="13.9" x14ac:dyDescent="0.4">
      <c r="A7" s="10" t="s">
        <v>26</v>
      </c>
      <c r="B7" s="10"/>
      <c r="C7" s="10"/>
      <c r="D7" s="12" t="s">
        <v>23</v>
      </c>
      <c r="E7" s="10"/>
      <c r="F7" s="10"/>
      <c r="G7" s="10"/>
      <c r="H7" s="10"/>
      <c r="I7" s="10"/>
      <c r="K7" s="10" t="s">
        <v>356</v>
      </c>
      <c r="L7" s="10"/>
      <c r="M7" s="10"/>
      <c r="N7" s="10"/>
      <c r="O7" s="10"/>
      <c r="P7" s="236" t="s">
        <v>405</v>
      </c>
      <c r="R7" s="256">
        <f>R5/R3*R4</f>
        <v>1</v>
      </c>
      <c r="S7" s="234" t="s">
        <v>53</v>
      </c>
    </row>
    <row r="8" spans="1:23" ht="13.9" x14ac:dyDescent="0.4">
      <c r="A8" s="10" t="s">
        <v>27</v>
      </c>
      <c r="B8" s="10"/>
      <c r="C8" s="10"/>
      <c r="D8" s="12" t="s">
        <v>25</v>
      </c>
      <c r="E8" s="10"/>
      <c r="F8" s="10"/>
      <c r="G8" s="10"/>
      <c r="H8" s="10"/>
      <c r="I8" s="10"/>
      <c r="K8" s="10" t="s">
        <v>359</v>
      </c>
      <c r="L8" s="10"/>
      <c r="M8" s="10"/>
      <c r="N8" s="10"/>
      <c r="O8" s="10"/>
      <c r="P8" s="236" t="s">
        <v>409</v>
      </c>
      <c r="R8" s="257">
        <f>R4*(1-R5/R3)</f>
        <v>99</v>
      </c>
      <c r="S8" s="234" t="s">
        <v>53</v>
      </c>
    </row>
    <row r="9" spans="1:23" ht="13.5" thickBot="1" x14ac:dyDescent="0.45">
      <c r="A9" s="10" t="s">
        <v>28</v>
      </c>
      <c r="B9" s="10"/>
      <c r="C9" s="10"/>
      <c r="D9" s="96">
        <v>45832</v>
      </c>
      <c r="E9" s="10"/>
      <c r="F9" s="10"/>
      <c r="G9" s="10"/>
      <c r="H9" s="10"/>
      <c r="I9" s="10"/>
      <c r="K9" s="10" t="s">
        <v>360</v>
      </c>
      <c r="L9" s="10"/>
      <c r="M9" s="10"/>
      <c r="N9" s="10"/>
      <c r="O9" s="10"/>
      <c r="P9" s="237"/>
      <c r="Q9" s="258"/>
      <c r="R9" s="258"/>
      <c r="S9" s="239"/>
    </row>
    <row r="10" spans="1:23" ht="13.15" x14ac:dyDescent="0.4">
      <c r="A10" s="10" t="s">
        <v>29</v>
      </c>
      <c r="B10" s="10"/>
      <c r="C10" s="10"/>
      <c r="D10" s="13" t="s">
        <v>30</v>
      </c>
      <c r="E10" s="10"/>
      <c r="F10" s="10"/>
      <c r="G10" s="10"/>
      <c r="H10" s="10"/>
      <c r="I10" s="10"/>
      <c r="K10" s="10" t="s">
        <v>361</v>
      </c>
      <c r="L10" s="10"/>
      <c r="M10" s="10"/>
      <c r="N10" s="10"/>
      <c r="O10" s="10"/>
    </row>
    <row r="11" spans="1:23" ht="13.15" x14ac:dyDescent="0.4">
      <c r="A11" s="10" t="s">
        <v>31</v>
      </c>
      <c r="B11" s="10"/>
      <c r="C11" s="10"/>
      <c r="D11" s="14">
        <v>35</v>
      </c>
      <c r="E11" s="10"/>
      <c r="F11" s="10"/>
      <c r="G11" s="10"/>
      <c r="H11" s="10"/>
      <c r="I11" s="10"/>
      <c r="K11" s="10"/>
      <c r="L11" s="10"/>
      <c r="M11" s="10"/>
      <c r="N11" s="10"/>
      <c r="O11" s="10"/>
      <c r="P11" s="8" t="s">
        <v>403</v>
      </c>
    </row>
    <row r="12" spans="1:23" ht="13.15" x14ac:dyDescent="0.4">
      <c r="A12" s="10"/>
      <c r="B12" s="10"/>
      <c r="C12" s="10"/>
      <c r="D12" s="12"/>
      <c r="E12" s="10"/>
      <c r="F12" s="10"/>
      <c r="G12" s="10"/>
      <c r="H12" s="10"/>
      <c r="I12" s="10"/>
      <c r="K12" s="10"/>
      <c r="L12" s="10"/>
      <c r="M12" s="10"/>
      <c r="N12" s="10"/>
      <c r="O12" s="10"/>
      <c r="P12" t="s">
        <v>35</v>
      </c>
      <c r="Q12" s="10"/>
      <c r="R12" s="65">
        <v>100</v>
      </c>
    </row>
    <row r="13" spans="1:23" ht="13.15" x14ac:dyDescent="0.4">
      <c r="A13" s="10" t="s">
        <v>32</v>
      </c>
      <c r="B13" s="10"/>
      <c r="C13" s="10"/>
      <c r="D13" s="12">
        <v>40000</v>
      </c>
      <c r="E13" s="10"/>
      <c r="F13" s="10"/>
      <c r="G13" s="10"/>
      <c r="H13" s="10"/>
      <c r="I13" s="10"/>
      <c r="K13" s="10"/>
      <c r="L13" s="10"/>
      <c r="M13" s="10"/>
      <c r="N13" s="10"/>
      <c r="O13" s="10"/>
      <c r="P13" t="s">
        <v>404</v>
      </c>
      <c r="R13" s="65">
        <v>500</v>
      </c>
    </row>
    <row r="14" spans="1:23" ht="13.15" x14ac:dyDescent="0.4">
      <c r="A14" s="10" t="s">
        <v>33</v>
      </c>
      <c r="B14" s="10"/>
      <c r="C14" s="10"/>
      <c r="D14" s="12">
        <v>6300</v>
      </c>
      <c r="E14" s="10"/>
      <c r="F14" s="10"/>
      <c r="G14" s="10"/>
      <c r="H14" s="10"/>
      <c r="I14" s="10"/>
      <c r="K14" s="10"/>
      <c r="L14" s="10"/>
      <c r="M14" s="10"/>
      <c r="N14" s="10"/>
      <c r="O14" s="10"/>
      <c r="P14" t="s">
        <v>397</v>
      </c>
      <c r="R14" s="250">
        <v>6.5</v>
      </c>
    </row>
    <row r="15" spans="1:23" ht="13.15" x14ac:dyDescent="0.4">
      <c r="A15" s="10" t="s">
        <v>34</v>
      </c>
      <c r="B15" s="10"/>
      <c r="C15" s="10"/>
      <c r="D15" s="154">
        <f>D13/D14*0.25</f>
        <v>1.5873015873015872</v>
      </c>
      <c r="E15" s="10"/>
      <c r="F15" s="10"/>
      <c r="G15" s="10"/>
      <c r="H15" s="10"/>
      <c r="I15" s="10"/>
      <c r="K15" s="10"/>
      <c r="L15" s="10"/>
      <c r="M15" s="10"/>
      <c r="N15" s="10"/>
      <c r="O15" s="10"/>
      <c r="P15" t="s">
        <v>405</v>
      </c>
      <c r="R15">
        <f>R14*R13/R12</f>
        <v>32.5</v>
      </c>
    </row>
    <row r="16" spans="1:23" ht="13.15" x14ac:dyDescent="0.4">
      <c r="D16" s="68"/>
      <c r="E16" s="10"/>
      <c r="F16" s="10"/>
      <c r="G16" s="10"/>
      <c r="H16" s="10"/>
      <c r="I16" s="10"/>
      <c r="K16" s="10"/>
      <c r="L16" s="10"/>
      <c r="M16" s="10"/>
      <c r="N16" s="10"/>
      <c r="O16" s="10"/>
      <c r="P16" t="s">
        <v>79</v>
      </c>
      <c r="R16" s="8">
        <v>3.27</v>
      </c>
    </row>
    <row r="17" spans="1:18" ht="13.15" x14ac:dyDescent="0.4">
      <c r="A17" t="s">
        <v>35</v>
      </c>
      <c r="B17" s="10"/>
      <c r="C17" s="10"/>
      <c r="D17" s="65">
        <v>100</v>
      </c>
      <c r="E17" s="10"/>
      <c r="F17" s="10"/>
      <c r="G17" s="10"/>
      <c r="H17" s="10"/>
      <c r="I17" s="10"/>
      <c r="K17" s="10"/>
      <c r="L17" s="10"/>
      <c r="M17" s="10"/>
      <c r="N17" s="10"/>
      <c r="O17" s="10"/>
      <c r="P17" t="s">
        <v>315</v>
      </c>
      <c r="R17" s="251">
        <f>R16*R12/(R13+R16)</f>
        <v>0.64975063087408347</v>
      </c>
    </row>
    <row r="18" spans="1:18" ht="13.15" x14ac:dyDescent="0.4">
      <c r="A18" t="s">
        <v>295</v>
      </c>
      <c r="D18" s="65">
        <v>100</v>
      </c>
      <c r="E18" s="10"/>
      <c r="F18" s="10"/>
      <c r="G18" s="10"/>
      <c r="H18" s="10"/>
      <c r="I18" s="10"/>
      <c r="K18" s="10"/>
      <c r="L18" s="10"/>
      <c r="M18" s="10"/>
      <c r="N18" s="10"/>
      <c r="O18" s="10"/>
    </row>
    <row r="19" spans="1:18" ht="13.15" x14ac:dyDescent="0.4">
      <c r="A19" t="s">
        <v>36</v>
      </c>
      <c r="D19" s="15">
        <f>D18*D15/1000</f>
        <v>0.15873015873015872</v>
      </c>
      <c r="E19" s="10"/>
      <c r="F19" s="10"/>
      <c r="G19" s="10"/>
      <c r="H19" s="10"/>
      <c r="I19" s="10"/>
      <c r="K19" s="10"/>
      <c r="L19" s="10"/>
      <c r="M19" s="10"/>
      <c r="N19" s="13"/>
      <c r="O19" s="10"/>
    </row>
    <row r="20" spans="1:18" ht="13.15" x14ac:dyDescent="0.4">
      <c r="A20" t="s">
        <v>37</v>
      </c>
      <c r="D20" s="155">
        <f>D19/D17*1000</f>
        <v>1.5873015873015872</v>
      </c>
      <c r="E20" s="10"/>
      <c r="F20" s="10"/>
      <c r="G20" s="10"/>
      <c r="H20" s="10"/>
      <c r="I20" s="10"/>
      <c r="K20" s="10"/>
      <c r="L20" s="10"/>
      <c r="M20" s="10"/>
      <c r="N20" s="12"/>
      <c r="O20" s="10"/>
    </row>
    <row r="21" spans="1:18" ht="13.15" x14ac:dyDescent="0.4">
      <c r="A21" t="s">
        <v>296</v>
      </c>
      <c r="D21" s="156">
        <f>D18-D20</f>
        <v>98.412698412698418</v>
      </c>
      <c r="E21" s="10"/>
      <c r="K21" s="10"/>
      <c r="L21" s="10"/>
      <c r="M21" s="10"/>
      <c r="N21" s="12"/>
      <c r="O21" s="10"/>
    </row>
    <row r="22" spans="1:18" ht="13.15" x14ac:dyDescent="0.4">
      <c r="A22" s="10"/>
      <c r="B22" s="10"/>
      <c r="E22" s="10"/>
      <c r="K22" s="10"/>
      <c r="L22" s="10"/>
      <c r="M22" s="10"/>
      <c r="N22" s="16"/>
      <c r="O22" s="10"/>
    </row>
    <row r="23" spans="1:18" ht="13.15" x14ac:dyDescent="0.4">
      <c r="A23" s="10"/>
      <c r="B23" s="10"/>
      <c r="C23" s="12" t="s">
        <v>38</v>
      </c>
      <c r="D23" s="12" t="s">
        <v>39</v>
      </c>
      <c r="E23" s="10"/>
      <c r="F23" s="10" t="s">
        <v>28</v>
      </c>
      <c r="G23" s="10"/>
      <c r="H23" s="96">
        <v>45832</v>
      </c>
      <c r="I23" s="10"/>
      <c r="K23" s="10" t="s">
        <v>28</v>
      </c>
      <c r="L23" s="10"/>
      <c r="M23" s="96">
        <v>45987</v>
      </c>
      <c r="N23" s="12"/>
      <c r="O23" s="10"/>
    </row>
    <row r="24" spans="1:18" ht="13.15" x14ac:dyDescent="0.4">
      <c r="A24" s="10"/>
      <c r="B24" s="10" t="s">
        <v>40</v>
      </c>
      <c r="C24" s="17">
        <v>10328.31</v>
      </c>
      <c r="D24" s="18">
        <f>(C24-$C$30)/$C$30</f>
        <v>-1.1926553370723604E-2</v>
      </c>
      <c r="E24" s="10"/>
      <c r="F24" s="10" t="s">
        <v>29</v>
      </c>
      <c r="G24" s="10"/>
      <c r="H24" s="12" t="s">
        <v>30</v>
      </c>
      <c r="I24" s="10"/>
      <c r="K24" s="10" t="s">
        <v>29</v>
      </c>
      <c r="L24" s="10"/>
      <c r="M24" s="12" t="s">
        <v>30</v>
      </c>
      <c r="N24" s="12"/>
      <c r="O24" s="10"/>
    </row>
    <row r="25" spans="1:18" ht="13.15" x14ac:dyDescent="0.4">
      <c r="A25" s="10"/>
      <c r="B25" s="10" t="s">
        <v>41</v>
      </c>
      <c r="C25" s="19">
        <v>10474.82</v>
      </c>
      <c r="D25" s="18">
        <f>(C25-$C$30)/$C$30</f>
        <v>2.0895480694593017E-3</v>
      </c>
      <c r="E25" s="10"/>
      <c r="F25" s="10" t="s">
        <v>42</v>
      </c>
      <c r="G25" s="10"/>
      <c r="H25" s="12" t="s">
        <v>25</v>
      </c>
      <c r="I25" s="10"/>
      <c r="K25" s="10" t="s">
        <v>42</v>
      </c>
      <c r="L25" s="10"/>
      <c r="M25" s="12" t="s">
        <v>349</v>
      </c>
      <c r="N25" s="12"/>
      <c r="O25" s="10"/>
    </row>
    <row r="26" spans="1:18" ht="13.9" customHeight="1" x14ac:dyDescent="0.4">
      <c r="A26" s="10"/>
      <c r="B26" s="10" t="s">
        <v>43</v>
      </c>
      <c r="C26" s="19">
        <v>10444.34</v>
      </c>
      <c r="D26" s="18">
        <f>(C26-$C$30)/$C$30</f>
        <v>-8.2636737588073089E-4</v>
      </c>
      <c r="E26" s="10"/>
      <c r="F26" s="10"/>
      <c r="G26" s="10"/>
      <c r="H26" s="12"/>
      <c r="I26" s="10"/>
    </row>
    <row r="27" spans="1:18" ht="13.15" x14ac:dyDescent="0.4">
      <c r="A27" s="10"/>
      <c r="B27" s="10" t="s">
        <v>44</v>
      </c>
      <c r="C27" s="19">
        <v>10591.38</v>
      </c>
      <c r="D27" s="18">
        <f>(C27-$C$30)/$C$30</f>
        <v>1.3240437318436913E-2</v>
      </c>
      <c r="E27" s="10"/>
      <c r="F27" s="10" t="s">
        <v>45</v>
      </c>
      <c r="G27" s="10"/>
      <c r="H27" s="12"/>
      <c r="I27" s="10"/>
      <c r="K27" s="187" t="s">
        <v>357</v>
      </c>
      <c r="L27" s="110"/>
      <c r="M27" s="126">
        <f>AVERAGE('A - B1'!$G$11, 'A - B2'!$G$11,'A - B3'!$G$11,'A - B4'!$G$11,'A - B5'!$G$11)</f>
        <v>1783.4873937</v>
      </c>
    </row>
    <row r="28" spans="1:18" ht="13.15" x14ac:dyDescent="0.4">
      <c r="A28" s="10"/>
      <c r="B28" s="10" t="s">
        <v>46</v>
      </c>
      <c r="C28" s="20">
        <v>10426.040000000001</v>
      </c>
      <c r="D28" s="18">
        <f>(C28-$C$30)/$C$30</f>
        <v>-2.5770646412915329E-3</v>
      </c>
      <c r="E28" s="10"/>
      <c r="F28" s="10" t="s">
        <v>47</v>
      </c>
      <c r="G28" s="10"/>
      <c r="H28" s="12" t="s">
        <v>48</v>
      </c>
      <c r="I28" s="10"/>
      <c r="K28" s="187" t="s">
        <v>358</v>
      </c>
      <c r="L28" s="110"/>
      <c r="M28" s="188">
        <v>2000</v>
      </c>
    </row>
    <row r="29" spans="1:18" ht="13.15" x14ac:dyDescent="0.4">
      <c r="A29" s="10"/>
      <c r="B29" s="10"/>
      <c r="C29" s="10"/>
      <c r="D29" s="10"/>
      <c r="E29" s="10"/>
      <c r="F29" s="10" t="s">
        <v>49</v>
      </c>
      <c r="G29" s="10"/>
      <c r="H29" s="16">
        <v>8.3870000000000005</v>
      </c>
      <c r="I29" s="10"/>
      <c r="K29" s="135" t="s">
        <v>265</v>
      </c>
      <c r="L29" s="135"/>
      <c r="M29" s="189">
        <f>M27/M28</f>
        <v>0.89174369684999999</v>
      </c>
    </row>
    <row r="30" spans="1:18" ht="13.15" x14ac:dyDescent="0.4">
      <c r="A30" s="10"/>
      <c r="B30" s="10" t="s">
        <v>50</v>
      </c>
      <c r="C30" s="21">
        <f>AVERAGE(C24:C28)</f>
        <v>10452.977999999999</v>
      </c>
      <c r="D30" s="10"/>
      <c r="E30" s="10"/>
      <c r="F30" s="10" t="s">
        <v>297</v>
      </c>
      <c r="G30" s="10"/>
      <c r="H30" s="16">
        <v>95.525999999999996</v>
      </c>
      <c r="I30" s="10"/>
    </row>
    <row r="31" spans="1:18" ht="13.15" x14ac:dyDescent="0.4">
      <c r="A31" s="10"/>
      <c r="B31" s="10" t="s">
        <v>51</v>
      </c>
      <c r="C31" s="21">
        <f>STDEVP(C24:C28)</f>
        <v>84.822836170455702</v>
      </c>
      <c r="D31" s="10"/>
      <c r="E31" s="10"/>
      <c r="F31" s="10" t="s">
        <v>52</v>
      </c>
      <c r="G31" s="10"/>
      <c r="H31" s="12">
        <v>20</v>
      </c>
      <c r="I31" s="10" t="s">
        <v>53</v>
      </c>
      <c r="K31" t="s">
        <v>362</v>
      </c>
      <c r="M31" s="190">
        <f>(M29-1)*1000</f>
        <v>-108.25630315000001</v>
      </c>
    </row>
    <row r="32" spans="1:18" ht="13.15" x14ac:dyDescent="0.4">
      <c r="A32" s="10"/>
      <c r="B32" s="10"/>
      <c r="C32" s="21"/>
      <c r="D32" s="10"/>
      <c r="E32" s="10"/>
      <c r="F32" s="10" t="s">
        <v>54</v>
      </c>
      <c r="G32" s="10"/>
      <c r="H32" s="12">
        <v>50</v>
      </c>
      <c r="I32" s="10" t="s">
        <v>53</v>
      </c>
    </row>
    <row r="33" spans="1:10" ht="13.15" x14ac:dyDescent="0.4">
      <c r="A33" s="10"/>
      <c r="B33" s="10"/>
      <c r="C33" s="10"/>
      <c r="D33" s="10"/>
      <c r="E33" s="10"/>
      <c r="F33" s="10" t="s">
        <v>298</v>
      </c>
      <c r="G33" s="10"/>
      <c r="H33" s="12">
        <f>H31+H32</f>
        <v>70</v>
      </c>
      <c r="I33" s="10" t="s">
        <v>53</v>
      </c>
    </row>
    <row r="34" spans="1:10" ht="13.15" x14ac:dyDescent="0.4">
      <c r="A34" s="10"/>
      <c r="B34" s="10"/>
      <c r="C34" s="18"/>
      <c r="D34" s="10"/>
      <c r="E34" s="10"/>
      <c r="F34" s="10" t="s">
        <v>299</v>
      </c>
      <c r="G34" s="10"/>
      <c r="H34" s="16">
        <v>35.415999999999997</v>
      </c>
      <c r="I34" s="10" t="s">
        <v>55</v>
      </c>
    </row>
    <row r="35" spans="1:10" ht="13.15" x14ac:dyDescent="0.4">
      <c r="A35" s="10"/>
      <c r="B35" s="10"/>
      <c r="C35" s="10"/>
      <c r="D35" s="10"/>
      <c r="F35" s="10" t="s">
        <v>56</v>
      </c>
      <c r="G35" s="10"/>
      <c r="H35" s="16">
        <f>H30-H34</f>
        <v>60.11</v>
      </c>
      <c r="I35" s="10"/>
    </row>
    <row r="36" spans="1:10" ht="13.15" x14ac:dyDescent="0.4">
      <c r="A36" s="10"/>
      <c r="B36" s="10"/>
      <c r="C36" s="10"/>
      <c r="D36" s="10"/>
      <c r="F36" s="22" t="s">
        <v>57</v>
      </c>
      <c r="G36" s="23"/>
      <c r="H36" s="24">
        <f>H35/H30*110</f>
        <v>69.217804576764436</v>
      </c>
      <c r="I36" s="10"/>
    </row>
    <row r="37" spans="1:10" ht="13.15" x14ac:dyDescent="0.4">
      <c r="A37" s="10"/>
      <c r="B37" s="10"/>
      <c r="C37" s="10"/>
      <c r="D37" s="10"/>
      <c r="F37" s="10"/>
      <c r="G37" s="10"/>
      <c r="H37" s="12"/>
      <c r="I37" s="10"/>
    </row>
    <row r="38" spans="1:10" ht="15.4" x14ac:dyDescent="0.55000000000000004">
      <c r="A38" s="10"/>
      <c r="B38" s="10" t="s">
        <v>58</v>
      </c>
      <c r="C38" s="18">
        <f>C31/C30</f>
        <v>8.1147053184705553E-3</v>
      </c>
      <c r="D38" s="10" t="str">
        <f>IF(C38&lt;0.03,"&lt;3% = PASS","&gt;3% = FAIL")</f>
        <v>&lt;3% = PASS</v>
      </c>
      <c r="F38" s="10" t="s">
        <v>59</v>
      </c>
      <c r="G38" s="10"/>
      <c r="H38" s="25">
        <f>H36/H33-1</f>
        <v>-1.1174220331936602E-2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28"/>
      <c r="I42" s="26"/>
      <c r="J42" s="26"/>
    </row>
    <row r="43" spans="1:10" ht="13.15" x14ac:dyDescent="0.4">
      <c r="E43" s="10"/>
      <c r="F43" s="10"/>
      <c r="G43" s="10"/>
      <c r="H43" s="27"/>
      <c r="I43" s="26"/>
      <c r="J43" s="26"/>
    </row>
    <row r="44" spans="1:10" ht="13.15" x14ac:dyDescent="0.4">
      <c r="C44" s="8"/>
      <c r="E44" s="30"/>
      <c r="F44" s="10"/>
      <c r="G44" s="10"/>
      <c r="H44" s="31"/>
      <c r="I44" s="26"/>
      <c r="J44" s="26"/>
    </row>
    <row r="45" spans="1:10" ht="13.15" x14ac:dyDescent="0.4">
      <c r="E45" s="10"/>
      <c r="F45" s="10"/>
      <c r="G45" s="10"/>
      <c r="H45" s="10"/>
      <c r="I45" s="10"/>
    </row>
    <row r="46" spans="1:10" ht="13.15" x14ac:dyDescent="0.4">
      <c r="E46" s="10"/>
      <c r="F46" s="10"/>
      <c r="G46" s="10"/>
      <c r="H46" s="10"/>
      <c r="I46" s="18"/>
    </row>
    <row r="47" spans="1:10" ht="13.15" x14ac:dyDescent="0.4">
      <c r="E47" s="10"/>
      <c r="F47" s="10"/>
      <c r="G47" s="10"/>
      <c r="H47" s="10"/>
      <c r="I47" s="10"/>
    </row>
    <row r="48" spans="1:10" ht="13.15" x14ac:dyDescent="0.4">
      <c r="A48" s="10"/>
      <c r="B48" s="10"/>
      <c r="C48" s="10"/>
      <c r="D48" s="10"/>
      <c r="E48" s="10"/>
      <c r="F48" s="10"/>
      <c r="G48" s="10"/>
      <c r="H48" s="10"/>
      <c r="I48" s="10"/>
    </row>
    <row r="49" spans="1:9" ht="13.15" x14ac:dyDescent="0.4">
      <c r="A49" s="10"/>
      <c r="B49" s="10"/>
      <c r="C49" s="10"/>
      <c r="D49" s="10"/>
      <c r="E49" s="10"/>
      <c r="F49" s="10"/>
      <c r="G49" s="10"/>
      <c r="H49" s="10"/>
      <c r="I49" s="10"/>
    </row>
    <row r="50" spans="1:9" ht="13.15" x14ac:dyDescent="0.4">
      <c r="A50" s="10"/>
      <c r="B50" s="10"/>
      <c r="C50" s="10"/>
      <c r="D50" s="10"/>
      <c r="E50" s="10"/>
      <c r="F50" s="10"/>
      <c r="G50" s="10"/>
      <c r="H50" s="10"/>
      <c r="I50" s="18"/>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c r="D3" t="s">
        <v>130</v>
      </c>
      <c r="E3" s="8">
        <f>'Clause 6'!$G$11</f>
        <v>1</v>
      </c>
    </row>
    <row r="4" spans="1:49" ht="18.100000000000001" customHeight="1" x14ac:dyDescent="1.05">
      <c r="A4" s="8" t="s">
        <v>28</v>
      </c>
      <c r="B4" s="74"/>
      <c r="O4" s="75"/>
    </row>
    <row r="5" spans="1:49" ht="13.15" x14ac:dyDescent="0.4">
      <c r="A5" s="8" t="s">
        <v>116</v>
      </c>
      <c r="B5" s="185"/>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140</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141</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142</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143</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144</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145</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146</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158</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159</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160</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161</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162</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163</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164</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165</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166</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167</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168</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169</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181</v>
      </c>
      <c r="B52" s="186">
        <v>9.4013469999999995</v>
      </c>
      <c r="C52" s="186">
        <v>9.8436819999999994</v>
      </c>
      <c r="D52" s="186">
        <v>9.7738219999999991</v>
      </c>
      <c r="E52" s="186">
        <v>9.8394490000000001</v>
      </c>
      <c r="F52" s="186">
        <v>9.8386399999999998</v>
      </c>
      <c r="G52" s="186">
        <v>9.3964200000000009</v>
      </c>
      <c r="H52" s="186">
        <v>9.8391719999999996</v>
      </c>
      <c r="I52" s="186">
        <v>9.7717980000000004</v>
      </c>
      <c r="J52" s="186">
        <v>9.8409580000000005</v>
      </c>
      <c r="K52" s="186">
        <v>9.8377719999999993</v>
      </c>
      <c r="L52" s="186">
        <v>9.4034879999999994</v>
      </c>
      <c r="M52" s="186">
        <v>9.8474179999999993</v>
      </c>
      <c r="N52" s="186">
        <v>9.7709329999999994</v>
      </c>
      <c r="O52" s="186">
        <v>9.8387840000000004</v>
      </c>
      <c r="P52" s="186">
        <v>9.8422610000000006</v>
      </c>
      <c r="Q52" s="186">
        <v>9.3969489999999993</v>
      </c>
      <c r="R52" s="186">
        <v>9.8371519999999997</v>
      </c>
      <c r="S52" s="186">
        <v>9.7742649999999998</v>
      </c>
      <c r="T52" s="186">
        <v>9.8321760000000005</v>
      </c>
      <c r="U52" s="186">
        <v>9.1000800000000002</v>
      </c>
      <c r="V52" s="186">
        <v>9.3977529999999998</v>
      </c>
      <c r="W52" s="186">
        <v>9.8388399999999994</v>
      </c>
      <c r="X52" s="186">
        <v>9.7722610000000003</v>
      </c>
      <c r="Y52" s="186">
        <v>9.8395860000000006</v>
      </c>
      <c r="Z52" s="186">
        <v>9.8540539999999996</v>
      </c>
      <c r="AA52" s="50"/>
      <c r="AB52" s="50"/>
      <c r="AC52" s="50"/>
      <c r="AD52" s="50"/>
      <c r="AE52" s="50"/>
    </row>
    <row r="53" spans="1:31" ht="13.15" x14ac:dyDescent="0.4">
      <c r="A53" s="8">
        <v>4</v>
      </c>
      <c r="B53" s="186">
        <v>1838.779053</v>
      </c>
      <c r="C53" s="186">
        <v>1741.0151370000001</v>
      </c>
      <c r="D53" s="186">
        <v>1871.9392089999999</v>
      </c>
      <c r="E53" s="186">
        <v>1865.043457</v>
      </c>
      <c r="F53" s="186">
        <v>1799.740601</v>
      </c>
      <c r="G53" s="186">
        <v>1826.3339840000001</v>
      </c>
      <c r="H53" s="186">
        <v>1807.367432</v>
      </c>
      <c r="I53" s="186">
        <v>1885.8350829999999</v>
      </c>
      <c r="J53" s="186">
        <v>1797.4876710000001</v>
      </c>
      <c r="K53" s="186">
        <v>1750.1929929999999</v>
      </c>
      <c r="L53" s="186">
        <v>1868.0302730000001</v>
      </c>
      <c r="M53" s="186">
        <v>1786.965942</v>
      </c>
      <c r="N53" s="186">
        <v>1832.9876710000001</v>
      </c>
      <c r="O53" s="186">
        <v>1774.2030030000001</v>
      </c>
      <c r="P53" s="186">
        <v>1677.1552730000001</v>
      </c>
      <c r="Q53" s="186">
        <v>1752.4837649999999</v>
      </c>
      <c r="R53" s="186">
        <v>1785.7811280000001</v>
      </c>
      <c r="S53" s="186">
        <v>1859.2701420000001</v>
      </c>
      <c r="T53" s="186">
        <v>1825.231689</v>
      </c>
      <c r="U53" s="186">
        <v>1559.5467530000001</v>
      </c>
      <c r="V53" s="186">
        <v>1852.6770019999999</v>
      </c>
      <c r="W53" s="186">
        <v>1816.169312</v>
      </c>
      <c r="X53" s="186">
        <v>1907.951538</v>
      </c>
      <c r="Y53" s="186">
        <v>1826.3979489999999</v>
      </c>
      <c r="Z53" s="186">
        <v>1571.3328859999999</v>
      </c>
      <c r="AA53" s="50"/>
      <c r="AB53" s="50"/>
      <c r="AC53" s="50"/>
      <c r="AD53" s="50"/>
      <c r="AE53" s="50"/>
    </row>
    <row r="54" spans="1:31" ht="13.15" x14ac:dyDescent="0.4">
      <c r="A54" s="8">
        <v>5</v>
      </c>
      <c r="B54" s="186">
        <v>1813.7825929999999</v>
      </c>
      <c r="C54" s="186">
        <v>1715.1102289999999</v>
      </c>
      <c r="D54" s="186">
        <v>1844.825928</v>
      </c>
      <c r="E54" s="186">
        <v>1840.3469239999999</v>
      </c>
      <c r="F54" s="186">
        <v>1776.6683350000001</v>
      </c>
      <c r="G54" s="186">
        <v>1803.772217</v>
      </c>
      <c r="H54" s="186">
        <v>1784.8045649999999</v>
      </c>
      <c r="I54" s="186">
        <v>1861.274658</v>
      </c>
      <c r="J54" s="186">
        <v>1776.6563719999999</v>
      </c>
      <c r="K54" s="186">
        <v>1730.0664059999999</v>
      </c>
      <c r="L54" s="186">
        <v>1845.4853519999999</v>
      </c>
      <c r="M54" s="186">
        <v>1766.757568</v>
      </c>
      <c r="N54" s="186">
        <v>1810.0625</v>
      </c>
      <c r="O54" s="186">
        <v>1753.2653809999999</v>
      </c>
      <c r="P54" s="186">
        <v>1657.3426509999999</v>
      </c>
      <c r="Q54" s="186">
        <v>1731.9451899999999</v>
      </c>
      <c r="R54" s="186">
        <v>1763.7219239999999</v>
      </c>
      <c r="S54" s="186">
        <v>1836.0458980000001</v>
      </c>
      <c r="T54" s="186">
        <v>1801.9407960000001</v>
      </c>
      <c r="U54" s="186">
        <v>1530.645996</v>
      </c>
      <c r="V54" s="186">
        <v>1829.905518</v>
      </c>
      <c r="W54" s="186">
        <v>1793.4023440000001</v>
      </c>
      <c r="X54" s="186">
        <v>1883.1876219999999</v>
      </c>
      <c r="Y54" s="186">
        <v>1804.4458010000001</v>
      </c>
      <c r="Z54" s="186">
        <v>1553.4722899999999</v>
      </c>
      <c r="AA54" s="50"/>
      <c r="AB54" s="50"/>
      <c r="AC54" s="50"/>
      <c r="AD54" s="50"/>
      <c r="AE54" s="50"/>
    </row>
    <row r="55" spans="1:31" ht="13.15" x14ac:dyDescent="0.4">
      <c r="A55" s="8">
        <v>6</v>
      </c>
      <c r="B55" s="186">
        <v>1798.5720209999999</v>
      </c>
      <c r="C55" s="186">
        <v>1700.684692</v>
      </c>
      <c r="D55" s="186">
        <v>1830.501953</v>
      </c>
      <c r="E55" s="186">
        <v>1827.134888</v>
      </c>
      <c r="F55" s="186">
        <v>1764.0649410000001</v>
      </c>
      <c r="G55" s="186">
        <v>1792.278442</v>
      </c>
      <c r="H55" s="186">
        <v>1771.8969729999999</v>
      </c>
      <c r="I55" s="186">
        <v>1847.254639</v>
      </c>
      <c r="J55" s="186">
        <v>1765.783447</v>
      </c>
      <c r="K55" s="186">
        <v>1720.511475</v>
      </c>
      <c r="L55" s="186">
        <v>1834.0002440000001</v>
      </c>
      <c r="M55" s="186">
        <v>1754.0638429999999</v>
      </c>
      <c r="N55" s="186">
        <v>1797.6788329999999</v>
      </c>
      <c r="O55" s="186">
        <v>1740.7639160000001</v>
      </c>
      <c r="P55" s="186">
        <v>1646.2680660000001</v>
      </c>
      <c r="Q55" s="186">
        <v>1722.899658</v>
      </c>
      <c r="R55" s="186">
        <v>1753.14978</v>
      </c>
      <c r="S55" s="186">
        <v>1824.4849850000001</v>
      </c>
      <c r="T55" s="186">
        <v>1790.142822</v>
      </c>
      <c r="U55" s="186">
        <v>1513.8328859999999</v>
      </c>
      <c r="V55" s="186">
        <v>1818.413452</v>
      </c>
      <c r="W55" s="186">
        <v>1782.4255370000001</v>
      </c>
      <c r="X55" s="186">
        <v>1872.1358640000001</v>
      </c>
      <c r="Y55" s="186">
        <v>1792.351807</v>
      </c>
      <c r="Z55" s="186">
        <v>1542.6137699999999</v>
      </c>
      <c r="AA55" s="50"/>
      <c r="AB55" s="50"/>
      <c r="AC55" s="50"/>
      <c r="AD55" s="50"/>
      <c r="AE55" s="50"/>
    </row>
    <row r="56" spans="1:31" ht="13.15" x14ac:dyDescent="0.4">
      <c r="A56" s="8">
        <v>7</v>
      </c>
      <c r="B56" s="186">
        <v>1788.041626</v>
      </c>
      <c r="C56" s="186">
        <v>1691.033813</v>
      </c>
      <c r="D56" s="186">
        <v>1820.5775149999999</v>
      </c>
      <c r="E56" s="186">
        <v>1818.5977780000001</v>
      </c>
      <c r="F56" s="186">
        <v>1754.7139890000001</v>
      </c>
      <c r="G56" s="186">
        <v>1785.8930660000001</v>
      </c>
      <c r="H56" s="186">
        <v>1764.7825929999999</v>
      </c>
      <c r="I56" s="186">
        <v>1840.1936040000001</v>
      </c>
      <c r="J56" s="186">
        <v>1759.4832759999999</v>
      </c>
      <c r="K56" s="186">
        <v>1716.1405030000001</v>
      </c>
      <c r="L56" s="186">
        <v>1827.194336</v>
      </c>
      <c r="M56" s="186">
        <v>1747.0570070000001</v>
      </c>
      <c r="N56" s="186">
        <v>1789.5936280000001</v>
      </c>
      <c r="O56" s="186">
        <v>1733.3442379999999</v>
      </c>
      <c r="P56" s="186">
        <v>1639.5622559999999</v>
      </c>
      <c r="Q56" s="186">
        <v>1716.7274170000001</v>
      </c>
      <c r="R56" s="186">
        <v>1747.4570309999999</v>
      </c>
      <c r="S56" s="186">
        <v>1818.4487300000001</v>
      </c>
      <c r="T56" s="186">
        <v>1784.345581</v>
      </c>
      <c r="U56" s="186">
        <v>1505.9208980000001</v>
      </c>
      <c r="V56" s="186">
        <v>1811.9224850000001</v>
      </c>
      <c r="W56" s="186">
        <v>1773.3797609999999</v>
      </c>
      <c r="X56" s="186">
        <v>1864.8704829999999</v>
      </c>
      <c r="Y56" s="186">
        <v>1784.7294919999999</v>
      </c>
      <c r="Z56" s="186">
        <v>1535.9160159999999</v>
      </c>
      <c r="AA56" s="50"/>
      <c r="AB56" s="50"/>
      <c r="AC56" s="50"/>
      <c r="AD56" s="50"/>
      <c r="AE56" s="50"/>
    </row>
    <row r="57" spans="1:31" ht="13.15" x14ac:dyDescent="0.4">
      <c r="A57" s="8">
        <v>8</v>
      </c>
      <c r="B57" s="186">
        <v>1782.4041749999999</v>
      </c>
      <c r="C57" s="186">
        <v>1685.2432859999999</v>
      </c>
      <c r="D57" s="186">
        <v>1814.3363039999999</v>
      </c>
      <c r="E57" s="186">
        <v>1812.9063719999999</v>
      </c>
      <c r="F57" s="186">
        <v>1749.5303960000001</v>
      </c>
      <c r="G57" s="186">
        <v>1781.3167719999999</v>
      </c>
      <c r="H57" s="186">
        <v>1760.107422</v>
      </c>
      <c r="I57" s="186">
        <v>1837.1235349999999</v>
      </c>
      <c r="J57" s="186">
        <v>1755.1137699999999</v>
      </c>
      <c r="K57" s="186">
        <v>1712.3795170000001</v>
      </c>
      <c r="L57" s="186">
        <v>1822.30249</v>
      </c>
      <c r="M57" s="186">
        <v>1743.299683</v>
      </c>
      <c r="N57" s="186">
        <v>1785.3975829999999</v>
      </c>
      <c r="O57" s="186">
        <v>1728.973755</v>
      </c>
      <c r="P57" s="186">
        <v>1634.58374</v>
      </c>
      <c r="Q57" s="186">
        <v>1712.470703</v>
      </c>
      <c r="R57" s="186">
        <v>1743.594116</v>
      </c>
      <c r="S57" s="186">
        <v>1813.8447269999999</v>
      </c>
      <c r="T57" s="186">
        <v>1779.7687989999999</v>
      </c>
      <c r="U57" s="186">
        <v>1501.7451169999999</v>
      </c>
      <c r="V57" s="186">
        <v>1805.8572999999999</v>
      </c>
      <c r="W57" s="186">
        <v>1771.0419919999999</v>
      </c>
      <c r="X57" s="186">
        <v>1858.6282960000001</v>
      </c>
      <c r="Y57" s="186">
        <v>1780.359375</v>
      </c>
      <c r="Z57" s="186">
        <v>1532.871582</v>
      </c>
      <c r="AA57" s="50"/>
      <c r="AB57" s="50"/>
      <c r="AC57" s="50"/>
      <c r="AD57" s="50"/>
      <c r="AE57" s="50"/>
    </row>
    <row r="58" spans="1:31" ht="13.15" x14ac:dyDescent="0.4">
      <c r="A58" s="8">
        <v>9</v>
      </c>
      <c r="B58" s="186">
        <v>1779.4257809999999</v>
      </c>
      <c r="C58" s="186">
        <v>1679.8591309999999</v>
      </c>
      <c r="D58" s="186">
        <v>1809.322876</v>
      </c>
      <c r="E58" s="186">
        <v>1808.536255</v>
      </c>
      <c r="F58" s="186">
        <v>1745.7696530000001</v>
      </c>
      <c r="G58" s="186">
        <v>1777.6983640000001</v>
      </c>
      <c r="H58" s="186">
        <v>1756.753418</v>
      </c>
      <c r="I58" s="186">
        <v>1833.030029</v>
      </c>
      <c r="J58" s="186">
        <v>1752.674927</v>
      </c>
      <c r="K58" s="186">
        <v>1709.1267089999999</v>
      </c>
      <c r="L58" s="186">
        <v>1817.623413</v>
      </c>
      <c r="M58" s="186">
        <v>1740.2531739999999</v>
      </c>
      <c r="N58" s="186">
        <v>1781.099121</v>
      </c>
      <c r="O58" s="186">
        <v>1725.213135</v>
      </c>
      <c r="P58" s="186">
        <v>1630.7227780000001</v>
      </c>
      <c r="Q58" s="186">
        <v>1709.278198</v>
      </c>
      <c r="R58" s="186">
        <v>1740.2395019999999</v>
      </c>
      <c r="S58" s="186">
        <v>1809.3431399999999</v>
      </c>
      <c r="T58" s="186">
        <v>1776.412476</v>
      </c>
      <c r="U58" s="186">
        <v>1496.8000489999999</v>
      </c>
      <c r="V58" s="186">
        <v>1802.5585940000001</v>
      </c>
      <c r="W58" s="186">
        <v>1767.7895510000001</v>
      </c>
      <c r="X58" s="186">
        <v>1854.944336</v>
      </c>
      <c r="Y58" s="186">
        <v>1776.9039310000001</v>
      </c>
      <c r="Z58" s="186">
        <v>1530.7404790000001</v>
      </c>
      <c r="AA58" s="50"/>
      <c r="AB58" s="50"/>
      <c r="AC58" s="50"/>
      <c r="AD58" s="50"/>
      <c r="AE58" s="50"/>
    </row>
    <row r="59" spans="1:31" ht="13.15" x14ac:dyDescent="0.4">
      <c r="A59" s="8">
        <v>10</v>
      </c>
      <c r="B59" s="186">
        <v>1771.2354740000001</v>
      </c>
      <c r="C59" s="186">
        <v>1670.411499</v>
      </c>
      <c r="D59" s="186">
        <v>1800.5239260000001</v>
      </c>
      <c r="E59" s="186">
        <v>1799.7958980000001</v>
      </c>
      <c r="F59" s="186">
        <v>1738.5532229999999</v>
      </c>
      <c r="G59" s="186">
        <v>1769.929443</v>
      </c>
      <c r="H59" s="186">
        <v>1749.8422849999999</v>
      </c>
      <c r="I59" s="186">
        <v>1823.205933</v>
      </c>
      <c r="J59" s="186">
        <v>1746.273193</v>
      </c>
      <c r="K59" s="186">
        <v>1700.791504</v>
      </c>
      <c r="L59" s="186">
        <v>1809.3286129999999</v>
      </c>
      <c r="M59" s="186">
        <v>1733.246216</v>
      </c>
      <c r="N59" s="186">
        <v>1771.9904790000001</v>
      </c>
      <c r="O59" s="186">
        <v>1718.0985109999999</v>
      </c>
      <c r="P59" s="186">
        <v>1623.3057859999999</v>
      </c>
      <c r="Q59" s="186">
        <v>1701.9354249999999</v>
      </c>
      <c r="R59" s="186">
        <v>1733.6319579999999</v>
      </c>
      <c r="S59" s="186">
        <v>1800.135254</v>
      </c>
      <c r="T59" s="186">
        <v>1759.122314</v>
      </c>
      <c r="U59" s="186">
        <v>1488.009033</v>
      </c>
      <c r="V59" s="186">
        <v>1796.3869629999999</v>
      </c>
      <c r="W59" s="186">
        <v>1760.8781739999999</v>
      </c>
      <c r="X59" s="186">
        <v>1845.7346190000001</v>
      </c>
      <c r="Y59" s="186">
        <v>1771.1110839999999</v>
      </c>
      <c r="Z59" s="186">
        <v>1524.347168</v>
      </c>
      <c r="AA59" s="50"/>
      <c r="AB59" s="50"/>
      <c r="AC59" s="50"/>
      <c r="AD59" s="50"/>
      <c r="AE59" s="50"/>
    </row>
    <row r="60" spans="1:31" ht="13.15" x14ac:dyDescent="0.4">
      <c r="A60" s="8">
        <v>11</v>
      </c>
      <c r="B60" s="186">
        <v>1627.107178</v>
      </c>
      <c r="C60" s="186">
        <v>1540.6835940000001</v>
      </c>
      <c r="D60" s="186">
        <v>1664.2414550000001</v>
      </c>
      <c r="E60" s="186">
        <v>1658.527832</v>
      </c>
      <c r="F60" s="186">
        <v>1624.20813</v>
      </c>
      <c r="G60" s="186">
        <v>1620.5108640000001</v>
      </c>
      <c r="H60" s="186">
        <v>1619.0385739999999</v>
      </c>
      <c r="I60" s="186">
        <v>1655.273682</v>
      </c>
      <c r="J60" s="186">
        <v>1625.2482910000001</v>
      </c>
      <c r="K60" s="186">
        <v>1551.1641850000001</v>
      </c>
      <c r="L60" s="186">
        <v>1661.085693</v>
      </c>
      <c r="M60" s="186">
        <v>1613.2147219999999</v>
      </c>
      <c r="N60" s="186">
        <v>1603.940918</v>
      </c>
      <c r="O60" s="186">
        <v>1591.3551030000001</v>
      </c>
      <c r="P60" s="186">
        <v>1493.6607670000001</v>
      </c>
      <c r="Q60" s="186">
        <v>1554.8664550000001</v>
      </c>
      <c r="R60" s="186">
        <v>1615.9149170000001</v>
      </c>
      <c r="S60" s="186">
        <v>1646.261841</v>
      </c>
      <c r="T60" s="186">
        <v>1572.2867429999999</v>
      </c>
      <c r="U60" s="186">
        <v>1395.8120120000001</v>
      </c>
      <c r="V60" s="186">
        <v>1669.7608640000001</v>
      </c>
      <c r="W60" s="186">
        <v>1644.4011230000001</v>
      </c>
      <c r="X60" s="186">
        <v>1686.099121</v>
      </c>
      <c r="Y60" s="186">
        <v>1650.5775149999999</v>
      </c>
      <c r="Z60" s="186">
        <v>1441.9445800000001</v>
      </c>
      <c r="AA60" s="50"/>
      <c r="AB60" s="50"/>
      <c r="AC60" s="50"/>
      <c r="AD60" s="50"/>
      <c r="AE60" s="50"/>
    </row>
    <row r="61" spans="1:31" ht="13.15" x14ac:dyDescent="0.4">
      <c r="A61" s="8">
        <v>12</v>
      </c>
      <c r="B61" s="186">
        <v>879.66119400000002</v>
      </c>
      <c r="C61" s="186">
        <v>868.88214100000005</v>
      </c>
      <c r="D61" s="186">
        <v>892.79303000000004</v>
      </c>
      <c r="E61" s="186">
        <v>902.99774200000002</v>
      </c>
      <c r="F61" s="186">
        <v>923.80651899999998</v>
      </c>
      <c r="G61" s="186">
        <v>860.540527</v>
      </c>
      <c r="H61" s="186">
        <v>883.509277</v>
      </c>
      <c r="I61" s="186">
        <v>879.77667199999996</v>
      </c>
      <c r="J61" s="186">
        <v>894.72997999999995</v>
      </c>
      <c r="K61" s="186">
        <v>854.563354</v>
      </c>
      <c r="L61" s="186">
        <v>897.64562999999998</v>
      </c>
      <c r="M61" s="186">
        <v>909.98474099999999</v>
      </c>
      <c r="N61" s="186">
        <v>836.97229000000004</v>
      </c>
      <c r="O61" s="186">
        <v>861.28527799999995</v>
      </c>
      <c r="P61" s="186">
        <v>845.84222399999999</v>
      </c>
      <c r="Q61" s="186">
        <v>836.228882</v>
      </c>
      <c r="R61" s="186">
        <v>888.671875</v>
      </c>
      <c r="S61" s="186">
        <v>878.42919900000004</v>
      </c>
      <c r="T61" s="186">
        <v>850.26953100000003</v>
      </c>
      <c r="U61" s="186">
        <v>911.31073000000004</v>
      </c>
      <c r="V61" s="186">
        <v>920.21997099999999</v>
      </c>
      <c r="W61" s="186">
        <v>902.03716999999995</v>
      </c>
      <c r="X61" s="186">
        <v>886.07952899999998</v>
      </c>
      <c r="Y61" s="186">
        <v>918.02642800000001</v>
      </c>
      <c r="Z61" s="186">
        <v>872.73718299999996</v>
      </c>
      <c r="AA61" s="50"/>
      <c r="AB61" s="50"/>
      <c r="AC61" s="50"/>
      <c r="AD61" s="50"/>
      <c r="AE61" s="50"/>
    </row>
    <row r="62" spans="1:31" ht="13.15" x14ac:dyDescent="0.4">
      <c r="A62" s="8">
        <v>13</v>
      </c>
      <c r="B62" s="186">
        <v>199.22676100000001</v>
      </c>
      <c r="C62" s="186">
        <v>212.217331</v>
      </c>
      <c r="D62" s="186">
        <v>212.81336999999999</v>
      </c>
      <c r="E62" s="186">
        <v>217.08532700000001</v>
      </c>
      <c r="F62" s="186">
        <v>215.37529000000001</v>
      </c>
      <c r="G62" s="186">
        <v>204.86526499999999</v>
      </c>
      <c r="H62" s="186">
        <v>205.403458</v>
      </c>
      <c r="I62" s="186">
        <v>205.79631000000001</v>
      </c>
      <c r="J62" s="186">
        <v>207.09367399999999</v>
      </c>
      <c r="K62" s="186">
        <v>193.641403</v>
      </c>
      <c r="L62" s="186">
        <v>213.32508899999999</v>
      </c>
      <c r="M62" s="186">
        <v>210.71513400000001</v>
      </c>
      <c r="N62" s="186">
        <v>201.51606799999999</v>
      </c>
      <c r="O62" s="186">
        <v>206.12303199999999</v>
      </c>
      <c r="P62" s="186">
        <v>193.34986900000001</v>
      </c>
      <c r="Q62" s="186">
        <v>185.16648900000001</v>
      </c>
      <c r="R62" s="186">
        <v>195.58506800000001</v>
      </c>
      <c r="S62" s="186">
        <v>204.312027</v>
      </c>
      <c r="T62" s="186">
        <v>207.27862500000001</v>
      </c>
      <c r="U62" s="186">
        <v>279.22833300000002</v>
      </c>
      <c r="V62" s="186">
        <v>213.24246199999999</v>
      </c>
      <c r="W62" s="186">
        <v>203.98745700000001</v>
      </c>
      <c r="X62" s="186">
        <v>202.30732699999999</v>
      </c>
      <c r="Y62" s="186">
        <v>211.18774400000001</v>
      </c>
      <c r="Z62" s="186">
        <v>199.61326600000001</v>
      </c>
      <c r="AA62" s="50"/>
      <c r="AB62" s="50"/>
      <c r="AC62" s="50"/>
      <c r="AD62" s="50"/>
      <c r="AE62" s="50"/>
    </row>
    <row r="63" spans="1:31" ht="13.15" x14ac:dyDescent="0.4">
      <c r="A63" s="8">
        <v>14</v>
      </c>
      <c r="B63" s="186">
        <v>79.456695999999994</v>
      </c>
      <c r="C63" s="186">
        <v>76.597351000000003</v>
      </c>
      <c r="D63" s="186">
        <v>78.167991999999998</v>
      </c>
      <c r="E63" s="186">
        <v>79.374367000000007</v>
      </c>
      <c r="F63" s="186">
        <v>80.702208999999996</v>
      </c>
      <c r="G63" s="186">
        <v>73.964340000000007</v>
      </c>
      <c r="H63" s="186">
        <v>69.416404999999997</v>
      </c>
      <c r="I63" s="186">
        <v>76.342140000000001</v>
      </c>
      <c r="J63" s="186">
        <v>70.724823000000001</v>
      </c>
      <c r="K63" s="186">
        <v>66.580116000000004</v>
      </c>
      <c r="L63" s="186">
        <v>82.522568000000007</v>
      </c>
      <c r="M63" s="186">
        <v>75.552802999999997</v>
      </c>
      <c r="N63" s="186">
        <v>76.962967000000006</v>
      </c>
      <c r="O63" s="186">
        <v>79.379729999999995</v>
      </c>
      <c r="P63" s="186">
        <v>61.977626999999998</v>
      </c>
      <c r="Q63" s="186">
        <v>63.105590999999997</v>
      </c>
      <c r="R63" s="186">
        <v>64.144585000000006</v>
      </c>
      <c r="S63" s="186">
        <v>73.560516000000007</v>
      </c>
      <c r="T63" s="186">
        <v>74.144317999999998</v>
      </c>
      <c r="U63" s="186">
        <v>136.04276999999999</v>
      </c>
      <c r="V63" s="186">
        <v>66.611671000000001</v>
      </c>
      <c r="W63" s="186">
        <v>70.638405000000006</v>
      </c>
      <c r="X63" s="186">
        <v>69.584716999999998</v>
      </c>
      <c r="Y63" s="186">
        <v>68.600448999999998</v>
      </c>
      <c r="Z63" s="186">
        <v>62.207897000000003</v>
      </c>
      <c r="AA63" s="50"/>
      <c r="AB63" s="50"/>
      <c r="AC63" s="50"/>
      <c r="AD63" s="50"/>
      <c r="AE63" s="50"/>
    </row>
    <row r="64" spans="1:31" ht="13.15" x14ac:dyDescent="0.4">
      <c r="A64" s="8">
        <v>15</v>
      </c>
      <c r="B64" s="186">
        <v>68.288086000000007</v>
      </c>
      <c r="C64" s="186">
        <v>64.508376999999996</v>
      </c>
      <c r="D64" s="186">
        <v>67.220375000000004</v>
      </c>
      <c r="E64" s="186">
        <v>66.873665000000003</v>
      </c>
      <c r="F64" s="186">
        <v>69.216881000000001</v>
      </c>
      <c r="G64" s="186">
        <v>61.299945999999998</v>
      </c>
      <c r="H64" s="186">
        <v>58.643143000000002</v>
      </c>
      <c r="I64" s="186">
        <v>64.471244999999996</v>
      </c>
      <c r="J64" s="186">
        <v>60.156745999999998</v>
      </c>
      <c r="K64" s="186">
        <v>55.093772999999999</v>
      </c>
      <c r="L64" s="186">
        <v>71.569182999999995</v>
      </c>
      <c r="M64" s="186">
        <v>63.366866999999999</v>
      </c>
      <c r="N64" s="186">
        <v>64.067573999999993</v>
      </c>
      <c r="O64" s="186">
        <v>65.963431999999997</v>
      </c>
      <c r="P64" s="186">
        <v>51.715758999999998</v>
      </c>
      <c r="Q64" s="186">
        <v>53.102345</v>
      </c>
      <c r="R64" s="186">
        <v>53.267451999999999</v>
      </c>
      <c r="S64" s="186">
        <v>62.511093000000002</v>
      </c>
      <c r="T64" s="186">
        <v>63.159973000000001</v>
      </c>
      <c r="U64" s="186">
        <v>121.97695899999999</v>
      </c>
      <c r="V64" s="186">
        <v>56.290053999999998</v>
      </c>
      <c r="W64" s="186">
        <v>58.645122999999998</v>
      </c>
      <c r="X64" s="186">
        <v>59.249339999999997</v>
      </c>
      <c r="Y64" s="186">
        <v>57.827632999999999</v>
      </c>
      <c r="Z64" s="186">
        <v>51.653866000000001</v>
      </c>
      <c r="AA64" s="50"/>
      <c r="AB64" s="50"/>
      <c r="AC64" s="50"/>
      <c r="AD64" s="50"/>
      <c r="AE64" s="50"/>
    </row>
    <row r="65" spans="1:31" ht="13.15" x14ac:dyDescent="0.4">
      <c r="A65" s="8">
        <v>16</v>
      </c>
      <c r="B65" s="186">
        <v>57.864047999999997</v>
      </c>
      <c r="C65" s="186">
        <v>54.654342999999997</v>
      </c>
      <c r="D65" s="186">
        <v>55.863509999999998</v>
      </c>
      <c r="E65" s="186">
        <v>57.421913000000004</v>
      </c>
      <c r="F65" s="186">
        <v>61.797156999999999</v>
      </c>
      <c r="G65" s="186">
        <v>51.402557000000002</v>
      </c>
      <c r="H65" s="186">
        <v>48.784592000000004</v>
      </c>
      <c r="I65" s="186">
        <v>54.135379999999998</v>
      </c>
      <c r="J65" s="186">
        <v>50.198368000000002</v>
      </c>
      <c r="K65" s="186">
        <v>46.453606000000001</v>
      </c>
      <c r="L65" s="186">
        <v>61.785583000000003</v>
      </c>
      <c r="M65" s="186">
        <v>52.704169999999998</v>
      </c>
      <c r="N65" s="186">
        <v>54.856583000000001</v>
      </c>
      <c r="O65" s="186">
        <v>54.986469</v>
      </c>
      <c r="P65" s="186">
        <v>43.689148000000003</v>
      </c>
      <c r="Q65" s="186">
        <v>44.588940000000001</v>
      </c>
      <c r="R65" s="186">
        <v>45.338329000000002</v>
      </c>
      <c r="S65" s="186">
        <v>51.666285999999999</v>
      </c>
      <c r="T65" s="186">
        <v>54.006354999999999</v>
      </c>
      <c r="U65" s="186">
        <v>112.41660299999999</v>
      </c>
      <c r="V65" s="186">
        <v>48.415829000000002</v>
      </c>
      <c r="W65" s="186">
        <v>49.904254999999999</v>
      </c>
      <c r="X65" s="186">
        <v>50.960571000000002</v>
      </c>
      <c r="Y65" s="186">
        <v>48.579276999999998</v>
      </c>
      <c r="Z65" s="186">
        <v>43.230938000000002</v>
      </c>
      <c r="AA65" s="50"/>
      <c r="AB65" s="50"/>
      <c r="AC65" s="50"/>
      <c r="AD65" s="50"/>
      <c r="AE65" s="50"/>
    </row>
    <row r="66" spans="1:31" ht="13.15" x14ac:dyDescent="0.4">
      <c r="A66" s="8">
        <v>17</v>
      </c>
      <c r="B66" s="186">
        <v>42.866196000000002</v>
      </c>
      <c r="C66" s="186">
        <v>42.971724999999999</v>
      </c>
      <c r="D66" s="186">
        <v>41.027962000000002</v>
      </c>
      <c r="E66" s="186">
        <v>44.514687000000002</v>
      </c>
      <c r="F66" s="186">
        <v>48.990509000000003</v>
      </c>
      <c r="G66" s="186">
        <v>40.653782</v>
      </c>
      <c r="H66" s="186">
        <v>38.011325999999997</v>
      </c>
      <c r="I66" s="186">
        <v>40.831791000000003</v>
      </c>
      <c r="J66" s="186">
        <v>38.410896000000001</v>
      </c>
      <c r="K66" s="186">
        <v>36.288704000000003</v>
      </c>
      <c r="L66" s="186">
        <v>47.854584000000003</v>
      </c>
      <c r="M66" s="186">
        <v>40.822884000000002</v>
      </c>
      <c r="N66" s="186">
        <v>40.630713999999998</v>
      </c>
      <c r="O66" s="186">
        <v>41.773453000000003</v>
      </c>
      <c r="P66" s="186">
        <v>33.732086000000002</v>
      </c>
      <c r="Q66" s="186">
        <v>33.840770999999997</v>
      </c>
      <c r="R66" s="186">
        <v>33.038017000000004</v>
      </c>
      <c r="S66" s="186">
        <v>38.979911999999999</v>
      </c>
      <c r="T66" s="186">
        <v>39.970806000000003</v>
      </c>
      <c r="U66" s="186">
        <v>102.08702099999999</v>
      </c>
      <c r="V66" s="186">
        <v>37.349353999999998</v>
      </c>
      <c r="W66" s="186">
        <v>39.333903999999997</v>
      </c>
      <c r="X66" s="186">
        <v>38.169266</v>
      </c>
      <c r="Y66" s="186">
        <v>37.501575000000003</v>
      </c>
      <c r="Z66" s="186">
        <v>33.184311000000001</v>
      </c>
      <c r="AA66" s="50"/>
      <c r="AB66" s="50"/>
      <c r="AC66" s="50"/>
      <c r="AD66" s="50"/>
      <c r="AE66" s="50"/>
    </row>
    <row r="67" spans="1:31" ht="13.15" x14ac:dyDescent="0.4">
      <c r="A67" s="8">
        <v>18</v>
      </c>
      <c r="B67" s="186">
        <v>30.633907000000001</v>
      </c>
      <c r="C67" s="186">
        <v>32.914512999999999</v>
      </c>
      <c r="D67" s="186">
        <v>30.387295000000002</v>
      </c>
      <c r="E67" s="186">
        <v>32.11562</v>
      </c>
      <c r="F67" s="186">
        <v>35.065823000000002</v>
      </c>
      <c r="G67" s="186">
        <v>28.734348000000001</v>
      </c>
      <c r="H67" s="186">
        <v>27.542967000000001</v>
      </c>
      <c r="I67" s="186">
        <v>26.914186000000001</v>
      </c>
      <c r="J67" s="186">
        <v>28.046050999999999</v>
      </c>
      <c r="K67" s="186">
        <v>25.107309000000001</v>
      </c>
      <c r="L67" s="186">
        <v>33.817238000000003</v>
      </c>
      <c r="M67" s="186">
        <v>29.449345000000001</v>
      </c>
      <c r="N67" s="186">
        <v>28.963456999999998</v>
      </c>
      <c r="O67" s="186">
        <v>30.389935000000001</v>
      </c>
      <c r="P67" s="186">
        <v>23.673421999999999</v>
      </c>
      <c r="Q67" s="186">
        <v>23.943943000000001</v>
      </c>
      <c r="R67" s="186">
        <v>23.177441000000002</v>
      </c>
      <c r="S67" s="186">
        <v>25.577369999999998</v>
      </c>
      <c r="T67" s="186">
        <v>28.477927999999999</v>
      </c>
      <c r="U67" s="186">
        <v>91.647552000000005</v>
      </c>
      <c r="V67" s="186">
        <v>25.644428000000001</v>
      </c>
      <c r="W67" s="186">
        <v>28.865190999999999</v>
      </c>
      <c r="X67" s="186">
        <v>26.503592000000001</v>
      </c>
      <c r="Y67" s="186">
        <v>24.899422000000001</v>
      </c>
      <c r="Z67" s="186">
        <v>23.137684</v>
      </c>
      <c r="AA67" s="50"/>
      <c r="AB67" s="50"/>
      <c r="AC67" s="50"/>
      <c r="AD67" s="50"/>
      <c r="AE67" s="50"/>
    </row>
    <row r="68" spans="1:31" ht="13.15" x14ac:dyDescent="0.4">
      <c r="A68" s="8">
        <v>19</v>
      </c>
      <c r="B68" s="186">
        <v>21.486281999999999</v>
      </c>
      <c r="C68" s="186">
        <v>23.670003999999999</v>
      </c>
      <c r="D68" s="186">
        <v>22.09985</v>
      </c>
      <c r="E68" s="186">
        <v>24.696504999999998</v>
      </c>
      <c r="F68" s="186">
        <v>25.308375999999999</v>
      </c>
      <c r="G68" s="186">
        <v>20.859009</v>
      </c>
      <c r="H68" s="186">
        <v>19.310568</v>
      </c>
      <c r="I68" s="186">
        <v>19.239038000000001</v>
      </c>
      <c r="J68" s="186">
        <v>20.526457000000001</v>
      </c>
      <c r="K68" s="186">
        <v>16.772089000000001</v>
      </c>
      <c r="L68" s="186">
        <v>24.565351</v>
      </c>
      <c r="M68" s="186">
        <v>20.919188999999999</v>
      </c>
      <c r="N68" s="186">
        <v>20.366529</v>
      </c>
      <c r="O68" s="186">
        <v>22.258848</v>
      </c>
      <c r="P68" s="186">
        <v>17.069248000000002</v>
      </c>
      <c r="Q68" s="186">
        <v>17.346056000000001</v>
      </c>
      <c r="R68" s="186">
        <v>14.943350000000001</v>
      </c>
      <c r="S68" s="186">
        <v>17.597231000000001</v>
      </c>
      <c r="T68" s="186">
        <v>19.934549000000001</v>
      </c>
      <c r="U68" s="186">
        <v>82.306976000000006</v>
      </c>
      <c r="V68" s="186">
        <v>17.450980999999999</v>
      </c>
      <c r="W68" s="186">
        <v>20.022684000000002</v>
      </c>
      <c r="X68" s="186">
        <v>18.624146</v>
      </c>
      <c r="Y68" s="186">
        <v>16.667368</v>
      </c>
      <c r="Z68" s="186">
        <v>15.729566</v>
      </c>
      <c r="AA68" s="50"/>
      <c r="AB68" s="50"/>
      <c r="AC68" s="50"/>
      <c r="AD68" s="50"/>
      <c r="AE68" s="50"/>
    </row>
    <row r="69" spans="1:31" ht="13.15" x14ac:dyDescent="0.4">
      <c r="A69" s="8">
        <v>20</v>
      </c>
      <c r="B69" s="186">
        <v>18.720721999999999</v>
      </c>
      <c r="C69" s="186">
        <v>20.216013</v>
      </c>
      <c r="D69" s="186">
        <v>18.825797999999999</v>
      </c>
      <c r="E69" s="186">
        <v>21.139395</v>
      </c>
      <c r="F69" s="186">
        <v>21.242773</v>
      </c>
      <c r="G69" s="186">
        <v>18.091996999999999</v>
      </c>
      <c r="H69" s="186">
        <v>16.159894999999999</v>
      </c>
      <c r="I69" s="186">
        <v>15.554967</v>
      </c>
      <c r="J69" s="186">
        <v>16.156963000000001</v>
      </c>
      <c r="K69" s="186">
        <v>13.62097</v>
      </c>
      <c r="L69" s="186">
        <v>19.673549999999999</v>
      </c>
      <c r="M69" s="186">
        <v>18.482002000000001</v>
      </c>
      <c r="N69" s="186">
        <v>17.705576000000001</v>
      </c>
      <c r="O69" s="186">
        <v>17.888390000000001</v>
      </c>
      <c r="P69" s="186">
        <v>14.833989000000001</v>
      </c>
      <c r="Q69" s="186">
        <v>14.047112</v>
      </c>
      <c r="R69" s="186">
        <v>11.080443000000001</v>
      </c>
      <c r="S69" s="186">
        <v>13.811780000000001</v>
      </c>
      <c r="T69" s="186">
        <v>15.967980000000001</v>
      </c>
      <c r="U69" s="186">
        <v>76.592735000000005</v>
      </c>
      <c r="V69" s="186">
        <v>15.003587</v>
      </c>
      <c r="W69" s="186">
        <v>16.871905999999999</v>
      </c>
      <c r="X69" s="186">
        <v>15.656561999999999</v>
      </c>
      <c r="Y69" s="186">
        <v>12.602156000000001</v>
      </c>
      <c r="Z69" s="186">
        <v>13.192539</v>
      </c>
      <c r="AA69" s="50"/>
      <c r="AB69" s="50"/>
      <c r="AC69" s="50"/>
      <c r="AD69" s="50"/>
      <c r="AE69" s="50"/>
    </row>
    <row r="70" spans="1:31" ht="13.15" x14ac:dyDescent="0.4">
      <c r="A70" s="8">
        <v>21</v>
      </c>
      <c r="B70" s="186">
        <v>16.38063</v>
      </c>
      <c r="C70" s="186">
        <v>18.082664000000001</v>
      </c>
      <c r="D70" s="186">
        <v>17.495714</v>
      </c>
      <c r="E70" s="186">
        <v>19.208393000000001</v>
      </c>
      <c r="F70" s="186">
        <v>18.600131999999999</v>
      </c>
      <c r="G70" s="186">
        <v>15.537832999999999</v>
      </c>
      <c r="H70" s="186">
        <v>13.822301</v>
      </c>
      <c r="I70" s="186">
        <v>14.019938</v>
      </c>
      <c r="J70" s="186">
        <v>14.937571</v>
      </c>
      <c r="K70" s="186">
        <v>12.197884</v>
      </c>
      <c r="L70" s="186">
        <v>17.227650000000001</v>
      </c>
      <c r="M70" s="186">
        <v>17.060310000000001</v>
      </c>
      <c r="N70" s="186">
        <v>15.965722</v>
      </c>
      <c r="O70" s="186">
        <v>15.245786000000001</v>
      </c>
      <c r="P70" s="186">
        <v>13.513154999999999</v>
      </c>
      <c r="Q70" s="186">
        <v>12.876519999999999</v>
      </c>
      <c r="R70" s="186">
        <v>9.6572680000000002</v>
      </c>
      <c r="S70" s="186">
        <v>12.686375999999999</v>
      </c>
      <c r="T70" s="186">
        <v>14.645790999999999</v>
      </c>
      <c r="U70" s="186">
        <v>74.394951000000006</v>
      </c>
      <c r="V70" s="186">
        <v>12.875419000000001</v>
      </c>
      <c r="W70" s="186">
        <v>14.839147000000001</v>
      </c>
      <c r="X70" s="186">
        <v>14.121605000000001</v>
      </c>
      <c r="Y70" s="186">
        <v>10.976070999999999</v>
      </c>
      <c r="Z70" s="186">
        <v>11.873284999999999</v>
      </c>
      <c r="AA70" s="50"/>
      <c r="AB70" s="50"/>
      <c r="AC70" s="50"/>
      <c r="AD70" s="50"/>
      <c r="AE70" s="50"/>
    </row>
    <row r="71" spans="1:31" ht="13.15" x14ac:dyDescent="0.4">
      <c r="A71" s="8">
        <v>22</v>
      </c>
      <c r="B71" s="186">
        <v>13.615069999999999</v>
      </c>
      <c r="C71" s="186">
        <v>15.339788</v>
      </c>
      <c r="D71" s="186">
        <v>15.551746</v>
      </c>
      <c r="E71" s="186">
        <v>16.565968000000002</v>
      </c>
      <c r="F71" s="186">
        <v>16.364049999999999</v>
      </c>
      <c r="G71" s="186">
        <v>13.090093</v>
      </c>
      <c r="H71" s="186">
        <v>11.687975</v>
      </c>
      <c r="I71" s="186">
        <v>11.768560000000001</v>
      </c>
      <c r="J71" s="186">
        <v>12.498784000000001</v>
      </c>
      <c r="K71" s="186">
        <v>10.368200999999999</v>
      </c>
      <c r="L71" s="186">
        <v>14.781749</v>
      </c>
      <c r="M71" s="186">
        <v>15.029320999999999</v>
      </c>
      <c r="N71" s="186">
        <v>13.611801</v>
      </c>
      <c r="O71" s="186">
        <v>14.026123</v>
      </c>
      <c r="P71" s="186">
        <v>11.481101000000001</v>
      </c>
      <c r="Q71" s="186">
        <v>10.961004000000001</v>
      </c>
      <c r="R71" s="186">
        <v>8.5390569999999997</v>
      </c>
      <c r="S71" s="186">
        <v>10.947113999999999</v>
      </c>
      <c r="T71" s="186">
        <v>13.018481</v>
      </c>
      <c r="U71" s="186">
        <v>70.768615999999994</v>
      </c>
      <c r="V71" s="186">
        <v>11.066476</v>
      </c>
      <c r="W71" s="186">
        <v>12.501473000000001</v>
      </c>
      <c r="X71" s="186">
        <v>12.381987000000001</v>
      </c>
      <c r="Y71" s="186">
        <v>9.7565080000000002</v>
      </c>
      <c r="Z71" s="186">
        <v>10.554031</v>
      </c>
      <c r="AA71" s="50"/>
      <c r="AB71" s="50"/>
      <c r="AC71" s="50"/>
      <c r="AD71" s="50"/>
      <c r="AE71" s="50"/>
    </row>
    <row r="72" spans="1:31" ht="13.15" x14ac:dyDescent="0.4">
      <c r="A72" s="8">
        <v>23</v>
      </c>
      <c r="B72" s="186">
        <v>11.381347999999999</v>
      </c>
      <c r="C72" s="186">
        <v>11.885795999999999</v>
      </c>
      <c r="D72" s="186">
        <v>13.096208000000001</v>
      </c>
      <c r="E72" s="186">
        <v>12.907227000000001</v>
      </c>
      <c r="F72" s="186">
        <v>13.721408</v>
      </c>
      <c r="G72" s="186">
        <v>10.855199000000001</v>
      </c>
      <c r="H72" s="186">
        <v>9.4520149999999994</v>
      </c>
      <c r="I72" s="186">
        <v>9.9265249999999998</v>
      </c>
      <c r="J72" s="186">
        <v>10.466461000000001</v>
      </c>
      <c r="K72" s="186">
        <v>8.7418169999999993</v>
      </c>
      <c r="L72" s="186">
        <v>12.016817</v>
      </c>
      <c r="M72" s="186">
        <v>12.084386</v>
      </c>
      <c r="N72" s="186">
        <v>11.155537000000001</v>
      </c>
      <c r="O72" s="186">
        <v>11.485158999999999</v>
      </c>
      <c r="P72" s="186">
        <v>9.7538560000000007</v>
      </c>
      <c r="Q72" s="186">
        <v>9.0454889999999999</v>
      </c>
      <c r="R72" s="186">
        <v>6.9125699999999997</v>
      </c>
      <c r="S72" s="186">
        <v>8.4916870000000007</v>
      </c>
      <c r="T72" s="186">
        <v>11.492877999999999</v>
      </c>
      <c r="U72" s="186">
        <v>67.471939000000006</v>
      </c>
      <c r="V72" s="186">
        <v>9.1511239999999994</v>
      </c>
      <c r="W72" s="186">
        <v>10.468712999999999</v>
      </c>
      <c r="X72" s="186">
        <v>10.540037999999999</v>
      </c>
      <c r="Y72" s="186">
        <v>8.3336839999999999</v>
      </c>
      <c r="Z72" s="186">
        <v>8.1184849999999997</v>
      </c>
      <c r="AA72" s="50"/>
      <c r="AB72" s="50"/>
      <c r="AC72" s="50"/>
      <c r="AD72" s="50"/>
      <c r="AE72" s="50"/>
    </row>
    <row r="73" spans="1:31" ht="13.15" x14ac:dyDescent="0.4">
      <c r="A73" s="8">
        <v>24</v>
      </c>
      <c r="B73" s="186">
        <v>9.5730959999999996</v>
      </c>
      <c r="C73" s="186">
        <v>9.9556240000000003</v>
      </c>
      <c r="D73" s="186">
        <v>10.742983000000001</v>
      </c>
      <c r="E73" s="186">
        <v>11.281119</v>
      </c>
      <c r="F73" s="186">
        <v>11.790247000000001</v>
      </c>
      <c r="G73" s="186">
        <v>8.1946110000000001</v>
      </c>
      <c r="H73" s="186">
        <v>8.2324000000000002</v>
      </c>
      <c r="I73" s="186">
        <v>8.4938310000000001</v>
      </c>
      <c r="J73" s="186">
        <v>9.0438360000000007</v>
      </c>
      <c r="K73" s="186">
        <v>7.7253259999999999</v>
      </c>
      <c r="L73" s="186">
        <v>10.421664</v>
      </c>
      <c r="M73" s="186">
        <v>10.459595</v>
      </c>
      <c r="N73" s="186">
        <v>9.8250600000000006</v>
      </c>
      <c r="O73" s="186">
        <v>9.8589420000000008</v>
      </c>
      <c r="P73" s="186">
        <v>7.7218030000000004</v>
      </c>
      <c r="Q73" s="186">
        <v>8.3005669999999991</v>
      </c>
      <c r="R73" s="186">
        <v>5.4893939999999999</v>
      </c>
      <c r="S73" s="186">
        <v>6.5478069999999997</v>
      </c>
      <c r="T73" s="186">
        <v>9.6621539999999992</v>
      </c>
      <c r="U73" s="186">
        <v>64.175262000000004</v>
      </c>
      <c r="V73" s="186">
        <v>7.5549970000000002</v>
      </c>
      <c r="W73" s="186">
        <v>8.8425049999999992</v>
      </c>
      <c r="X73" s="186">
        <v>8.5957589999999993</v>
      </c>
      <c r="Y73" s="186">
        <v>6.605969</v>
      </c>
      <c r="Z73" s="186">
        <v>6.7992319999999999</v>
      </c>
      <c r="AA73" s="50"/>
      <c r="AB73" s="50"/>
      <c r="AC73" s="50"/>
      <c r="AD73" s="50"/>
      <c r="AE73" s="50"/>
    </row>
    <row r="74" spans="1:31" ht="13.15" x14ac:dyDescent="0.4">
      <c r="A74" s="8">
        <v>25</v>
      </c>
      <c r="B74" s="186">
        <v>7.9775799999999997</v>
      </c>
      <c r="C74" s="186">
        <v>8.8381559999999997</v>
      </c>
      <c r="D74" s="186">
        <v>8.9013290000000005</v>
      </c>
      <c r="E74" s="186">
        <v>9.5533809999999999</v>
      </c>
      <c r="F74" s="186">
        <v>10.062366000000001</v>
      </c>
      <c r="G74" s="186">
        <v>6.2789869999999999</v>
      </c>
      <c r="H74" s="186">
        <v>7.012785</v>
      </c>
      <c r="I74" s="186">
        <v>7.2658069999999997</v>
      </c>
      <c r="J74" s="186">
        <v>7.8244420000000003</v>
      </c>
      <c r="K74" s="186">
        <v>6.6071869999999997</v>
      </c>
      <c r="L74" s="186">
        <v>9.1455420000000007</v>
      </c>
      <c r="M74" s="186">
        <v>9.0379020000000008</v>
      </c>
      <c r="N74" s="186">
        <v>8.4945830000000004</v>
      </c>
      <c r="O74" s="186">
        <v>8.3343629999999997</v>
      </c>
      <c r="P74" s="186">
        <v>6.6041730000000003</v>
      </c>
      <c r="Q74" s="186">
        <v>6.9171389999999997</v>
      </c>
      <c r="R74" s="186">
        <v>4.9811170000000002</v>
      </c>
      <c r="S74" s="186">
        <v>5.2177829999999998</v>
      </c>
      <c r="T74" s="186">
        <v>8.1365510000000008</v>
      </c>
      <c r="U74" s="186">
        <v>62.856594000000001</v>
      </c>
      <c r="V74" s="186">
        <v>6.3845049999999999</v>
      </c>
      <c r="W74" s="186">
        <v>6.8097450000000004</v>
      </c>
      <c r="X74" s="186">
        <v>6.7538109999999998</v>
      </c>
      <c r="Y74" s="186">
        <v>5.3864049999999999</v>
      </c>
      <c r="Z74" s="186">
        <v>5.3784970000000003</v>
      </c>
      <c r="AA74" s="50"/>
      <c r="AB74" s="50"/>
      <c r="AC74" s="50"/>
      <c r="AD74" s="50"/>
      <c r="AE74" s="50"/>
    </row>
    <row r="75" spans="1:31" ht="13.15" x14ac:dyDescent="0.4">
      <c r="A75" s="8">
        <v>26</v>
      </c>
      <c r="B75" s="186">
        <v>6.9139030000000004</v>
      </c>
      <c r="C75" s="186">
        <v>7.923864</v>
      </c>
      <c r="D75" s="186">
        <v>7.7758729999999998</v>
      </c>
      <c r="E75" s="186">
        <v>8.5370640000000009</v>
      </c>
      <c r="F75" s="186">
        <v>8.5377659999999995</v>
      </c>
      <c r="G75" s="186">
        <v>5.4275989999999998</v>
      </c>
      <c r="H75" s="186">
        <v>6.1997080000000002</v>
      </c>
      <c r="I75" s="186">
        <v>5.9354480000000001</v>
      </c>
      <c r="J75" s="186">
        <v>6.8082799999999999</v>
      </c>
      <c r="K75" s="186">
        <v>4.9808029999999999</v>
      </c>
      <c r="L75" s="186">
        <v>7.3377030000000003</v>
      </c>
      <c r="M75" s="186">
        <v>7.1084620000000003</v>
      </c>
      <c r="N75" s="186">
        <v>7.3687940000000003</v>
      </c>
      <c r="O75" s="186">
        <v>7.521255</v>
      </c>
      <c r="P75" s="186">
        <v>5.080133</v>
      </c>
      <c r="Q75" s="186">
        <v>5.4272939999999998</v>
      </c>
      <c r="R75" s="186">
        <v>4.0662180000000001</v>
      </c>
      <c r="S75" s="186">
        <v>4.0923790000000002</v>
      </c>
      <c r="T75" s="186">
        <v>7.5263090000000004</v>
      </c>
      <c r="U75" s="186">
        <v>60.658810000000003</v>
      </c>
      <c r="V75" s="186">
        <v>5.7460550000000001</v>
      </c>
      <c r="W75" s="186">
        <v>5.3868140000000002</v>
      </c>
      <c r="X75" s="186">
        <v>5.3211839999999997</v>
      </c>
      <c r="Y75" s="186">
        <v>4.3701020000000002</v>
      </c>
      <c r="Z75" s="186">
        <v>4.3636860000000004</v>
      </c>
      <c r="AA75" s="50"/>
      <c r="AB75" s="50"/>
      <c r="AC75" s="50"/>
      <c r="AD75" s="50"/>
      <c r="AE75" s="50"/>
    </row>
    <row r="76" spans="1:31" ht="13.15" x14ac:dyDescent="0.4">
      <c r="A76" s="8">
        <v>27</v>
      </c>
      <c r="B76" s="186">
        <v>5.9565929999999998</v>
      </c>
      <c r="C76" s="186">
        <v>6.6032200000000003</v>
      </c>
      <c r="D76" s="186">
        <v>6.8550459999999998</v>
      </c>
      <c r="E76" s="186">
        <v>7.3174830000000002</v>
      </c>
      <c r="F76" s="186">
        <v>7.3180839999999998</v>
      </c>
      <c r="G76" s="186">
        <v>4.3633639999999998</v>
      </c>
      <c r="H76" s="186">
        <v>4.8784590000000003</v>
      </c>
      <c r="I76" s="186">
        <v>5.2191010000000002</v>
      </c>
      <c r="J76" s="186">
        <v>5.5888869999999997</v>
      </c>
      <c r="K76" s="186">
        <v>3.862663</v>
      </c>
      <c r="L76" s="186">
        <v>6.2742680000000002</v>
      </c>
      <c r="M76" s="186">
        <v>5.9914180000000004</v>
      </c>
      <c r="N76" s="186">
        <v>6.6523839999999996</v>
      </c>
      <c r="O76" s="186">
        <v>6.5048690000000002</v>
      </c>
      <c r="P76" s="186">
        <v>3.962504</v>
      </c>
      <c r="Q76" s="186">
        <v>4.3631180000000001</v>
      </c>
      <c r="R76" s="186">
        <v>3.5579399999999999</v>
      </c>
      <c r="S76" s="186">
        <v>3.580832</v>
      </c>
      <c r="T76" s="186">
        <v>6.7126539999999997</v>
      </c>
      <c r="U76" s="186">
        <v>58.790694999999999</v>
      </c>
      <c r="V76" s="186">
        <v>4.6819709999999999</v>
      </c>
      <c r="W76" s="186">
        <v>4.4720719999999998</v>
      </c>
      <c r="X76" s="186">
        <v>4.5025409999999999</v>
      </c>
      <c r="Y76" s="186">
        <v>3.3538000000000001</v>
      </c>
      <c r="Z76" s="186">
        <v>3.4503560000000002</v>
      </c>
      <c r="AA76" s="50"/>
      <c r="AB76" s="50"/>
      <c r="AC76" s="50"/>
      <c r="AD76" s="50"/>
      <c r="AE76" s="50"/>
    </row>
    <row r="77" spans="1:31" ht="13.15" x14ac:dyDescent="0.4">
      <c r="A77" s="8">
        <v>28</v>
      </c>
      <c r="B77" s="186">
        <v>5.3183870000000004</v>
      </c>
      <c r="C77" s="186">
        <v>5.6889279999999998</v>
      </c>
      <c r="D77" s="186">
        <v>5.4226479999999997</v>
      </c>
      <c r="E77" s="186">
        <v>6.6060610000000004</v>
      </c>
      <c r="F77" s="186">
        <v>6.0984040000000004</v>
      </c>
      <c r="G77" s="186">
        <v>3.6183999999999998</v>
      </c>
      <c r="H77" s="186">
        <v>3.9637479999999998</v>
      </c>
      <c r="I77" s="186">
        <v>4.6050890000000004</v>
      </c>
      <c r="J77" s="186">
        <v>4.97919</v>
      </c>
      <c r="K77" s="186">
        <v>2.8461729999999998</v>
      </c>
      <c r="L77" s="186">
        <v>5.8488939999999996</v>
      </c>
      <c r="M77" s="186">
        <v>4.8743740000000004</v>
      </c>
      <c r="N77" s="186">
        <v>5.9359739999999999</v>
      </c>
      <c r="O77" s="186">
        <v>5.590122</v>
      </c>
      <c r="P77" s="186">
        <v>3.454491</v>
      </c>
      <c r="Q77" s="186">
        <v>3.5117780000000001</v>
      </c>
      <c r="R77" s="186">
        <v>3.252974</v>
      </c>
      <c r="S77" s="186">
        <v>3.2739029999999998</v>
      </c>
      <c r="T77" s="186">
        <v>5.7972919999999997</v>
      </c>
      <c r="U77" s="186">
        <v>55.494019000000002</v>
      </c>
      <c r="V77" s="186">
        <v>3.6178859999999999</v>
      </c>
      <c r="W77" s="186">
        <v>3.862244</v>
      </c>
      <c r="X77" s="186">
        <v>3.7862269999999998</v>
      </c>
      <c r="Y77" s="186">
        <v>2.5407570000000002</v>
      </c>
      <c r="Z77" s="186">
        <v>3.044432</v>
      </c>
      <c r="AA77" s="50"/>
      <c r="AB77" s="50"/>
      <c r="AC77" s="50"/>
      <c r="AD77" s="50"/>
      <c r="AE77" s="50"/>
    </row>
    <row r="78" spans="1:31" ht="13.15" x14ac:dyDescent="0.4">
      <c r="A78" s="8">
        <v>29</v>
      </c>
      <c r="B78" s="186">
        <v>3.9356059999999999</v>
      </c>
      <c r="C78" s="186">
        <v>4.165108</v>
      </c>
      <c r="D78" s="186">
        <v>4.6041359999999996</v>
      </c>
      <c r="E78" s="186">
        <v>5.5897439999999996</v>
      </c>
      <c r="F78" s="186">
        <v>5.2852829999999997</v>
      </c>
      <c r="G78" s="186">
        <v>2.9798580000000001</v>
      </c>
      <c r="H78" s="186">
        <v>3.150671</v>
      </c>
      <c r="I78" s="186">
        <v>3.5817359999999998</v>
      </c>
      <c r="J78" s="186">
        <v>4.2678770000000004</v>
      </c>
      <c r="K78" s="186">
        <v>2.1346289999999999</v>
      </c>
      <c r="L78" s="186">
        <v>4.9981450000000001</v>
      </c>
      <c r="M78" s="186">
        <v>3.8588800000000001</v>
      </c>
      <c r="N78" s="186">
        <v>5.219563</v>
      </c>
      <c r="O78" s="186">
        <v>4.4720969999999998</v>
      </c>
      <c r="P78" s="186">
        <v>3.0480800000000001</v>
      </c>
      <c r="Q78" s="186">
        <v>2.6604380000000001</v>
      </c>
      <c r="R78" s="186">
        <v>2.7446969999999999</v>
      </c>
      <c r="S78" s="186">
        <v>2.4554269999999998</v>
      </c>
      <c r="T78" s="186">
        <v>5.2887579999999996</v>
      </c>
      <c r="U78" s="186">
        <v>53.516013999999998</v>
      </c>
      <c r="V78" s="186">
        <v>3.0858439999999998</v>
      </c>
      <c r="W78" s="186">
        <v>3.04914</v>
      </c>
      <c r="X78" s="186">
        <v>2.967584</v>
      </c>
      <c r="Y78" s="186">
        <v>2.0326059999999999</v>
      </c>
      <c r="Z78" s="186">
        <v>2.6385079999999999</v>
      </c>
      <c r="AA78" s="50"/>
      <c r="AB78" s="50"/>
      <c r="AC78" s="50"/>
      <c r="AD78" s="50"/>
      <c r="AE78" s="50"/>
    </row>
    <row r="79" spans="1:31" ht="13.15" x14ac:dyDescent="0.4">
      <c r="A79" s="8">
        <v>30</v>
      </c>
      <c r="B79" s="186">
        <v>2.7655609999999999</v>
      </c>
      <c r="C79" s="186">
        <v>3.758756</v>
      </c>
      <c r="D79" s="186">
        <v>3.580994</v>
      </c>
      <c r="E79" s="186">
        <v>3.9636369999999999</v>
      </c>
      <c r="F79" s="186">
        <v>4.2688829999999998</v>
      </c>
      <c r="G79" s="186">
        <v>2.3413170000000001</v>
      </c>
      <c r="H79" s="186">
        <v>2.6424989999999999</v>
      </c>
      <c r="I79" s="186">
        <v>2.967724</v>
      </c>
      <c r="J79" s="186">
        <v>3.4549479999999999</v>
      </c>
      <c r="K79" s="186">
        <v>1.6263840000000001</v>
      </c>
      <c r="L79" s="186">
        <v>3.7220230000000001</v>
      </c>
      <c r="M79" s="186">
        <v>3.4526819999999998</v>
      </c>
      <c r="N79" s="186">
        <v>4.4008079999999996</v>
      </c>
      <c r="O79" s="186">
        <v>3.7606269999999999</v>
      </c>
      <c r="P79" s="186">
        <v>2.844875</v>
      </c>
      <c r="Q79" s="186">
        <v>2.1283500000000002</v>
      </c>
      <c r="R79" s="186">
        <v>2.4397310000000001</v>
      </c>
      <c r="S79" s="186">
        <v>1.636952</v>
      </c>
      <c r="T79" s="186">
        <v>4.6785170000000003</v>
      </c>
      <c r="U79" s="186">
        <v>51.86768</v>
      </c>
      <c r="V79" s="186">
        <v>2.7666189999999999</v>
      </c>
      <c r="W79" s="186">
        <v>2.6425879999999999</v>
      </c>
      <c r="X79" s="186">
        <v>2.3536009999999998</v>
      </c>
      <c r="Y79" s="186">
        <v>1.4228240000000001</v>
      </c>
      <c r="Z79" s="186">
        <v>1.826659</v>
      </c>
      <c r="AA79" s="50"/>
      <c r="AB79" s="50"/>
      <c r="AC79" s="50"/>
      <c r="AD79" s="50"/>
      <c r="AE79" s="50"/>
    </row>
    <row r="80" spans="1:31" ht="13.15" x14ac:dyDescent="0.4">
      <c r="A80" s="8">
        <v>38</v>
      </c>
      <c r="B80" s="186">
        <v>0.42547099999999999</v>
      </c>
      <c r="C80" s="186">
        <v>0.91429199999999999</v>
      </c>
      <c r="D80" s="186">
        <v>0.71619900000000003</v>
      </c>
      <c r="E80" s="186">
        <v>0.81305400000000005</v>
      </c>
      <c r="F80" s="186">
        <v>0.91476100000000005</v>
      </c>
      <c r="G80" s="186">
        <v>0.31927100000000003</v>
      </c>
      <c r="H80" s="186">
        <v>0.20326900000000001</v>
      </c>
      <c r="I80" s="186">
        <v>0.307006</v>
      </c>
      <c r="J80" s="186">
        <v>0.30484800000000001</v>
      </c>
      <c r="K80" s="186">
        <v>0</v>
      </c>
      <c r="L80" s="186">
        <v>1.276122</v>
      </c>
      <c r="M80" s="186">
        <v>0.60929699999999998</v>
      </c>
      <c r="N80" s="186">
        <v>0.51172200000000001</v>
      </c>
      <c r="O80" s="186">
        <v>0.40655400000000003</v>
      </c>
      <c r="P80" s="186">
        <v>0.40641100000000002</v>
      </c>
      <c r="Q80" s="186">
        <v>0.31925300000000001</v>
      </c>
      <c r="R80" s="186">
        <v>0</v>
      </c>
      <c r="S80" s="186">
        <v>0.30692799999999998</v>
      </c>
      <c r="T80" s="186">
        <v>1.3221890000000001</v>
      </c>
      <c r="U80" s="186">
        <v>35.164527999999997</v>
      </c>
      <c r="V80" s="186">
        <v>0.31922499999999998</v>
      </c>
      <c r="W80" s="186">
        <v>0.20327600000000001</v>
      </c>
      <c r="X80" s="186">
        <v>0.20466100000000001</v>
      </c>
      <c r="Y80" s="186">
        <v>0.203261</v>
      </c>
      <c r="Z80" s="186">
        <v>0.30444300000000002</v>
      </c>
      <c r="AA80" s="50"/>
      <c r="AB80" s="50"/>
      <c r="AC80" s="50"/>
      <c r="AD80" s="50"/>
      <c r="AE80" s="50"/>
    </row>
    <row r="81" spans="1:32" ht="13.15" x14ac:dyDescent="0.4">
      <c r="A81" s="8">
        <v>50</v>
      </c>
      <c r="B81" s="186">
        <v>0</v>
      </c>
      <c r="C81" s="186">
        <v>0.30476399999999998</v>
      </c>
      <c r="D81" s="186">
        <v>0.30694199999999999</v>
      </c>
      <c r="E81" s="186">
        <v>0</v>
      </c>
      <c r="F81" s="186">
        <v>0.50819999999999999</v>
      </c>
      <c r="G81" s="186">
        <v>0.21284700000000001</v>
      </c>
      <c r="H81" s="186">
        <v>0</v>
      </c>
      <c r="I81" s="186">
        <v>0.102335</v>
      </c>
      <c r="J81" s="186">
        <v>0.101616</v>
      </c>
      <c r="K81" s="186">
        <v>0</v>
      </c>
      <c r="L81" s="186">
        <v>0.21268699999999999</v>
      </c>
      <c r="M81" s="186">
        <v>0.30464799999999997</v>
      </c>
      <c r="N81" s="186">
        <v>0.20468900000000001</v>
      </c>
      <c r="O81" s="186">
        <v>0</v>
      </c>
      <c r="P81" s="186">
        <v>0.101603</v>
      </c>
      <c r="Q81" s="186">
        <v>0.106418</v>
      </c>
      <c r="R81" s="186">
        <v>0</v>
      </c>
      <c r="S81" s="186">
        <v>0</v>
      </c>
      <c r="T81" s="186">
        <v>0.50853400000000004</v>
      </c>
      <c r="U81" s="186">
        <v>22.747053000000001</v>
      </c>
      <c r="V81" s="186">
        <v>0.106408</v>
      </c>
      <c r="W81" s="186">
        <v>0</v>
      </c>
      <c r="X81" s="186">
        <v>0</v>
      </c>
      <c r="Y81" s="186">
        <v>0.10163</v>
      </c>
      <c r="Z81" s="186">
        <v>0</v>
      </c>
      <c r="AA81" s="50"/>
      <c r="AB81" s="50"/>
      <c r="AC81" s="50"/>
      <c r="AD81" s="50"/>
      <c r="AE81" s="50"/>
    </row>
    <row r="82" spans="1:32" ht="13.15" x14ac:dyDescent="0.4">
      <c r="A82" s="8">
        <v>70</v>
      </c>
      <c r="B82" s="186">
        <v>0</v>
      </c>
      <c r="C82" s="186">
        <v>0</v>
      </c>
      <c r="D82" s="186">
        <v>0</v>
      </c>
      <c r="E82" s="186">
        <v>0</v>
      </c>
      <c r="F82" s="186">
        <v>0.30492000000000002</v>
      </c>
      <c r="G82" s="186">
        <v>0.106424</v>
      </c>
      <c r="H82" s="186">
        <v>0</v>
      </c>
      <c r="I82" s="186">
        <v>0</v>
      </c>
      <c r="J82" s="186">
        <v>0.101616</v>
      </c>
      <c r="K82" s="186">
        <v>0</v>
      </c>
      <c r="L82" s="186">
        <v>0.10634399999999999</v>
      </c>
      <c r="M82" s="186">
        <v>0</v>
      </c>
      <c r="N82" s="186">
        <v>0</v>
      </c>
      <c r="O82" s="186">
        <v>0</v>
      </c>
      <c r="P82" s="186">
        <v>0</v>
      </c>
      <c r="Q82" s="186">
        <v>0</v>
      </c>
      <c r="R82" s="186">
        <v>0</v>
      </c>
      <c r="S82" s="186">
        <v>0</v>
      </c>
      <c r="T82" s="186">
        <v>0.20341400000000001</v>
      </c>
      <c r="U82" s="186">
        <v>13.955921999999999</v>
      </c>
      <c r="V82" s="186">
        <v>0.106408</v>
      </c>
      <c r="W82" s="186">
        <v>0</v>
      </c>
      <c r="X82" s="186">
        <v>0</v>
      </c>
      <c r="Y82" s="186">
        <v>0.10163</v>
      </c>
      <c r="Z82" s="186">
        <v>0</v>
      </c>
      <c r="AA82" s="50"/>
      <c r="AB82" s="50"/>
      <c r="AC82" s="50"/>
      <c r="AD82" s="50"/>
      <c r="AE82" s="50"/>
    </row>
    <row r="85" spans="1:32" x14ac:dyDescent="0.35">
      <c r="B85" t="s">
        <v>393</v>
      </c>
    </row>
    <row r="92" spans="1:32" x14ac:dyDescent="0.35">
      <c r="A92" t="s">
        <v>351</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140</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141</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142</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143</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144</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145</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146</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158</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159</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160</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161</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162</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163</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164</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165</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166</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167</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168</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169</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140</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141</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142</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143</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144</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145</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146</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158</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159</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160</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161</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162</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163</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164</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165</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166</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167</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168</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169</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140</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141</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142</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143</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144</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145</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146</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158</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159</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160</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161</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162</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163</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164</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165</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166</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167</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168</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169</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55" zoomScaleNormal="55"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140</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141</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142</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143</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144</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145</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146</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158</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159</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160</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161</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162</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163</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164</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165</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166</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167</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168</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169</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zoomScale="70" zoomScaleNormal="70" workbookViewId="0">
      <selection activeCell="M54" sqref="M54"/>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7" t="s">
        <v>323</v>
      </c>
    </row>
    <row r="2" spans="1:1009" ht="53" customHeight="1" x14ac:dyDescent="1.05">
      <c r="A2" s="3" t="s">
        <v>10</v>
      </c>
      <c r="B2" s="32" t="s">
        <v>8</v>
      </c>
      <c r="C2" s="261" t="s">
        <v>11</v>
      </c>
      <c r="D2" s="261"/>
      <c r="E2" s="261"/>
      <c r="F2" s="261"/>
      <c r="G2" s="261"/>
      <c r="H2" s="261"/>
      <c r="I2" s="261"/>
      <c r="J2" s="261"/>
      <c r="K2" s="261"/>
      <c r="L2" s="261"/>
      <c r="M2" s="9"/>
      <c r="N2" s="33"/>
      <c r="Q2" s="9" t="s">
        <v>370</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22</v>
      </c>
      <c r="B4" s="36"/>
      <c r="C4" s="36"/>
      <c r="D4" s="37" t="s">
        <v>363</v>
      </c>
      <c r="P4" s="35"/>
      <c r="Q4" s="36"/>
      <c r="R4" s="36"/>
      <c r="S4" s="83" t="s">
        <v>374</v>
      </c>
      <c r="T4" s="83" t="s">
        <v>374</v>
      </c>
      <c r="U4" s="83" t="s">
        <v>374</v>
      </c>
      <c r="V4" s="83" t="s">
        <v>374</v>
      </c>
      <c r="W4" s="83" t="s">
        <v>374</v>
      </c>
      <c r="X4" s="83" t="s">
        <v>374</v>
      </c>
      <c r="Y4" s="83" t="s">
        <v>374</v>
      </c>
      <c r="Z4" s="83" t="s">
        <v>374</v>
      </c>
      <c r="AA4" s="83" t="s">
        <v>374</v>
      </c>
      <c r="AB4" s="83" t="s">
        <v>374</v>
      </c>
      <c r="AC4" s="194" t="s">
        <v>369</v>
      </c>
      <c r="AD4" s="195"/>
      <c r="AE4" s="37" t="s">
        <v>375</v>
      </c>
    </row>
    <row r="5" spans="1:1009" x14ac:dyDescent="0.4">
      <c r="A5" s="38" t="s">
        <v>24</v>
      </c>
      <c r="D5" s="39" t="s">
        <v>349</v>
      </c>
      <c r="P5" s="47"/>
      <c r="Q5" s="87" t="s">
        <v>61</v>
      </c>
      <c r="R5" s="87" t="s">
        <v>53</v>
      </c>
      <c r="S5" s="196">
        <v>4</v>
      </c>
      <c r="T5" s="196">
        <v>5</v>
      </c>
      <c r="U5" s="196">
        <v>6</v>
      </c>
      <c r="V5" s="196">
        <v>7</v>
      </c>
      <c r="W5" s="196">
        <v>8</v>
      </c>
      <c r="X5" s="196">
        <v>9</v>
      </c>
      <c r="Y5" s="196">
        <v>10</v>
      </c>
      <c r="Z5" s="196">
        <v>11</v>
      </c>
      <c r="AA5" s="196">
        <v>12</v>
      </c>
      <c r="AB5" s="196">
        <v>13</v>
      </c>
      <c r="AC5" s="197">
        <f>S5</f>
        <v>4</v>
      </c>
      <c r="AD5" s="196" t="s">
        <v>50</v>
      </c>
      <c r="AE5" s="88" t="s">
        <v>376</v>
      </c>
    </row>
    <row r="6" spans="1:1009" x14ac:dyDescent="0.4">
      <c r="A6" s="38" t="s">
        <v>27</v>
      </c>
      <c r="D6" s="39" t="s">
        <v>349</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7">
        <f t="shared" ref="AC6:AC69" si="0">S6</f>
        <v>149.99073799999999</v>
      </c>
      <c r="AD6" s="9"/>
      <c r="AE6" s="45"/>
    </row>
    <row r="7" spans="1:1009" x14ac:dyDescent="0.4">
      <c r="A7" s="38" t="s">
        <v>28</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7">
        <f t="shared" si="0"/>
        <v>144.14454699999999</v>
      </c>
      <c r="AE7" s="45"/>
    </row>
    <row r="8" spans="1:1009" x14ac:dyDescent="0.4">
      <c r="A8" s="38" t="s">
        <v>29</v>
      </c>
      <c r="D8" s="41" t="s">
        <v>30</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7">
        <f t="shared" si="0"/>
        <v>155.511169</v>
      </c>
      <c r="AD8" s="42"/>
      <c r="AE8" s="45"/>
    </row>
    <row r="9" spans="1:1009" x14ac:dyDescent="0.4">
      <c r="A9" s="38" t="s">
        <v>31</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7">
        <f t="shared" si="0"/>
        <v>142.84118699999999</v>
      </c>
      <c r="AD9" s="42"/>
      <c r="AE9" s="198"/>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7">
        <f t="shared" si="0"/>
        <v>125.786621</v>
      </c>
      <c r="AD10" s="42">
        <f>AVERAGE(AC6:AC10)</f>
        <v>143.65485239999998</v>
      </c>
      <c r="AE10" s="198">
        <f>(MAX(AC6:AC10)-MIN(AC6:AC10))/AD10*100</f>
        <v>20.691642157156956</v>
      </c>
    </row>
    <row r="11" spans="1:1009" x14ac:dyDescent="0.4">
      <c r="A11" s="47" t="s">
        <v>70</v>
      </c>
      <c r="B11" s="48"/>
      <c r="C11" s="48"/>
      <c r="D11" s="49" t="s">
        <v>367</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7">
        <f t="shared" si="0"/>
        <v>2317.7639159999999</v>
      </c>
      <c r="AD11" s="42"/>
      <c r="AE11" s="198"/>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7">
        <f t="shared" si="0"/>
        <v>2389.515625</v>
      </c>
      <c r="AD12" s="42"/>
      <c r="AE12" s="198"/>
    </row>
    <row r="13" spans="1:1009" x14ac:dyDescent="0.4">
      <c r="A13">
        <v>6300</v>
      </c>
      <c r="B13" t="s">
        <v>62</v>
      </c>
      <c r="C13" t="s">
        <v>63</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7">
        <f t="shared" si="0"/>
        <v>2381.0483399999998</v>
      </c>
      <c r="AD13" s="42"/>
      <c r="AE13" s="198"/>
    </row>
    <row r="14" spans="1:1009" x14ac:dyDescent="0.4">
      <c r="A14">
        <v>12.74</v>
      </c>
      <c r="B14" t="s">
        <v>64</v>
      </c>
      <c r="C14" t="s">
        <v>65</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7">
        <f t="shared" si="0"/>
        <v>2478.9184570000002</v>
      </c>
      <c r="AD14" s="42"/>
      <c r="AE14" s="198"/>
    </row>
    <row r="15" spans="1:1009" x14ac:dyDescent="0.4">
      <c r="A15" s="8">
        <v>20000</v>
      </c>
      <c r="B15" t="s">
        <v>38</v>
      </c>
      <c r="C15" t="s">
        <v>66</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7">
        <f t="shared" si="0"/>
        <v>2386.2517090000001</v>
      </c>
      <c r="AD15" s="42">
        <f>AVERAGE(AC11:AC15)</f>
        <v>2390.6996093999996</v>
      </c>
      <c r="AE15" s="198">
        <f>(MAX(AC11:AC15)-MIN(AC11:AC15))/AD15*100</f>
        <v>6.7408946053429828</v>
      </c>
    </row>
    <row r="16" spans="1:1009" x14ac:dyDescent="0.4">
      <c r="A16">
        <f>A15/10</f>
        <v>2000</v>
      </c>
      <c r="B16" t="s">
        <v>38</v>
      </c>
      <c r="C16" t="s">
        <v>67</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7">
        <f t="shared" si="0"/>
        <v>4602.6645509999998</v>
      </c>
      <c r="AD16" s="42"/>
      <c r="AE16" s="198"/>
    </row>
    <row r="17" spans="1:1009" x14ac:dyDescent="0.4">
      <c r="A17" s="208">
        <f>A16/A13*A14</f>
        <v>4.0444444444444443</v>
      </c>
      <c r="B17" t="s">
        <v>68</v>
      </c>
      <c r="C17" t="s">
        <v>69</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7">
        <f t="shared" si="0"/>
        <v>4729.8095700000003</v>
      </c>
      <c r="AD17" s="42"/>
      <c r="AE17" s="198"/>
    </row>
    <row r="18" spans="1:1009" x14ac:dyDescent="0.4">
      <c r="A18" s="186">
        <f>A17*100</f>
        <v>404.44444444444446</v>
      </c>
      <c r="B18" t="s">
        <v>71</v>
      </c>
      <c r="C18" t="s">
        <v>72</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7">
        <f t="shared" si="0"/>
        <v>4708.2114259999998</v>
      </c>
      <c r="AD18" s="42"/>
      <c r="AE18" s="198"/>
    </row>
    <row r="19" spans="1:1009" x14ac:dyDescent="0.4">
      <c r="A19">
        <v>200</v>
      </c>
      <c r="B19" t="s">
        <v>53</v>
      </c>
      <c r="C19" t="s">
        <v>73</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7">
        <f t="shared" si="0"/>
        <v>4710.2495120000003</v>
      </c>
      <c r="AD19" s="42"/>
      <c r="AE19" s="198"/>
    </row>
    <row r="20" spans="1:1009" x14ac:dyDescent="0.4">
      <c r="A20" s="51">
        <f>A18*A19/1000</f>
        <v>80.888888888888886</v>
      </c>
      <c r="B20" t="s">
        <v>68</v>
      </c>
      <c r="C20" t="s">
        <v>74</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7">
        <f t="shared" si="0"/>
        <v>4728.576172</v>
      </c>
      <c r="AD20" s="42">
        <f>AVERAGE(AC16:AC20)</f>
        <v>4695.9022462000003</v>
      </c>
      <c r="AE20" s="198">
        <f>(MAX(AC16:AC20)-MIN(AC16:AC20))/AD20*100</f>
        <v>2.7075738023057934</v>
      </c>
    </row>
    <row r="21" spans="1:1009" x14ac:dyDescent="0.4">
      <c r="A21">
        <v>200</v>
      </c>
      <c r="B21" t="s">
        <v>68</v>
      </c>
      <c r="C21" t="s">
        <v>377</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7">
        <f t="shared" si="0"/>
        <v>6657.7880859999996</v>
      </c>
      <c r="AD21" s="42"/>
      <c r="AE21" s="198"/>
    </row>
    <row r="22" spans="1:1009" x14ac:dyDescent="0.4">
      <c r="A22" s="50">
        <f>A18*A21/A20</f>
        <v>1000.0000000000001</v>
      </c>
      <c r="B22" t="s">
        <v>71</v>
      </c>
      <c r="C22" t="s">
        <v>76</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7">
        <f t="shared" si="0"/>
        <v>6747.185547</v>
      </c>
      <c r="AD22" s="42"/>
      <c r="AE22" s="198"/>
    </row>
    <row r="23" spans="1:1009" x14ac:dyDescent="0.4">
      <c r="A23" s="50">
        <f>A20/A21*10</f>
        <v>4.0444444444444443</v>
      </c>
      <c r="B23" t="s">
        <v>53</v>
      </c>
      <c r="C23" t="s">
        <v>77</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7">
        <f t="shared" si="0"/>
        <v>6567.9985349999997</v>
      </c>
      <c r="AD23" s="42"/>
      <c r="AE23" s="198"/>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7">
        <f t="shared" si="0"/>
        <v>6657.5810549999997</v>
      </c>
      <c r="AD24" s="42"/>
      <c r="AE24" s="198"/>
    </row>
    <row r="25" spans="1:1009" x14ac:dyDescent="0.4">
      <c r="A25" s="209">
        <v>10000</v>
      </c>
      <c r="B25" s="36"/>
      <c r="C25" s="36" t="s">
        <v>373</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7">
        <f t="shared" si="0"/>
        <v>6655.1240230000003</v>
      </c>
      <c r="AD25" s="42">
        <f>AVERAGE(AC21:AC25)</f>
        <v>6657.1354492</v>
      </c>
      <c r="AE25" s="198">
        <f>(MAX(AC21:AC25)-MIN(AC21:AC25))/AD25*100</f>
        <v>2.691653390070853</v>
      </c>
    </row>
    <row r="26" spans="1:1009" x14ac:dyDescent="0.4">
      <c r="A26" s="38">
        <v>0</v>
      </c>
      <c r="C26" t="s">
        <v>372</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7">
        <f t="shared" si="0"/>
        <v>8535.2109380000002</v>
      </c>
      <c r="AD26" s="42"/>
      <c r="AE26" s="198"/>
    </row>
    <row r="27" spans="1:1009" x14ac:dyDescent="0.4">
      <c r="A27" s="47">
        <v>0.24</v>
      </c>
      <c r="B27" s="48"/>
      <c r="C27" s="48" t="s">
        <v>371</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7">
        <f t="shared" si="0"/>
        <v>8813.6425780000009</v>
      </c>
      <c r="AD27" s="42"/>
      <c r="AE27" s="19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7">
        <f t="shared" si="0"/>
        <v>8563.2880860000005</v>
      </c>
      <c r="AD28" s="42"/>
      <c r="AE28" s="198"/>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7">
        <f t="shared" si="0"/>
        <v>8983.5351559999999</v>
      </c>
      <c r="AD29" s="42"/>
      <c r="AE29" s="198"/>
    </row>
    <row r="30" spans="1:1009" x14ac:dyDescent="0.4">
      <c r="A30" s="52"/>
      <c r="B30" s="52"/>
      <c r="C30" s="52" t="s">
        <v>78</v>
      </c>
      <c r="D30" s="52" t="s">
        <v>79</v>
      </c>
      <c r="E30" s="52" t="s">
        <v>80</v>
      </c>
      <c r="F30" s="52" t="s">
        <v>81</v>
      </c>
      <c r="G30" s="52" t="s">
        <v>82</v>
      </c>
      <c r="H30" s="52" t="s">
        <v>83</v>
      </c>
      <c r="I30" s="52" t="s">
        <v>84</v>
      </c>
      <c r="J30" s="52" t="s">
        <v>85</v>
      </c>
      <c r="K30" s="52"/>
      <c r="L30" s="52"/>
      <c r="M30" s="52" t="s">
        <v>86</v>
      </c>
      <c r="N30" s="192" t="s">
        <v>366</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7">
        <f t="shared" si="0"/>
        <v>8619.0400389999995</v>
      </c>
      <c r="AD30" s="42">
        <f>AVERAGE(AC26:AC30)</f>
        <v>8702.9433594000002</v>
      </c>
      <c r="AE30" s="198">
        <f>(MAX(AC26:AC30)-MIN(AC26:AC30))/AD30*100</f>
        <v>5.1514091208667612</v>
      </c>
    </row>
    <row r="31" spans="1:1009" x14ac:dyDescent="0.4">
      <c r="A31" s="53" t="s">
        <v>87</v>
      </c>
      <c r="B31" s="53" t="s">
        <v>88</v>
      </c>
      <c r="C31" s="53" t="s">
        <v>75</v>
      </c>
      <c r="D31" s="53" t="s">
        <v>89</v>
      </c>
      <c r="E31" s="53" t="s">
        <v>90</v>
      </c>
      <c r="F31" s="53" t="s">
        <v>368</v>
      </c>
      <c r="G31" s="53" t="s">
        <v>91</v>
      </c>
      <c r="H31" s="53" t="s">
        <v>92</v>
      </c>
      <c r="I31" s="53" t="s">
        <v>93</v>
      </c>
      <c r="J31" s="53" t="s">
        <v>39</v>
      </c>
      <c r="K31" s="54" t="str">
        <f>"95%"</f>
        <v>95%</v>
      </c>
      <c r="L31" s="53" t="s">
        <v>86</v>
      </c>
      <c r="M31" s="53" t="s">
        <v>94</v>
      </c>
      <c r="N31" s="136"/>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7">
        <f t="shared" si="0"/>
        <v>10733.752930000001</v>
      </c>
      <c r="AD31" s="58"/>
      <c r="AE31" s="198"/>
    </row>
    <row r="32" spans="1:1009" x14ac:dyDescent="0.4">
      <c r="A32" s="55">
        <v>0</v>
      </c>
      <c r="B32" s="57">
        <v>0</v>
      </c>
      <c r="C32" s="203">
        <v>0</v>
      </c>
      <c r="D32" s="204">
        <v>0</v>
      </c>
      <c r="E32" s="204">
        <v>0</v>
      </c>
      <c r="F32" s="205">
        <v>1</v>
      </c>
      <c r="G32" s="55">
        <f>1</f>
        <v>1</v>
      </c>
      <c r="H32" s="55"/>
      <c r="I32" s="55">
        <v>1</v>
      </c>
      <c r="J32" s="55">
        <v>1</v>
      </c>
      <c r="K32" s="55">
        <f t="shared" ref="K32:K47" si="1">I32*0.95</f>
        <v>0.95</v>
      </c>
      <c r="L32" s="191">
        <f t="shared" ref="L32:L47" si="2">G32*(1+G32/$A$25*$A$26+(G32/$A$25*$A$27)^2)</f>
        <v>1.0000000005759999</v>
      </c>
      <c r="M32" s="136">
        <v>1</v>
      </c>
      <c r="N32" s="136">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7">
        <f t="shared" si="0"/>
        <v>10756.520508</v>
      </c>
      <c r="AD32" s="42"/>
      <c r="AE32" s="198"/>
    </row>
    <row r="33" spans="1:31" x14ac:dyDescent="0.4">
      <c r="A33" s="55">
        <v>10</v>
      </c>
      <c r="B33" s="57">
        <v>4.04</v>
      </c>
      <c r="C33" s="203">
        <f>B33</f>
        <v>4.04</v>
      </c>
      <c r="D33" s="204">
        <f t="shared" ref="D33:D47" si="3">C33*$A$22/1000</f>
        <v>4.04</v>
      </c>
      <c r="E33" s="204">
        <f t="shared" ref="E33:E47" si="4">D33/($A$14+C33/1000)</f>
        <v>0.31701093216907666</v>
      </c>
      <c r="F33" s="201">
        <f t="shared" ref="F33:F47" si="5">$A$13*E33</f>
        <v>1997.168872665183</v>
      </c>
      <c r="G33" s="201">
        <f>AD15</f>
        <v>2390.6996093999996</v>
      </c>
      <c r="H33" s="57">
        <f t="shared" ref="H33:H47" si="6">G33/F33</f>
        <v>1.1970442971152748</v>
      </c>
      <c r="I33" s="56">
        <f t="shared" ref="I33:I47" si="7">E33*$C$111</f>
        <v>2220.513476948091</v>
      </c>
      <c r="J33" s="57">
        <f t="shared" ref="J33:J47" si="8">G33/I33</f>
        <v>1.0766426928810247</v>
      </c>
      <c r="K33" s="56">
        <f t="shared" si="1"/>
        <v>2109.4878031006865</v>
      </c>
      <c r="L33" s="191">
        <f t="shared" si="2"/>
        <v>2398.5700222663395</v>
      </c>
      <c r="M33" s="136">
        <f t="shared" ref="M33:M47" si="9">L33/I33</f>
        <v>1.080187104094037</v>
      </c>
      <c r="N33" s="136">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7">
        <f t="shared" si="0"/>
        <v>10323.500977</v>
      </c>
      <c r="AD33" s="42"/>
      <c r="AE33" s="198"/>
    </row>
    <row r="34" spans="1:31" x14ac:dyDescent="0.4">
      <c r="A34" s="55">
        <v>20</v>
      </c>
      <c r="B34" s="57">
        <v>4.04</v>
      </c>
      <c r="C34" s="203">
        <f t="shared" ref="C34:C47" si="10">C33+B34</f>
        <v>8.08</v>
      </c>
      <c r="D34" s="204">
        <f t="shared" si="3"/>
        <v>8.08</v>
      </c>
      <c r="E34" s="204">
        <f t="shared" si="4"/>
        <v>0.63382093617234914</v>
      </c>
      <c r="F34" s="201">
        <f t="shared" si="5"/>
        <v>3993.0718978857994</v>
      </c>
      <c r="G34" s="201">
        <f>AD20</f>
        <v>4695.9022462000003</v>
      </c>
      <c r="H34" s="57">
        <f t="shared" si="6"/>
        <v>1.1760124451268525</v>
      </c>
      <c r="I34" s="56">
        <f t="shared" si="7"/>
        <v>4439.61954596544</v>
      </c>
      <c r="J34" s="57">
        <f t="shared" si="8"/>
        <v>1.0577262753218257</v>
      </c>
      <c r="K34" s="56">
        <f t="shared" si="1"/>
        <v>4217.6385686671674</v>
      </c>
      <c r="L34" s="191">
        <f t="shared" si="2"/>
        <v>4755.5480130437827</v>
      </c>
      <c r="M34" s="136">
        <f t="shared" si="9"/>
        <v>1.0711611577990836</v>
      </c>
      <c r="N34" s="136">
        <v>2.3E-2</v>
      </c>
      <c r="O34" s="193"/>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7">
        <f t="shared" si="0"/>
        <v>10541.857421999999</v>
      </c>
      <c r="AD34" s="42"/>
      <c r="AE34" s="198"/>
    </row>
    <row r="35" spans="1:31" x14ac:dyDescent="0.4">
      <c r="A35" s="55">
        <v>30</v>
      </c>
      <c r="B35" s="57">
        <v>4.04</v>
      </c>
      <c r="C35" s="203">
        <f t="shared" si="10"/>
        <v>12.120000000000001</v>
      </c>
      <c r="D35" s="204">
        <f t="shared" si="3"/>
        <v>12.120000000000001</v>
      </c>
      <c r="E35" s="204">
        <f t="shared" si="4"/>
        <v>0.95043020297801473</v>
      </c>
      <c r="F35" s="201">
        <f t="shared" si="5"/>
        <v>5987.7102787614931</v>
      </c>
      <c r="G35" s="201">
        <f>AD25</f>
        <v>6657.1354492</v>
      </c>
      <c r="H35" s="57">
        <f t="shared" si="6"/>
        <v>1.1117998599252488</v>
      </c>
      <c r="I35" s="56">
        <f t="shared" si="7"/>
        <v>6657.3195446950513</v>
      </c>
      <c r="J35" s="57">
        <f t="shared" si="8"/>
        <v>0.99997234690421344</v>
      </c>
      <c r="K35" s="56">
        <f t="shared" si="1"/>
        <v>6324.4535674602985</v>
      </c>
      <c r="L35" s="191">
        <f t="shared" si="2"/>
        <v>6827.0711643905997</v>
      </c>
      <c r="M35" s="136">
        <f t="shared" si="9"/>
        <v>1.0254984935837752</v>
      </c>
      <c r="N35" s="136">
        <v>3.6999999999999998E-2</v>
      </c>
      <c r="O35" s="193"/>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7">
        <f t="shared" si="0"/>
        <v>10622.324219</v>
      </c>
      <c r="AD35" s="42">
        <f>AVERAGE(AC31:AC35)</f>
        <v>10595.591211200001</v>
      </c>
      <c r="AE35" s="198">
        <f>(MAX(AC31:AC35)-MIN(AC31:AC35))/AD35*100</f>
        <v>4.0867897068573145</v>
      </c>
    </row>
    <row r="36" spans="1:31" x14ac:dyDescent="0.4">
      <c r="A36" s="55">
        <v>40</v>
      </c>
      <c r="B36" s="57">
        <v>4.04</v>
      </c>
      <c r="C36" s="203">
        <f t="shared" si="10"/>
        <v>16.16</v>
      </c>
      <c r="D36" s="204">
        <f t="shared" si="3"/>
        <v>16.16</v>
      </c>
      <c r="E36" s="204">
        <f t="shared" si="4"/>
        <v>1.2668389233123449</v>
      </c>
      <c r="F36" s="201">
        <f t="shared" si="5"/>
        <v>7981.0852168677729</v>
      </c>
      <c r="G36" s="201">
        <f>AD30</f>
        <v>8702.9433594000002</v>
      </c>
      <c r="H36" s="57">
        <f t="shared" si="6"/>
        <v>1.0904461138952135</v>
      </c>
      <c r="I36" s="56">
        <f t="shared" si="7"/>
        <v>8873.614809085353</v>
      </c>
      <c r="J36" s="57">
        <f t="shared" si="8"/>
        <v>0.98076641218293481</v>
      </c>
      <c r="K36" s="56">
        <f t="shared" si="1"/>
        <v>8429.9340686310843</v>
      </c>
      <c r="L36" s="191">
        <f t="shared" si="2"/>
        <v>9082.6261864607659</v>
      </c>
      <c r="M36" s="136">
        <f t="shared" si="9"/>
        <v>1.0235542540297573</v>
      </c>
      <c r="N36" s="136">
        <v>4.9000000000000002E-2</v>
      </c>
      <c r="O36" s="193"/>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7">
        <f t="shared" si="0"/>
        <v>12401.166015999999</v>
      </c>
      <c r="AD36" s="42"/>
      <c r="AE36" s="198"/>
    </row>
    <row r="37" spans="1:31" x14ac:dyDescent="0.4">
      <c r="A37" s="55">
        <v>50</v>
      </c>
      <c r="B37" s="57">
        <v>4.04</v>
      </c>
      <c r="C37" s="203">
        <f t="shared" si="10"/>
        <v>20.2</v>
      </c>
      <c r="D37" s="204">
        <f t="shared" si="3"/>
        <v>20.2</v>
      </c>
      <c r="E37" s="204">
        <f t="shared" si="4"/>
        <v>1.5830472876600679</v>
      </c>
      <c r="F37" s="201">
        <f t="shared" si="5"/>
        <v>9973.1979122584271</v>
      </c>
      <c r="G37" s="201">
        <f>AD35</f>
        <v>10595.591211200001</v>
      </c>
      <c r="H37" s="57">
        <f t="shared" si="6"/>
        <v>1.0624065925911854</v>
      </c>
      <c r="I37" s="56">
        <f t="shared" si="7"/>
        <v>11088.506673392872</v>
      </c>
      <c r="J37" s="57">
        <f t="shared" si="8"/>
        <v>0.95554717359952224</v>
      </c>
      <c r="K37" s="56">
        <f t="shared" si="1"/>
        <v>10534.081339723229</v>
      </c>
      <c r="L37" s="191">
        <f t="shared" si="2"/>
        <v>11280.760781213416</v>
      </c>
      <c r="M37" s="136">
        <f t="shared" si="9"/>
        <v>1.0173381424102725</v>
      </c>
      <c r="N37" s="136">
        <v>6.3E-2</v>
      </c>
      <c r="O37" s="193"/>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7">
        <f t="shared" si="0"/>
        <v>12746.001953000001</v>
      </c>
      <c r="AD37" s="42"/>
      <c r="AE37" s="198"/>
    </row>
    <row r="38" spans="1:31" x14ac:dyDescent="0.4">
      <c r="A38" s="55">
        <v>60</v>
      </c>
      <c r="B38" s="57">
        <v>4.04</v>
      </c>
      <c r="C38" s="203">
        <f t="shared" si="10"/>
        <v>24.24</v>
      </c>
      <c r="D38" s="204">
        <f t="shared" si="3"/>
        <v>24.24</v>
      </c>
      <c r="E38" s="204">
        <f t="shared" si="4"/>
        <v>1.899055486264752</v>
      </c>
      <c r="F38" s="201">
        <f t="shared" si="5"/>
        <v>11964.049563467937</v>
      </c>
      <c r="G38" s="201">
        <f>AD40</f>
        <v>12469.3638672</v>
      </c>
      <c r="H38" s="57">
        <f t="shared" si="6"/>
        <v>1.0422360590409983</v>
      </c>
      <c r="I38" s="56">
        <f t="shared" si="7"/>
        <v>13301.996470184929</v>
      </c>
      <c r="J38" s="57">
        <f t="shared" si="8"/>
        <v>0.93740544099141876</v>
      </c>
      <c r="K38" s="56">
        <f t="shared" si="1"/>
        <v>12636.896646675683</v>
      </c>
      <c r="L38" s="191">
        <f t="shared" si="2"/>
        <v>13586.112367950431</v>
      </c>
      <c r="M38" s="136">
        <f t="shared" si="9"/>
        <v>1.0213588913816296</v>
      </c>
      <c r="N38" s="136">
        <v>7.8E-2</v>
      </c>
      <c r="O38" s="193"/>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7">
        <f t="shared" si="0"/>
        <v>12146.411133</v>
      </c>
      <c r="AD38" s="42"/>
      <c r="AE38" s="198"/>
    </row>
    <row r="39" spans="1:31" x14ac:dyDescent="0.4">
      <c r="A39" s="55">
        <v>70</v>
      </c>
      <c r="B39" s="57">
        <v>4.04</v>
      </c>
      <c r="C39" s="203">
        <f t="shared" si="10"/>
        <v>28.279999999999998</v>
      </c>
      <c r="D39" s="204">
        <f t="shared" si="3"/>
        <v>28.28</v>
      </c>
      <c r="E39" s="204">
        <f t="shared" si="4"/>
        <v>2.2148637091291858</v>
      </c>
      <c r="F39" s="201">
        <f t="shared" si="5"/>
        <v>13953.64136751387</v>
      </c>
      <c r="G39" s="201">
        <f>AD45</f>
        <v>14291.721093999999</v>
      </c>
      <c r="H39" s="57">
        <f t="shared" si="6"/>
        <v>1.0242287814042024</v>
      </c>
      <c r="I39" s="56">
        <f t="shared" si="7"/>
        <v>15514.08553034229</v>
      </c>
      <c r="J39" s="57">
        <f t="shared" si="8"/>
        <v>0.92120937879634579</v>
      </c>
      <c r="K39" s="56">
        <f t="shared" si="1"/>
        <v>14738.381253825175</v>
      </c>
      <c r="L39" s="191">
        <f t="shared" si="2"/>
        <v>15973.140595703841</v>
      </c>
      <c r="M39" s="136">
        <f t="shared" si="9"/>
        <v>1.0295895664919299</v>
      </c>
      <c r="N39" s="136">
        <v>9.6000000000000002E-2</v>
      </c>
      <c r="O39" s="193"/>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7">
        <f t="shared" si="0"/>
        <v>12523</v>
      </c>
      <c r="AD39" s="42"/>
      <c r="AE39" s="198"/>
    </row>
    <row r="40" spans="1:31" x14ac:dyDescent="0.4">
      <c r="A40" s="55">
        <v>80</v>
      </c>
      <c r="B40" s="57">
        <v>4.04</v>
      </c>
      <c r="C40" s="203">
        <f t="shared" si="10"/>
        <v>32.32</v>
      </c>
      <c r="D40" s="204">
        <f t="shared" si="3"/>
        <v>32.32</v>
      </c>
      <c r="E40" s="204">
        <f t="shared" si="4"/>
        <v>2.5304721460157591</v>
      </c>
      <c r="F40" s="201">
        <f t="shared" si="5"/>
        <v>15941.974519899282</v>
      </c>
      <c r="G40" s="201">
        <f>AD50</f>
        <v>15812.914258000001</v>
      </c>
      <c r="H40" s="57">
        <f t="shared" si="6"/>
        <v>0.99190437409505428</v>
      </c>
      <c r="I40" s="56">
        <f t="shared" si="7"/>
        <v>17724.77518306184</v>
      </c>
      <c r="J40" s="57">
        <f t="shared" si="8"/>
        <v>0.89213623838293576</v>
      </c>
      <c r="K40" s="56">
        <f t="shared" si="1"/>
        <v>16838.536423908747</v>
      </c>
      <c r="L40" s="191">
        <f t="shared" si="2"/>
        <v>18090.413450436277</v>
      </c>
      <c r="M40" s="136">
        <f t="shared" si="9"/>
        <v>1.0206286547275278</v>
      </c>
      <c r="N40" s="136">
        <v>0.109</v>
      </c>
      <c r="O40" s="193"/>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7">
        <f t="shared" si="0"/>
        <v>12530.240234000001</v>
      </c>
      <c r="AD40" s="42">
        <f>AVERAGE(AC36:AC40)</f>
        <v>12469.3638672</v>
      </c>
      <c r="AE40" s="198">
        <f>(MAX(AC36:AC40)-MIN(AC36:AC40))/AD40*100</f>
        <v>4.8085116962316992</v>
      </c>
    </row>
    <row r="41" spans="1:31" x14ac:dyDescent="0.4">
      <c r="A41" s="55">
        <v>90</v>
      </c>
      <c r="B41" s="57">
        <v>4.04</v>
      </c>
      <c r="C41" s="203">
        <f t="shared" si="10"/>
        <v>36.36</v>
      </c>
      <c r="D41" s="204">
        <f t="shared" si="3"/>
        <v>36.36</v>
      </c>
      <c r="E41" s="204">
        <f t="shared" si="4"/>
        <v>2.845880986446844</v>
      </c>
      <c r="F41" s="201">
        <f t="shared" si="5"/>
        <v>17929.050214615116</v>
      </c>
      <c r="G41" s="201">
        <f>AD55</f>
        <v>17216.896874999999</v>
      </c>
      <c r="H41" s="57">
        <f>G41/F41</f>
        <v>0.96027936052995178</v>
      </c>
      <c r="I41" s="56">
        <f t="shared" si="7"/>
        <v>19934.066755859254</v>
      </c>
      <c r="J41" s="57">
        <f>G41/I41</f>
        <v>0.86369214500294611</v>
      </c>
      <c r="K41" s="56">
        <f t="shared" si="1"/>
        <v>18937.363418066292</v>
      </c>
      <c r="L41" s="191">
        <f t="shared" si="2"/>
        <v>20156.489288577817</v>
      </c>
      <c r="M41" s="136">
        <f t="shared" si="9"/>
        <v>1.0111579104977757</v>
      </c>
      <c r="N41" s="136">
        <v>0.123</v>
      </c>
      <c r="O41" s="193"/>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7">
        <f t="shared" si="0"/>
        <v>14339.085938</v>
      </c>
      <c r="AD41" s="42"/>
      <c r="AE41" s="198"/>
    </row>
    <row r="42" spans="1:31" x14ac:dyDescent="0.4">
      <c r="A42" s="55">
        <v>100</v>
      </c>
      <c r="B42" s="57">
        <v>4.04</v>
      </c>
      <c r="C42" s="203">
        <f t="shared" si="10"/>
        <v>40.4</v>
      </c>
      <c r="D42" s="204">
        <f t="shared" si="3"/>
        <v>40.4</v>
      </c>
      <c r="E42" s="204">
        <f t="shared" si="4"/>
        <v>3.1610904197051735</v>
      </c>
      <c r="F42" s="201">
        <f t="shared" si="5"/>
        <v>19914.869644142593</v>
      </c>
      <c r="G42" s="201">
        <f>AD60</f>
        <v>18637.5695314</v>
      </c>
      <c r="H42" s="57">
        <f>G42/F42</f>
        <v>0.93586198978117463</v>
      </c>
      <c r="I42" s="56">
        <f t="shared" si="7"/>
        <v>22141.961574571647</v>
      </c>
      <c r="J42" s="57">
        <f>G42/I42</f>
        <v>0.84173073233059104</v>
      </c>
      <c r="K42" s="56">
        <f t="shared" si="1"/>
        <v>21034.863495843063</v>
      </c>
      <c r="L42" s="191">
        <f t="shared" si="2"/>
        <v>22366.551758892947</v>
      </c>
      <c r="M42" s="136">
        <f t="shared" si="9"/>
        <v>1.0101431927593634</v>
      </c>
      <c r="N42" s="136">
        <v>0.14299999999999999</v>
      </c>
      <c r="O42" s="193"/>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7">
        <f t="shared" si="0"/>
        <v>14356.335938</v>
      </c>
      <c r="AD42" s="42"/>
      <c r="AE42" s="198"/>
    </row>
    <row r="43" spans="1:31" x14ac:dyDescent="0.4">
      <c r="A43" s="55">
        <v>110</v>
      </c>
      <c r="B43" s="57">
        <v>4.04</v>
      </c>
      <c r="C43" s="203">
        <f t="shared" si="10"/>
        <v>44.44</v>
      </c>
      <c r="D43" s="204">
        <f t="shared" si="3"/>
        <v>44.44</v>
      </c>
      <c r="E43" s="204">
        <f t="shared" si="4"/>
        <v>3.47610063483422</v>
      </c>
      <c r="F43" s="201">
        <f t="shared" si="5"/>
        <v>21899.433999455585</v>
      </c>
      <c r="G43" s="201">
        <f>AD65</f>
        <v>19836.311718599998</v>
      </c>
      <c r="H43" s="57">
        <f t="shared" si="6"/>
        <v>0.90579106834875844</v>
      </c>
      <c r="I43" s="56">
        <f t="shared" si="7"/>
        <v>24348.460963360227</v>
      </c>
      <c r="J43" s="57">
        <f t="shared" si="8"/>
        <v>0.81468441674608716</v>
      </c>
      <c r="K43" s="56">
        <f t="shared" si="1"/>
        <v>23131.037915192213</v>
      </c>
      <c r="L43" s="191">
        <f t="shared" si="2"/>
        <v>24332.093847828419</v>
      </c>
      <c r="M43" s="136">
        <f t="shared" si="9"/>
        <v>0.99932779671140459</v>
      </c>
      <c r="N43" s="136">
        <v>0.156</v>
      </c>
      <c r="O43" s="193"/>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7">
        <f t="shared" si="0"/>
        <v>14306.542969</v>
      </c>
      <c r="AD43" s="42"/>
      <c r="AE43" s="198"/>
    </row>
    <row r="44" spans="1:31" x14ac:dyDescent="0.4">
      <c r="A44" s="55">
        <v>120</v>
      </c>
      <c r="B44" s="57">
        <v>4.04</v>
      </c>
      <c r="C44" s="203">
        <f t="shared" si="10"/>
        <v>48.48</v>
      </c>
      <c r="D44" s="204">
        <f t="shared" si="3"/>
        <v>48.48</v>
      </c>
      <c r="E44" s="204">
        <f t="shared" si="4"/>
        <v>3.7909118206385743</v>
      </c>
      <c r="F44" s="201">
        <f t="shared" si="5"/>
        <v>23882.744470023019</v>
      </c>
      <c r="G44" s="201">
        <f>AD70</f>
        <v>21232.237500199997</v>
      </c>
      <c r="H44" s="57">
        <f t="shared" si="6"/>
        <v>0.88902000047984986</v>
      </c>
      <c r="I44" s="56">
        <f t="shared" si="7"/>
        <v>26553.56624471294</v>
      </c>
      <c r="J44" s="57">
        <f t="shared" si="8"/>
        <v>0.79960022335709924</v>
      </c>
      <c r="K44" s="56">
        <f t="shared" si="1"/>
        <v>25225.887932477293</v>
      </c>
      <c r="L44" s="191">
        <f t="shared" si="2"/>
        <v>26745.51400377302</v>
      </c>
      <c r="M44" s="136">
        <f t="shared" si="9"/>
        <v>1.0072286998021707</v>
      </c>
      <c r="N44" s="136">
        <v>0.17799999999999999</v>
      </c>
      <c r="O44" s="193"/>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7">
        <f t="shared" si="0"/>
        <v>14212.322265999999</v>
      </c>
      <c r="AD44" s="42"/>
      <c r="AE44" s="198"/>
    </row>
    <row r="45" spans="1:31" x14ac:dyDescent="0.4">
      <c r="A45" s="55">
        <v>130</v>
      </c>
      <c r="B45" s="57">
        <v>4.04</v>
      </c>
      <c r="C45" s="203">
        <f t="shared" si="10"/>
        <v>52.519999999999996</v>
      </c>
      <c r="D45" s="204">
        <f t="shared" si="3"/>
        <v>52.52</v>
      </c>
      <c r="E45" s="204">
        <f t="shared" si="4"/>
        <v>4.1055241656843222</v>
      </c>
      <c r="F45" s="201">
        <f t="shared" si="5"/>
        <v>25864.802243811231</v>
      </c>
      <c r="G45" s="201">
        <f>AD75</f>
        <v>22068.1945314</v>
      </c>
      <c r="H45" s="57">
        <f t="shared" si="6"/>
        <v>0.85321334852580755</v>
      </c>
      <c r="I45" s="56">
        <f t="shared" si="7"/>
        <v>28757.278739447127</v>
      </c>
      <c r="J45" s="57">
        <f t="shared" si="8"/>
        <v>0.76739509086888913</v>
      </c>
      <c r="K45" s="56">
        <f t="shared" si="1"/>
        <v>27319.41480247477</v>
      </c>
      <c r="L45" s="191">
        <f t="shared" si="2"/>
        <v>28258.654139981289</v>
      </c>
      <c r="M45" s="136">
        <f t="shared" si="9"/>
        <v>0.98266092546573747</v>
      </c>
      <c r="N45" s="136">
        <v>0.188</v>
      </c>
      <c r="O45" s="193"/>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7">
        <f t="shared" si="0"/>
        <v>14244.318359000001</v>
      </c>
      <c r="AD45" s="42">
        <f>AVERAGE(AC41:AC45)</f>
        <v>14291.721093999999</v>
      </c>
      <c r="AE45" s="198">
        <f>(MAX(AC41:AC45)-MIN(AC41:AC45))/AD45*100</f>
        <v>1.0076720015230447</v>
      </c>
    </row>
    <row r="46" spans="1:31" x14ac:dyDescent="0.4">
      <c r="A46" s="59">
        <v>140</v>
      </c>
      <c r="B46" s="57">
        <v>4.04</v>
      </c>
      <c r="C46" s="206">
        <f t="shared" si="10"/>
        <v>56.559999999999995</v>
      </c>
      <c r="D46" s="207">
        <f t="shared" si="3"/>
        <v>56.56</v>
      </c>
      <c r="E46" s="207">
        <f t="shared" si="4"/>
        <v>4.4199378582994182</v>
      </c>
      <c r="F46" s="201">
        <f t="shared" si="5"/>
        <v>27845.608507286335</v>
      </c>
      <c r="G46" s="202">
        <f>AD80</f>
        <v>23504.204687199999</v>
      </c>
      <c r="H46" s="61">
        <f t="shared" si="6"/>
        <v>0.84409017964357558</v>
      </c>
      <c r="I46" s="60">
        <f t="shared" si="7"/>
        <v>30959.599766712126</v>
      </c>
      <c r="J46" s="61">
        <f t="shared" si="8"/>
        <v>0.75918955232980123</v>
      </c>
      <c r="K46" s="60">
        <f t="shared" si="1"/>
        <v>29411.61977837652</v>
      </c>
      <c r="L46" s="191">
        <f t="shared" si="2"/>
        <v>30983.473887706379</v>
      </c>
      <c r="M46" s="136">
        <f t="shared" si="9"/>
        <v>1.0007711379079236</v>
      </c>
      <c r="N46" s="136">
        <v>0.20799999999999999</v>
      </c>
      <c r="O46" s="193"/>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7">
        <f t="shared" si="0"/>
        <v>15855.306640999999</v>
      </c>
      <c r="AD46" s="42"/>
      <c r="AE46" s="198"/>
    </row>
    <row r="47" spans="1:31" x14ac:dyDescent="0.4">
      <c r="A47" s="59">
        <v>150</v>
      </c>
      <c r="B47" s="57">
        <v>4.04</v>
      </c>
      <c r="C47" s="206">
        <f t="shared" si="10"/>
        <v>60.599999999999994</v>
      </c>
      <c r="D47" s="207">
        <f t="shared" si="3"/>
        <v>60.6</v>
      </c>
      <c r="E47" s="207">
        <f t="shared" si="4"/>
        <v>4.7341530865740662</v>
      </c>
      <c r="F47" s="201">
        <f t="shared" si="5"/>
        <v>29825.164445416616</v>
      </c>
      <c r="G47" s="202">
        <f>AD85</f>
        <v>24328.89453125</v>
      </c>
      <c r="H47" s="61">
        <f t="shared" si="6"/>
        <v>0.8157170290133553</v>
      </c>
      <c r="I47" s="60">
        <f t="shared" si="7"/>
        <v>33160.530643991937</v>
      </c>
      <c r="J47" s="61">
        <f t="shared" si="8"/>
        <v>0.73367024166297345</v>
      </c>
      <c r="K47" s="60">
        <f t="shared" si="1"/>
        <v>31502.504111792339</v>
      </c>
      <c r="L47" s="191">
        <f t="shared" si="2"/>
        <v>32623.383052753186</v>
      </c>
      <c r="M47" s="136">
        <f t="shared" si="9"/>
        <v>0.98380159844227122</v>
      </c>
      <c r="N47" s="136">
        <v>0.214</v>
      </c>
      <c r="O47" s="193"/>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7">
        <f t="shared" si="0"/>
        <v>15937.399414</v>
      </c>
      <c r="AD47" s="42"/>
      <c r="AE47" s="198"/>
    </row>
    <row r="48" spans="1:31" x14ac:dyDescent="0.4">
      <c r="O48" s="193"/>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7">
        <f t="shared" si="0"/>
        <v>15836.694336</v>
      </c>
      <c r="AD48" s="42"/>
      <c r="AE48" s="198"/>
    </row>
    <row r="49" spans="6:31" x14ac:dyDescent="0.4">
      <c r="O49" s="193"/>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7">
        <f t="shared" si="0"/>
        <v>15915.096680000001</v>
      </c>
      <c r="AD49" s="42"/>
      <c r="AE49" s="198"/>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7">
        <f t="shared" si="0"/>
        <v>15520.074219</v>
      </c>
      <c r="AD50" s="42">
        <f>AVERAGE(AC46:AC50)</f>
        <v>15812.914258000001</v>
      </c>
      <c r="AE50" s="198">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7">
        <f t="shared" si="0"/>
        <v>17436.28125</v>
      </c>
      <c r="AD51" s="42"/>
      <c r="AE51" s="198"/>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7">
        <f t="shared" si="0"/>
        <v>17052.761718999998</v>
      </c>
      <c r="AD52" s="42"/>
      <c r="AE52" s="198"/>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7">
        <f t="shared" si="0"/>
        <v>16808.771484000001</v>
      </c>
      <c r="AD53" s="42"/>
      <c r="AE53" s="198"/>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7">
        <f t="shared" si="0"/>
        <v>17532.5625</v>
      </c>
      <c r="AD54" s="42"/>
      <c r="AE54" s="198"/>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7">
        <f t="shared" si="0"/>
        <v>17254.107422000001</v>
      </c>
      <c r="AD55" s="42">
        <f>AVERAGE(AC51:AC55)</f>
        <v>17216.896874999999</v>
      </c>
      <c r="AE55" s="198">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7">
        <f t="shared" si="0"/>
        <v>18440.431640999999</v>
      </c>
      <c r="AD56" s="42"/>
      <c r="AE56" s="198"/>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7">
        <f t="shared" si="0"/>
        <v>18889.638672000001</v>
      </c>
      <c r="AD57" s="42"/>
      <c r="AE57" s="198"/>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7">
        <f t="shared" si="0"/>
        <v>18572.947265999999</v>
      </c>
      <c r="AD58" s="42"/>
      <c r="AE58" s="198"/>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7">
        <f t="shared" si="0"/>
        <v>19052.902343999998</v>
      </c>
      <c r="AD59" s="42"/>
      <c r="AE59" s="198"/>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7">
        <f t="shared" si="0"/>
        <v>18231.927734000001</v>
      </c>
      <c r="AD60" s="42">
        <f>AVERAGE(AC56:AC60)</f>
        <v>18637.5695314</v>
      </c>
      <c r="AE60" s="198">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7">
        <f t="shared" si="0"/>
        <v>19909.132812</v>
      </c>
      <c r="AD61" s="42"/>
      <c r="AE61" s="198"/>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7">
        <f t="shared" si="0"/>
        <v>19909.509765999999</v>
      </c>
      <c r="AD62" s="42"/>
      <c r="AE62" s="198"/>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7">
        <f t="shared" si="0"/>
        <v>20022.830077999999</v>
      </c>
      <c r="AD63" s="42"/>
      <c r="AE63" s="198"/>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7">
        <f t="shared" si="0"/>
        <v>19626.501952999999</v>
      </c>
      <c r="AD64" s="42"/>
      <c r="AE64" s="198"/>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7">
        <f t="shared" si="0"/>
        <v>19713.583984000001</v>
      </c>
      <c r="AD65" s="42">
        <f>AVERAGE(AC61:AC65)</f>
        <v>19836.311718599998</v>
      </c>
      <c r="AE65" s="198">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7">
        <f t="shared" si="0"/>
        <v>21158.339843999998</v>
      </c>
      <c r="AD66" s="42"/>
      <c r="AE66" s="198"/>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7">
        <f t="shared" si="0"/>
        <v>21430.056640999999</v>
      </c>
      <c r="AD67" s="42"/>
      <c r="AE67" s="198"/>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7">
        <f t="shared" si="0"/>
        <v>21458.542968999998</v>
      </c>
      <c r="AD68" s="42"/>
      <c r="AE68" s="198"/>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7">
        <f t="shared" si="0"/>
        <v>21295.685547000001</v>
      </c>
      <c r="AD69" s="42"/>
      <c r="AE69" s="198"/>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7">
        <f t="shared" ref="AC70:AC84" si="11">S70</f>
        <v>20818.5625</v>
      </c>
      <c r="AD70" s="42">
        <f>AVERAGE(AC66:AC70)</f>
        <v>21232.237500199997</v>
      </c>
      <c r="AE70" s="198">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7">
        <f t="shared" si="11"/>
        <v>22185.173827999999</v>
      </c>
      <c r="AD71" s="42"/>
      <c r="AE71" s="198"/>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7">
        <f t="shared" si="11"/>
        <v>22189.541015999999</v>
      </c>
      <c r="AD72" s="42"/>
      <c r="AE72" s="198"/>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7">
        <f t="shared" si="11"/>
        <v>22050.917968999998</v>
      </c>
      <c r="AD73" s="42"/>
      <c r="AE73" s="198"/>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7">
        <f t="shared" si="11"/>
        <v>22177.929688</v>
      </c>
      <c r="AD74" s="42"/>
      <c r="AE74" s="198"/>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7">
        <f t="shared" si="11"/>
        <v>21737.410156000002</v>
      </c>
      <c r="AD75" s="42">
        <f>AVERAGE(AC71:AC75)</f>
        <v>22068.1945314</v>
      </c>
      <c r="AE75" s="198">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7">
        <f t="shared" si="11"/>
        <v>23405.664062</v>
      </c>
      <c r="AD76" s="42"/>
      <c r="AE76" s="198"/>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7">
        <f t="shared" si="11"/>
        <v>23674.142577999999</v>
      </c>
      <c r="AD77" s="42"/>
      <c r="AE77" s="198"/>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7">
        <f t="shared" si="11"/>
        <v>23094.673827999999</v>
      </c>
      <c r="AD78" s="42"/>
      <c r="AE78" s="198"/>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7">
        <f t="shared" si="11"/>
        <v>23775.851562</v>
      </c>
      <c r="AD79" s="42"/>
      <c r="AE79" s="198"/>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7">
        <f t="shared" si="11"/>
        <v>23570.691406000002</v>
      </c>
      <c r="AD80" s="42">
        <f>AVERAGE(AC76:AC80)</f>
        <v>23504.204687199999</v>
      </c>
      <c r="AE80" s="198">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7">
        <f t="shared" si="11"/>
        <v>24010.865234000001</v>
      </c>
      <c r="AD81" s="42"/>
      <c r="AE81" s="198"/>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7">
        <f t="shared" si="11"/>
        <v>24215.523438</v>
      </c>
      <c r="AD82" s="42"/>
      <c r="AE82" s="198"/>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7">
        <f t="shared" si="11"/>
        <v>24728.849609000001</v>
      </c>
      <c r="AD83" s="42"/>
      <c r="AE83" s="198"/>
    </row>
    <row r="84" spans="2:31" x14ac:dyDescent="0.4">
      <c r="B84" s="8" t="s">
        <v>84</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7">
        <f t="shared" si="11"/>
        <v>24360.339843999998</v>
      </c>
      <c r="AD84" s="42"/>
      <c r="AE84" s="198"/>
    </row>
    <row r="85" spans="2:31" x14ac:dyDescent="0.4">
      <c r="B85" t="s">
        <v>95</v>
      </c>
      <c r="C85" t="s">
        <v>96</v>
      </c>
      <c r="P85" s="47"/>
      <c r="Q85" s="48"/>
      <c r="R85" s="129"/>
      <c r="S85" s="129"/>
      <c r="T85" s="199"/>
      <c r="U85" s="129"/>
      <c r="V85" s="129"/>
      <c r="W85" s="129"/>
      <c r="X85" s="129"/>
      <c r="Y85" s="129"/>
      <c r="Z85" s="129"/>
      <c r="AA85" s="129"/>
      <c r="AB85" s="129"/>
      <c r="AC85" s="48"/>
      <c r="AD85" s="129">
        <f>AVERAGE(AC81:AC85)</f>
        <v>24328.89453125</v>
      </c>
      <c r="AE85" s="200">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97</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98</v>
      </c>
      <c r="Q94" s="42"/>
      <c r="R94" s="42"/>
      <c r="S94" s="58"/>
      <c r="T94" s="42"/>
      <c r="U94" s="42"/>
      <c r="V94" s="42"/>
      <c r="W94" s="42"/>
      <c r="X94" s="42"/>
      <c r="Y94" s="42"/>
      <c r="Z94" s="42"/>
      <c r="AA94" s="42"/>
      <c r="AC94" s="42"/>
      <c r="AD94" s="43"/>
    </row>
    <row r="95" spans="2:31" x14ac:dyDescent="0.4">
      <c r="B95" t="s">
        <v>99</v>
      </c>
      <c r="C95">
        <f>$B$90</f>
        <v>0.99916270318666023</v>
      </c>
      <c r="Q95" s="42"/>
      <c r="R95" s="42"/>
      <c r="S95" s="58"/>
      <c r="T95" s="42"/>
      <c r="U95" s="42"/>
      <c r="V95" s="42"/>
      <c r="W95" s="42"/>
      <c r="X95" s="42"/>
      <c r="Y95" s="42"/>
      <c r="Z95" s="42"/>
      <c r="AA95" s="42"/>
      <c r="AC95" s="42"/>
      <c r="AD95" s="43"/>
    </row>
    <row r="96" spans="2:31" x14ac:dyDescent="0.4">
      <c r="B96" t="s">
        <v>100</v>
      </c>
      <c r="C96">
        <f>$C$90</f>
        <v>175.90758919622218</v>
      </c>
      <c r="Q96" s="42"/>
      <c r="R96" s="42"/>
      <c r="S96" s="58"/>
      <c r="T96" s="42"/>
      <c r="U96" s="42"/>
      <c r="V96" s="42"/>
      <c r="W96" s="42"/>
      <c r="X96" s="42"/>
      <c r="Y96" s="42"/>
      <c r="Z96" s="42"/>
      <c r="AA96" s="42"/>
      <c r="AC96" s="42"/>
      <c r="AD96" s="43"/>
    </row>
    <row r="97" spans="2:30" x14ac:dyDescent="0.4">
      <c r="B97" t="s">
        <v>101</v>
      </c>
      <c r="C97">
        <f>1</f>
        <v>1</v>
      </c>
      <c r="Q97" s="42"/>
      <c r="R97" s="42"/>
      <c r="S97" s="58"/>
      <c r="T97" s="42"/>
      <c r="U97" s="42"/>
      <c r="V97" s="42"/>
      <c r="W97" s="42"/>
      <c r="X97" s="42"/>
      <c r="Y97" s="42"/>
      <c r="Z97" s="42"/>
      <c r="AA97" s="42"/>
      <c r="AC97" s="42"/>
      <c r="AD97" s="43"/>
    </row>
    <row r="98" spans="2:30" x14ac:dyDescent="0.4">
      <c r="B98" t="s">
        <v>102</v>
      </c>
      <c r="C98">
        <f>5</f>
        <v>5</v>
      </c>
      <c r="Q98" s="42"/>
      <c r="R98" s="42"/>
      <c r="S98" s="58"/>
      <c r="T98" s="42"/>
      <c r="U98" s="42"/>
      <c r="V98" s="42"/>
      <c r="W98" s="42"/>
      <c r="X98" s="42"/>
      <c r="Y98" s="42"/>
      <c r="Z98" s="42"/>
      <c r="AA98" s="42"/>
      <c r="AC98" s="42"/>
      <c r="AD98" s="43"/>
    </row>
    <row r="99" spans="2:30" x14ac:dyDescent="0.4">
      <c r="B99" t="s">
        <v>103</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104</v>
      </c>
      <c r="Q101" s="42"/>
      <c r="R101" s="42"/>
      <c r="S101" s="58"/>
      <c r="T101" s="42"/>
      <c r="U101" s="42"/>
      <c r="V101" s="42"/>
      <c r="W101" s="42"/>
      <c r="X101" s="42"/>
      <c r="Y101" s="42"/>
      <c r="Z101" s="42"/>
      <c r="AA101" s="42"/>
    </row>
    <row r="102" spans="2:30" x14ac:dyDescent="0.4">
      <c r="C102" t="s">
        <v>105</v>
      </c>
      <c r="D102" t="s">
        <v>106</v>
      </c>
      <c r="E102" t="s">
        <v>107</v>
      </c>
      <c r="F102" t="s">
        <v>108</v>
      </c>
      <c r="G102" t="s">
        <v>109</v>
      </c>
      <c r="Q102" s="42"/>
      <c r="R102" s="42"/>
      <c r="S102" s="58"/>
      <c r="T102" s="42"/>
      <c r="U102" s="42"/>
      <c r="V102" s="42"/>
      <c r="W102" s="42"/>
      <c r="X102" s="42"/>
      <c r="Y102" s="42"/>
      <c r="Z102" s="42"/>
      <c r="AA102" s="42"/>
    </row>
    <row r="103" spans="2:30" x14ac:dyDescent="0.4">
      <c r="B103" t="s">
        <v>84</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110</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78</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111</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112</v>
      </c>
      <c r="D109" t="s">
        <v>100</v>
      </c>
      <c r="E109" t="s">
        <v>113</v>
      </c>
      <c r="F109" t="s">
        <v>114</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115</v>
      </c>
      <c r="D113" t="str">
        <f>"Y"</f>
        <v>Y</v>
      </c>
      <c r="E113" t="s">
        <v>110</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283</v>
      </c>
      <c r="C122" s="36"/>
      <c r="D122" s="210"/>
      <c r="E122" s="85"/>
    </row>
    <row r="123" spans="2:27" x14ac:dyDescent="0.4">
      <c r="B123" s="211" t="s">
        <v>225</v>
      </c>
      <c r="C123" s="124" t="s">
        <v>286</v>
      </c>
      <c r="D123" s="124" t="s">
        <v>287</v>
      </c>
      <c r="E123" s="212" t="s">
        <v>288</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13">
        <v>4</v>
      </c>
      <c r="C126" s="132">
        <v>6300</v>
      </c>
      <c r="D126" s="132">
        <v>4553</v>
      </c>
      <c r="E126" s="214">
        <v>8713</v>
      </c>
    </row>
    <row r="127" spans="2:27" x14ac:dyDescent="0.4">
      <c r="B127" s="38">
        <v>5</v>
      </c>
      <c r="C127">
        <v>3475</v>
      </c>
      <c r="D127">
        <v>2330</v>
      </c>
      <c r="E127" s="45">
        <v>5183</v>
      </c>
    </row>
    <row r="128" spans="2:27" x14ac:dyDescent="0.4">
      <c r="B128" s="213">
        <v>6</v>
      </c>
      <c r="C128" s="132">
        <v>1631</v>
      </c>
      <c r="D128" s="132">
        <v>938.2</v>
      </c>
      <c r="E128" s="214">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8"/>
  <sheetViews>
    <sheetView tabSelected="1" topLeftCell="G7" zoomScale="85" zoomScaleNormal="85" workbookViewId="0">
      <selection activeCell="B51" sqref="B51:AE51"/>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34" t="s">
        <v>291</v>
      </c>
      <c r="B1" s="9"/>
      <c r="C1" s="2"/>
      <c r="D1" s="2"/>
      <c r="E1" s="2"/>
      <c r="F1" s="2"/>
      <c r="G1" s="2"/>
      <c r="H1" s="9"/>
      <c r="I1" s="9"/>
      <c r="J1" s="9"/>
      <c r="K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2" spans="1:1024" ht="18.399999999999999" x14ac:dyDescent="0.7">
      <c r="D2" s="215" t="s">
        <v>324</v>
      </c>
      <c r="L2" s="247" t="s">
        <v>395</v>
      </c>
      <c r="M2" s="231"/>
      <c r="N2" s="231"/>
      <c r="O2" s="231"/>
      <c r="P2" s="231" t="s">
        <v>394</v>
      </c>
      <c r="Q2" s="248">
        <v>0.89</v>
      </c>
      <c r="R2" s="232" t="s">
        <v>387</v>
      </c>
    </row>
    <row r="3" spans="1:1024" ht="15.75" x14ac:dyDescent="0.5">
      <c r="A3" s="11" t="s">
        <v>116</v>
      </c>
      <c r="B3" s="10" t="s">
        <v>411</v>
      </c>
      <c r="C3" s="10"/>
      <c r="E3" s="148" t="s">
        <v>316</v>
      </c>
      <c r="F3" s="149">
        <v>1</v>
      </c>
      <c r="G3" s="150"/>
      <c r="H3" s="150"/>
      <c r="L3" s="249" t="s">
        <v>396</v>
      </c>
      <c r="M3" s="68"/>
      <c r="N3" s="68"/>
      <c r="O3" s="68"/>
      <c r="P3" s="149">
        <v>1</v>
      </c>
      <c r="Q3" s="149">
        <v>90</v>
      </c>
      <c r="R3" s="234" t="s">
        <v>53</v>
      </c>
    </row>
    <row r="4" spans="1:1024" ht="13.15" x14ac:dyDescent="0.4">
      <c r="A4" s="10" t="s">
        <v>28</v>
      </c>
      <c r="B4" s="62">
        <v>46009</v>
      </c>
      <c r="C4" s="10"/>
      <c r="E4" s="148" t="s">
        <v>326</v>
      </c>
      <c r="F4" s="150">
        <v>0.86799999999999999</v>
      </c>
      <c r="G4" s="150"/>
      <c r="H4" s="150"/>
      <c r="L4" s="235" t="s">
        <v>386</v>
      </c>
      <c r="M4" s="65" t="s">
        <v>383</v>
      </c>
      <c r="N4" s="65" t="s">
        <v>131</v>
      </c>
      <c r="O4" s="65" t="s">
        <v>384</v>
      </c>
      <c r="P4" s="65" t="s">
        <v>382</v>
      </c>
      <c r="Q4" s="65" t="s">
        <v>385</v>
      </c>
      <c r="R4" s="234"/>
    </row>
    <row r="5" spans="1:1024" ht="13.15" x14ac:dyDescent="0.4">
      <c r="A5" s="10" t="s">
        <v>29</v>
      </c>
      <c r="B5" s="64" t="s">
        <v>30</v>
      </c>
      <c r="C5" s="10"/>
      <c r="L5" s="236">
        <v>1.5</v>
      </c>
      <c r="M5" s="42">
        <v>67392.070000000007</v>
      </c>
      <c r="N5" s="42"/>
      <c r="O5" s="42">
        <v>67392.070000000007</v>
      </c>
      <c r="P5" s="42">
        <f>O5*P$3</f>
        <v>67392.070000000007</v>
      </c>
      <c r="Q5" s="42">
        <f>P5*Q$2*Q$3</f>
        <v>5398104.807000001</v>
      </c>
      <c r="R5" s="234"/>
    </row>
    <row r="6" spans="1:1024" ht="13.15" x14ac:dyDescent="0.4">
      <c r="A6" s="10" t="s">
        <v>22</v>
      </c>
      <c r="B6" s="66" t="s">
        <v>410</v>
      </c>
      <c r="C6" s="67"/>
      <c r="E6" s="68" t="s">
        <v>325</v>
      </c>
      <c r="F6" s="65" t="s">
        <v>390</v>
      </c>
      <c r="G6" s="65" t="s">
        <v>317</v>
      </c>
      <c r="H6" s="65" t="s">
        <v>318</v>
      </c>
      <c r="I6" s="65" t="s">
        <v>319</v>
      </c>
      <c r="L6" s="236">
        <v>2</v>
      </c>
      <c r="M6" s="42">
        <v>41165</v>
      </c>
      <c r="N6" s="42"/>
      <c r="O6" s="42">
        <v>41165</v>
      </c>
      <c r="P6" s="42">
        <f t="shared" ref="P6:P34" si="0">O6*P$3</f>
        <v>41165</v>
      </c>
      <c r="Q6" s="42">
        <f t="shared" ref="Q6:Q34" si="1">P6*Q$2*Q$3</f>
        <v>3297316.5</v>
      </c>
      <c r="R6" s="234"/>
    </row>
    <row r="7" spans="1:1024" ht="13.15" x14ac:dyDescent="0.4">
      <c r="A7" s="10" t="s">
        <v>24</v>
      </c>
      <c r="B7" s="69" t="s">
        <v>25</v>
      </c>
      <c r="C7" s="10"/>
      <c r="E7" s="148" t="s">
        <v>388</v>
      </c>
      <c r="F7" s="150">
        <f>$F3*$F4*100</f>
        <v>86.8</v>
      </c>
      <c r="G7" s="150">
        <f>$F3*$F4*100</f>
        <v>86.8</v>
      </c>
      <c r="H7" s="150">
        <f>$F3*$F4*100</f>
        <v>86.8</v>
      </c>
      <c r="I7" s="150">
        <f>$F3*$F4*100</f>
        <v>86.8</v>
      </c>
      <c r="L7" s="236">
        <v>3</v>
      </c>
      <c r="M7" s="42">
        <v>17975.47</v>
      </c>
      <c r="N7" s="42">
        <v>17634.099999999999</v>
      </c>
      <c r="O7" s="42">
        <v>17975.47</v>
      </c>
      <c r="P7" s="42">
        <f t="shared" si="0"/>
        <v>17975.47</v>
      </c>
      <c r="Q7" s="42">
        <f t="shared" si="1"/>
        <v>1439835.1470000001</v>
      </c>
      <c r="R7" s="234"/>
    </row>
    <row r="8" spans="1:1024" ht="13.15" x14ac:dyDescent="0.4">
      <c r="A8" s="10" t="s">
        <v>26</v>
      </c>
      <c r="B8" s="66" t="s">
        <v>410</v>
      </c>
      <c r="C8" s="10"/>
      <c r="E8" s="148" t="s">
        <v>389</v>
      </c>
      <c r="F8" s="149">
        <v>26.08</v>
      </c>
      <c r="G8" s="149">
        <v>26.08</v>
      </c>
      <c r="H8" s="149">
        <v>26.11</v>
      </c>
      <c r="I8" s="149">
        <v>26.16</v>
      </c>
      <c r="L8" s="236">
        <v>4</v>
      </c>
      <c r="M8" s="42">
        <v>10898.56</v>
      </c>
      <c r="N8" s="42">
        <v>10750.3</v>
      </c>
      <c r="O8" s="42">
        <v>10898.56</v>
      </c>
      <c r="P8" s="42">
        <f t="shared" si="0"/>
        <v>10898.56</v>
      </c>
      <c r="Q8" s="42">
        <f t="shared" si="1"/>
        <v>872974.65599999996</v>
      </c>
      <c r="R8" s="234"/>
    </row>
    <row r="9" spans="1:1024" ht="13.15" x14ac:dyDescent="0.4">
      <c r="A9" s="10" t="s">
        <v>27</v>
      </c>
      <c r="B9" s="69" t="s">
        <v>25</v>
      </c>
      <c r="C9" s="10"/>
      <c r="E9" s="151" t="s">
        <v>333</v>
      </c>
      <c r="F9" s="152">
        <f>(1/$F$3-1)*F8</f>
        <v>0</v>
      </c>
      <c r="G9" s="152">
        <f>(1/$F$3-1)*G8</f>
        <v>0</v>
      </c>
      <c r="H9" s="152">
        <f>(1/$F$3-1)*H8</f>
        <v>0</v>
      </c>
      <c r="I9" s="152">
        <f>(1/$F$3-1)*I8</f>
        <v>0</v>
      </c>
      <c r="L9" s="236">
        <v>5</v>
      </c>
      <c r="M9" s="42">
        <v>6986.32</v>
      </c>
      <c r="N9" s="42">
        <v>7121.1</v>
      </c>
      <c r="O9" s="42">
        <v>6986.32</v>
      </c>
      <c r="P9" s="42">
        <f t="shared" si="0"/>
        <v>6986.32</v>
      </c>
      <c r="Q9" s="42">
        <f t="shared" si="1"/>
        <v>559604.23199999996</v>
      </c>
      <c r="R9" s="234"/>
    </row>
    <row r="10" spans="1:1024" ht="13.15" x14ac:dyDescent="0.4">
      <c r="A10" s="67" t="s">
        <v>117</v>
      </c>
      <c r="B10" s="69" t="s">
        <v>365</v>
      </c>
      <c r="C10" s="10"/>
      <c r="E10" s="148" t="s">
        <v>334</v>
      </c>
      <c r="F10" s="240">
        <v>61</v>
      </c>
      <c r="G10" s="240">
        <v>61.18</v>
      </c>
      <c r="H10" s="240">
        <v>61.2</v>
      </c>
      <c r="I10" s="240">
        <v>61.09</v>
      </c>
      <c r="L10" s="236">
        <v>6</v>
      </c>
      <c r="M10" s="42">
        <v>4679.6499999999996</v>
      </c>
      <c r="N10" s="42">
        <v>4729.1000000000004</v>
      </c>
      <c r="O10" s="42">
        <v>4679.6499999999996</v>
      </c>
      <c r="P10" s="42">
        <f t="shared" si="0"/>
        <v>4679.6499999999996</v>
      </c>
      <c r="Q10" s="42">
        <f t="shared" si="1"/>
        <v>374839.96500000003</v>
      </c>
      <c r="R10" s="234"/>
    </row>
    <row r="11" spans="1:1024" x14ac:dyDescent="0.35">
      <c r="B11" s="70"/>
      <c r="E11" s="148" t="s">
        <v>315</v>
      </c>
      <c r="F11" s="153">
        <f>IF($F3=1, 1, F8/(F8+F10))</f>
        <v>1</v>
      </c>
      <c r="G11" s="153">
        <f>IF($F3=1, 1, G8/(G8+G10))</f>
        <v>1</v>
      </c>
      <c r="H11" s="153">
        <f>IF($F3=1, 1, H8/(H8+H10))</f>
        <v>1</v>
      </c>
      <c r="I11" s="153">
        <f>IF($F3=1, 1, I8/(I8+I10))</f>
        <v>1</v>
      </c>
      <c r="L11" s="236">
        <v>7</v>
      </c>
      <c r="M11" s="42">
        <v>3163.23</v>
      </c>
      <c r="N11" s="42">
        <v>3199.3</v>
      </c>
      <c r="O11" s="42">
        <v>3163.23</v>
      </c>
      <c r="P11" s="42">
        <f t="shared" si="0"/>
        <v>3163.23</v>
      </c>
      <c r="Q11" s="42">
        <f t="shared" si="1"/>
        <v>253374.723</v>
      </c>
      <c r="R11" s="234"/>
    </row>
    <row r="12" spans="1:1024" ht="13.9" x14ac:dyDescent="0.4">
      <c r="A12" s="10" t="s">
        <v>31</v>
      </c>
      <c r="B12" s="137">
        <v>31</v>
      </c>
      <c r="C12" s="10"/>
      <c r="L12" s="236">
        <v>8</v>
      </c>
      <c r="M12" s="42">
        <v>2175.4699999999998</v>
      </c>
      <c r="N12" s="42">
        <v>2280.6</v>
      </c>
      <c r="O12" s="42">
        <v>2175.4699999999998</v>
      </c>
      <c r="P12" s="42">
        <f t="shared" si="0"/>
        <v>2175.4699999999998</v>
      </c>
      <c r="Q12" s="42">
        <f t="shared" si="1"/>
        <v>174255.147</v>
      </c>
      <c r="R12" s="234"/>
    </row>
    <row r="13" spans="1:1024" hidden="1" x14ac:dyDescent="0.35">
      <c r="B13" s="70"/>
      <c r="L13" s="233">
        <v>9</v>
      </c>
      <c r="M13" s="42">
        <v>1512.11</v>
      </c>
      <c r="N13" s="42">
        <v>1615</v>
      </c>
      <c r="O13" s="42">
        <v>1512.11</v>
      </c>
      <c r="P13" s="42">
        <f t="shared" si="0"/>
        <v>1512.11</v>
      </c>
      <c r="Q13" s="42">
        <f t="shared" si="1"/>
        <v>121120.01099999998</v>
      </c>
      <c r="R13" s="234"/>
    </row>
    <row r="14" spans="1:1024" x14ac:dyDescent="0.35">
      <c r="A14" t="s">
        <v>118</v>
      </c>
      <c r="B14" s="70">
        <f>B12*1.5</f>
        <v>46.5</v>
      </c>
      <c r="L14" s="236">
        <v>10</v>
      </c>
      <c r="M14" s="42">
        <v>1079.78</v>
      </c>
      <c r="N14" s="42">
        <v>1130.5</v>
      </c>
      <c r="O14" s="42">
        <v>1079.78</v>
      </c>
      <c r="P14" s="42">
        <f t="shared" si="0"/>
        <v>1079.78</v>
      </c>
      <c r="Q14" s="42">
        <f t="shared" si="1"/>
        <v>86490.377999999997</v>
      </c>
      <c r="R14" s="234"/>
    </row>
    <row r="15" spans="1:1024" ht="13.5" x14ac:dyDescent="0.35">
      <c r="A15" t="s">
        <v>119</v>
      </c>
      <c r="B15" s="137">
        <v>6000</v>
      </c>
      <c r="L15" s="236">
        <v>11</v>
      </c>
      <c r="M15" s="42">
        <v>786.62</v>
      </c>
      <c r="N15" s="42">
        <v>816.2</v>
      </c>
      <c r="O15" s="42">
        <v>786.62</v>
      </c>
      <c r="P15" s="42">
        <f t="shared" si="0"/>
        <v>786.62</v>
      </c>
      <c r="Q15" s="42">
        <f t="shared" si="1"/>
        <v>63008.262000000002</v>
      </c>
      <c r="R15" s="234"/>
    </row>
    <row r="16" spans="1:1024" x14ac:dyDescent="0.35">
      <c r="A16" t="s">
        <v>120</v>
      </c>
      <c r="B16" s="71">
        <f>10^((LOG(B15)-LOG(B14))/(30-1))</f>
        <v>1.1824497666517551</v>
      </c>
      <c r="L16" s="236">
        <v>12</v>
      </c>
      <c r="M16" s="42">
        <v>586.05999999999995</v>
      </c>
      <c r="N16" s="42">
        <v>618.6</v>
      </c>
      <c r="O16" s="42">
        <v>586.05999999999995</v>
      </c>
      <c r="P16" s="42">
        <f t="shared" si="0"/>
        <v>586.05999999999995</v>
      </c>
      <c r="Q16" s="42">
        <f t="shared" si="1"/>
        <v>46943.405999999995</v>
      </c>
      <c r="R16" s="234"/>
    </row>
    <row r="17" spans="1:18" x14ac:dyDescent="0.35">
      <c r="L17" s="236">
        <v>13</v>
      </c>
      <c r="M17" s="42">
        <v>449.93</v>
      </c>
      <c r="N17" s="42">
        <v>481.9</v>
      </c>
      <c r="O17" s="42">
        <v>449.93</v>
      </c>
      <c r="P17" s="42">
        <f t="shared" si="0"/>
        <v>449.93</v>
      </c>
      <c r="Q17" s="42">
        <f t="shared" si="1"/>
        <v>36039.393000000004</v>
      </c>
      <c r="R17" s="234"/>
    </row>
    <row r="18" spans="1:18" x14ac:dyDescent="0.35">
      <c r="A18" s="68" t="s">
        <v>121</v>
      </c>
      <c r="B18" s="68" t="s">
        <v>122</v>
      </c>
      <c r="C18" s="68" t="s">
        <v>123</v>
      </c>
      <c r="D18" s="68" t="s">
        <v>124</v>
      </c>
      <c r="L18" s="236">
        <v>14</v>
      </c>
      <c r="M18" s="42">
        <v>352.62</v>
      </c>
      <c r="N18" s="42">
        <v>384.7</v>
      </c>
      <c r="O18" s="42">
        <v>352.62</v>
      </c>
      <c r="P18" s="42">
        <f t="shared" si="0"/>
        <v>352.62</v>
      </c>
      <c r="Q18" s="42">
        <f t="shared" si="1"/>
        <v>28244.861999999997</v>
      </c>
      <c r="R18" s="234"/>
    </row>
    <row r="19" spans="1:18" x14ac:dyDescent="0.35">
      <c r="A19">
        <v>4</v>
      </c>
      <c r="B19" s="43">
        <f>B12*1.5</f>
        <v>46.5</v>
      </c>
      <c r="C19" s="42">
        <f t="shared" ref="C19:C48" si="2">INT($B19+0.5)</f>
        <v>47</v>
      </c>
      <c r="D19" s="42">
        <f t="shared" ref="D19:D47" si="3">D20*B$16</f>
        <v>6000.0000000000146</v>
      </c>
      <c r="E19" s="68" t="s">
        <v>125</v>
      </c>
      <c r="L19" s="236">
        <v>15</v>
      </c>
      <c r="M19" s="42">
        <v>282.04000000000002</v>
      </c>
      <c r="N19" s="42">
        <v>314.60000000000002</v>
      </c>
      <c r="O19" s="42">
        <v>282.04000000000002</v>
      </c>
      <c r="P19" s="42">
        <f t="shared" si="0"/>
        <v>282.04000000000002</v>
      </c>
      <c r="Q19" s="42">
        <f t="shared" si="1"/>
        <v>22591.404000000002</v>
      </c>
      <c r="R19" s="234"/>
    </row>
    <row r="20" spans="1:18" x14ac:dyDescent="0.35">
      <c r="A20">
        <v>5</v>
      </c>
      <c r="B20" s="43">
        <f t="shared" ref="B20:B48" si="4">B19*B$16</f>
        <v>54.983914149306607</v>
      </c>
      <c r="C20" s="42">
        <f t="shared" si="2"/>
        <v>55</v>
      </c>
      <c r="D20" s="42">
        <f t="shared" si="3"/>
        <v>5074.2113273781742</v>
      </c>
      <c r="L20" s="236">
        <v>16</v>
      </c>
      <c r="M20" s="42">
        <v>229.42</v>
      </c>
      <c r="N20" s="42">
        <v>261.8</v>
      </c>
      <c r="O20" s="42">
        <v>229.42</v>
      </c>
      <c r="P20" s="42">
        <f t="shared" si="0"/>
        <v>229.42</v>
      </c>
      <c r="Q20" s="42">
        <f t="shared" si="1"/>
        <v>18376.541999999998</v>
      </c>
      <c r="R20" s="234"/>
    </row>
    <row r="21" spans="1:18" x14ac:dyDescent="0.35">
      <c r="A21">
        <v>6</v>
      </c>
      <c r="B21" s="43">
        <f t="shared" si="4"/>
        <v>65.01571645544773</v>
      </c>
      <c r="C21" s="42">
        <f t="shared" si="2"/>
        <v>65</v>
      </c>
      <c r="D21" s="42">
        <f t="shared" si="3"/>
        <v>4291.2700991488182</v>
      </c>
      <c r="L21" s="236">
        <v>17</v>
      </c>
      <c r="M21" s="42">
        <v>186.1</v>
      </c>
      <c r="N21" s="42">
        <v>221.2</v>
      </c>
      <c r="O21" s="42">
        <v>186.1</v>
      </c>
      <c r="P21" s="42">
        <f t="shared" si="0"/>
        <v>186.1</v>
      </c>
      <c r="Q21" s="42">
        <f t="shared" si="1"/>
        <v>14906.609999999999</v>
      </c>
      <c r="R21" s="234"/>
    </row>
    <row r="22" spans="1:18" x14ac:dyDescent="0.35">
      <c r="A22">
        <v>7</v>
      </c>
      <c r="B22" s="43">
        <f t="shared" si="4"/>
        <v>76.877818751440842</v>
      </c>
      <c r="C22" s="42">
        <f t="shared" si="2"/>
        <v>77</v>
      </c>
      <c r="D22" s="42">
        <f t="shared" si="3"/>
        <v>3629.1352243233573</v>
      </c>
      <c r="L22" s="236">
        <v>18</v>
      </c>
      <c r="M22" s="42">
        <v>153.87</v>
      </c>
      <c r="N22" s="42">
        <v>188.7</v>
      </c>
      <c r="O22" s="42">
        <v>153.87</v>
      </c>
      <c r="P22" s="42">
        <f t="shared" si="0"/>
        <v>153.87</v>
      </c>
      <c r="Q22" s="42">
        <f t="shared" si="1"/>
        <v>12324.986999999999</v>
      </c>
      <c r="R22" s="234"/>
    </row>
    <row r="23" spans="1:18" x14ac:dyDescent="0.35">
      <c r="A23">
        <v>8</v>
      </c>
      <c r="B23" s="43">
        <f t="shared" si="4"/>
        <v>90.904158843337143</v>
      </c>
      <c r="C23" s="42">
        <f t="shared" si="2"/>
        <v>91</v>
      </c>
      <c r="D23" s="42">
        <f t="shared" si="3"/>
        <v>3069.1665106414443</v>
      </c>
      <c r="L23" s="236">
        <v>19</v>
      </c>
      <c r="M23" s="42">
        <v>128.62</v>
      </c>
      <c r="N23" s="42">
        <v>161</v>
      </c>
      <c r="O23" s="42">
        <v>128.62</v>
      </c>
      <c r="P23" s="42">
        <f t="shared" si="0"/>
        <v>128.62</v>
      </c>
      <c r="Q23" s="42">
        <f t="shared" si="1"/>
        <v>10302.462</v>
      </c>
      <c r="R23" s="234"/>
    </row>
    <row r="24" spans="1:18" x14ac:dyDescent="0.35">
      <c r="A24">
        <v>9</v>
      </c>
      <c r="B24" s="43">
        <f t="shared" si="4"/>
        <v>107.48960141197809</v>
      </c>
      <c r="C24" s="42">
        <f t="shared" si="2"/>
        <v>107</v>
      </c>
      <c r="D24" s="42">
        <f t="shared" si="3"/>
        <v>2595.5999123177544</v>
      </c>
      <c r="L24" s="236">
        <v>20</v>
      </c>
      <c r="M24" s="42">
        <v>107.35</v>
      </c>
      <c r="N24" s="42">
        <v>136.4</v>
      </c>
      <c r="O24" s="42">
        <v>107.35</v>
      </c>
      <c r="P24" s="42">
        <f t="shared" si="0"/>
        <v>107.35</v>
      </c>
      <c r="Q24" s="42">
        <f t="shared" si="1"/>
        <v>8598.7350000000006</v>
      </c>
      <c r="R24" s="234"/>
    </row>
    <row r="25" spans="1:18" x14ac:dyDescent="0.35">
      <c r="A25">
        <v>10</v>
      </c>
      <c r="B25" s="43">
        <f t="shared" si="4"/>
        <v>127.10105410708364</v>
      </c>
      <c r="C25" s="42">
        <f t="shared" si="2"/>
        <v>127</v>
      </c>
      <c r="D25" s="42">
        <f t="shared" si="3"/>
        <v>2195.1037460707521</v>
      </c>
      <c r="E25" s="43"/>
      <c r="F25" s="43"/>
      <c r="L25" s="236">
        <v>21</v>
      </c>
      <c r="M25" s="42">
        <v>88.64</v>
      </c>
      <c r="N25" s="42">
        <v>114.4</v>
      </c>
      <c r="O25" s="42">
        <v>88.64</v>
      </c>
      <c r="P25" s="42">
        <f t="shared" si="0"/>
        <v>88.64</v>
      </c>
      <c r="Q25" s="42">
        <f t="shared" si="1"/>
        <v>7100.0640000000003</v>
      </c>
      <c r="R25" s="234"/>
    </row>
    <row r="26" spans="1:18" x14ac:dyDescent="0.35">
      <c r="A26">
        <v>11</v>
      </c>
      <c r="B26" s="43">
        <f t="shared" ref="B26:B38" si="5">B25*B$16</f>
        <v>150.29061177011314</v>
      </c>
      <c r="C26" s="42">
        <f t="shared" si="2"/>
        <v>150</v>
      </c>
      <c r="D26" s="42">
        <f t="shared" si="3"/>
        <v>1856.403382180408</v>
      </c>
      <c r="E26" s="43"/>
      <c r="F26" s="43"/>
      <c r="L26" s="236">
        <v>22</v>
      </c>
      <c r="M26" s="42">
        <v>75.56</v>
      </c>
      <c r="N26" s="42">
        <v>95.3</v>
      </c>
      <c r="O26" s="42">
        <v>75.56</v>
      </c>
      <c r="P26" s="42">
        <f t="shared" si="0"/>
        <v>75.56</v>
      </c>
      <c r="Q26" s="42">
        <f t="shared" si="1"/>
        <v>6052.3560000000007</v>
      </c>
      <c r="R26" s="234"/>
    </row>
    <row r="27" spans="1:18" x14ac:dyDescent="0.35">
      <c r="A27">
        <v>12</v>
      </c>
      <c r="B27" s="43">
        <f t="shared" si="5"/>
        <v>177.7110988175198</v>
      </c>
      <c r="C27" s="42">
        <f t="shared" si="2"/>
        <v>178</v>
      </c>
      <c r="D27" s="42">
        <f t="shared" si="3"/>
        <v>1569.9638450071595</v>
      </c>
      <c r="E27" s="43"/>
      <c r="F27" s="43"/>
      <c r="L27" s="236">
        <v>23</v>
      </c>
      <c r="M27" s="42">
        <v>61.94</v>
      </c>
      <c r="N27" s="42">
        <v>79</v>
      </c>
      <c r="O27" s="42">
        <v>61.94</v>
      </c>
      <c r="P27" s="42">
        <f t="shared" si="0"/>
        <v>61.94</v>
      </c>
      <c r="Q27" s="42">
        <f t="shared" si="1"/>
        <v>4961.3939999999993</v>
      </c>
      <c r="R27" s="234"/>
    </row>
    <row r="28" spans="1:18" x14ac:dyDescent="0.35">
      <c r="A28">
        <v>13</v>
      </c>
      <c r="B28" s="43">
        <f t="shared" si="5"/>
        <v>210.13444732820327</v>
      </c>
      <c r="C28" s="42">
        <f t="shared" si="2"/>
        <v>210</v>
      </c>
      <c r="D28" s="42">
        <f t="shared" si="3"/>
        <v>1327.7213876515837</v>
      </c>
      <c r="E28" s="43"/>
      <c r="F28" s="43"/>
      <c r="L28" s="236">
        <v>24</v>
      </c>
      <c r="M28" s="42">
        <v>50.86</v>
      </c>
      <c r="N28" s="42">
        <v>65.3</v>
      </c>
      <c r="O28" s="42">
        <v>50.86</v>
      </c>
      <c r="P28" s="42">
        <f t="shared" si="0"/>
        <v>50.86</v>
      </c>
      <c r="Q28" s="42">
        <f t="shared" si="1"/>
        <v>4073.886</v>
      </c>
      <c r="R28" s="234"/>
    </row>
    <row r="29" spans="1:18" x14ac:dyDescent="0.35">
      <c r="A29">
        <v>14</v>
      </c>
      <c r="B29" s="43">
        <f t="shared" si="5"/>
        <v>248.47342820872947</v>
      </c>
      <c r="C29" s="42">
        <f t="shared" si="2"/>
        <v>248</v>
      </c>
      <c r="D29" s="42">
        <f t="shared" si="3"/>
        <v>1122.8564841373195</v>
      </c>
      <c r="E29" s="43"/>
      <c r="F29" s="43"/>
      <c r="L29" s="236">
        <v>25</v>
      </c>
      <c r="M29" s="42">
        <v>41.61</v>
      </c>
      <c r="N29" s="42">
        <v>53.8</v>
      </c>
      <c r="O29" s="42">
        <v>41.61</v>
      </c>
      <c r="P29" s="42">
        <f t="shared" si="0"/>
        <v>41.61</v>
      </c>
      <c r="Q29" s="42">
        <f t="shared" si="1"/>
        <v>3332.9609999999998</v>
      </c>
      <c r="R29" s="234"/>
    </row>
    <row r="30" spans="1:18" x14ac:dyDescent="0.35">
      <c r="A30">
        <v>15</v>
      </c>
      <c r="B30" s="43">
        <f t="shared" si="5"/>
        <v>293.80734720457377</v>
      </c>
      <c r="C30" s="42">
        <f t="shared" si="2"/>
        <v>294</v>
      </c>
      <c r="D30" s="42">
        <f t="shared" si="3"/>
        <v>949.60184847160065</v>
      </c>
      <c r="E30" s="43"/>
      <c r="F30" s="43"/>
      <c r="L30" s="236">
        <v>26</v>
      </c>
      <c r="M30" s="42">
        <v>33.44</v>
      </c>
      <c r="N30" s="42">
        <v>44.6</v>
      </c>
      <c r="O30" s="42">
        <v>33.44</v>
      </c>
      <c r="P30" s="42">
        <f t="shared" si="0"/>
        <v>33.44</v>
      </c>
      <c r="Q30" s="42">
        <f t="shared" si="1"/>
        <v>2678.5439999999999</v>
      </c>
      <c r="R30" s="234"/>
    </row>
    <row r="31" spans="1:18" x14ac:dyDescent="0.35">
      <c r="A31">
        <v>16</v>
      </c>
      <c r="B31" s="43">
        <f t="shared" si="5"/>
        <v>347.41242914261943</v>
      </c>
      <c r="C31" s="42">
        <f t="shared" si="2"/>
        <v>347</v>
      </c>
      <c r="D31" s="42">
        <f t="shared" si="3"/>
        <v>803.08007600230621</v>
      </c>
      <c r="E31" s="43"/>
      <c r="F31" s="43"/>
      <c r="L31" s="236">
        <v>27</v>
      </c>
      <c r="M31" s="42">
        <v>26.08</v>
      </c>
      <c r="N31" s="42">
        <v>37</v>
      </c>
      <c r="O31" s="42">
        <v>26.08</v>
      </c>
      <c r="P31" s="42">
        <f t="shared" si="0"/>
        <v>26.08</v>
      </c>
      <c r="Q31" s="42">
        <f t="shared" si="1"/>
        <v>2089.0079999999998</v>
      </c>
      <c r="R31" s="234"/>
    </row>
    <row r="32" spans="1:18" x14ac:dyDescent="0.35">
      <c r="A32">
        <v>17</v>
      </c>
      <c r="B32" s="43">
        <f t="shared" si="5"/>
        <v>410.79774577160975</v>
      </c>
      <c r="C32" s="42">
        <f t="shared" si="2"/>
        <v>411</v>
      </c>
      <c r="D32" s="42">
        <f t="shared" si="3"/>
        <v>679.1663364071029</v>
      </c>
      <c r="E32" s="43"/>
      <c r="F32" s="43"/>
      <c r="L32" s="236">
        <v>28</v>
      </c>
      <c r="M32" s="42">
        <v>20.41</v>
      </c>
      <c r="N32" s="42">
        <v>30.7</v>
      </c>
      <c r="O32" s="42">
        <v>20.41</v>
      </c>
      <c r="P32" s="42">
        <f t="shared" si="0"/>
        <v>20.41</v>
      </c>
      <c r="Q32" s="42">
        <f t="shared" si="1"/>
        <v>1634.8409999999999</v>
      </c>
      <c r="R32" s="234"/>
    </row>
    <row r="33" spans="1:18" x14ac:dyDescent="0.35">
      <c r="A33">
        <v>18</v>
      </c>
      <c r="B33" s="43">
        <f t="shared" si="5"/>
        <v>485.74769862870693</v>
      </c>
      <c r="C33" s="42">
        <f t="shared" si="2"/>
        <v>486</v>
      </c>
      <c r="D33" s="42">
        <f t="shared" si="3"/>
        <v>574.37225289514151</v>
      </c>
      <c r="E33" s="43"/>
      <c r="F33" s="43"/>
      <c r="L33" s="236">
        <v>29</v>
      </c>
      <c r="M33" s="42">
        <v>16.39</v>
      </c>
      <c r="N33" s="42">
        <v>25.2</v>
      </c>
      <c r="O33" s="42">
        <v>16.39</v>
      </c>
      <c r="P33" s="42">
        <f t="shared" si="0"/>
        <v>16.39</v>
      </c>
      <c r="Q33" s="42">
        <f t="shared" si="1"/>
        <v>1312.8390000000002</v>
      </c>
      <c r="R33" s="234"/>
    </row>
    <row r="34" spans="1:18" ht="13.15" thickBot="1" x14ac:dyDescent="0.4">
      <c r="A34">
        <v>19</v>
      </c>
      <c r="B34" s="43">
        <f t="shared" si="5"/>
        <v>574.37225289514151</v>
      </c>
      <c r="C34" s="42">
        <f t="shared" si="2"/>
        <v>574</v>
      </c>
      <c r="D34" s="42">
        <f t="shared" si="3"/>
        <v>485.74769862870693</v>
      </c>
      <c r="E34" s="43"/>
      <c r="F34" s="43"/>
      <c r="L34" s="237">
        <v>30</v>
      </c>
      <c r="M34" s="238">
        <v>13.94</v>
      </c>
      <c r="N34" s="238">
        <v>20.100000000000001</v>
      </c>
      <c r="O34" s="238">
        <v>13.94</v>
      </c>
      <c r="P34" s="238">
        <f t="shared" si="0"/>
        <v>13.94</v>
      </c>
      <c r="Q34" s="238">
        <f t="shared" si="1"/>
        <v>1116.5939999999998</v>
      </c>
      <c r="R34" s="239"/>
    </row>
    <row r="35" spans="1:18" x14ac:dyDescent="0.35">
      <c r="A35">
        <v>20</v>
      </c>
      <c r="B35" s="43">
        <f t="shared" si="5"/>
        <v>679.1663364071029</v>
      </c>
      <c r="C35" s="42">
        <f t="shared" si="2"/>
        <v>679</v>
      </c>
      <c r="D35" s="42">
        <f t="shared" si="3"/>
        <v>410.79774577160975</v>
      </c>
      <c r="E35" s="43"/>
      <c r="F35" s="43"/>
    </row>
    <row r="36" spans="1:18" x14ac:dyDescent="0.35">
      <c r="A36">
        <v>21</v>
      </c>
      <c r="B36" s="43">
        <f t="shared" si="5"/>
        <v>803.08007600230621</v>
      </c>
      <c r="C36" s="42">
        <f t="shared" si="2"/>
        <v>803</v>
      </c>
      <c r="D36" s="42">
        <f t="shared" si="3"/>
        <v>347.41242914261943</v>
      </c>
      <c r="E36" s="43"/>
      <c r="F36" s="43"/>
    </row>
    <row r="37" spans="1:18" x14ac:dyDescent="0.35">
      <c r="A37">
        <v>22</v>
      </c>
      <c r="B37" s="43">
        <f t="shared" si="5"/>
        <v>949.60184847160065</v>
      </c>
      <c r="C37" s="42">
        <f t="shared" si="2"/>
        <v>950</v>
      </c>
      <c r="D37" s="42">
        <f t="shared" si="3"/>
        <v>293.80734720457377</v>
      </c>
      <c r="E37" s="43"/>
      <c r="F37" s="43"/>
    </row>
    <row r="38" spans="1:18" x14ac:dyDescent="0.35">
      <c r="A38">
        <v>23</v>
      </c>
      <c r="B38" s="43">
        <f t="shared" si="5"/>
        <v>1122.8564841373195</v>
      </c>
      <c r="C38" s="42">
        <f t="shared" si="2"/>
        <v>1123</v>
      </c>
      <c r="D38" s="42">
        <f t="shared" si="3"/>
        <v>248.47342820872947</v>
      </c>
      <c r="E38" s="43"/>
      <c r="F38" s="43"/>
    </row>
    <row r="39" spans="1:18" x14ac:dyDescent="0.35">
      <c r="A39">
        <v>24</v>
      </c>
      <c r="B39" s="43">
        <f t="shared" si="4"/>
        <v>1327.7213876515837</v>
      </c>
      <c r="C39" s="42">
        <f t="shared" si="2"/>
        <v>1328</v>
      </c>
      <c r="D39" s="42">
        <f t="shared" si="3"/>
        <v>210.13444732820327</v>
      </c>
    </row>
    <row r="40" spans="1:18" x14ac:dyDescent="0.35">
      <c r="A40">
        <v>25</v>
      </c>
      <c r="B40" s="43">
        <f t="shared" si="4"/>
        <v>1569.9638450071595</v>
      </c>
      <c r="C40" s="42">
        <f t="shared" si="2"/>
        <v>1570</v>
      </c>
      <c r="D40" s="42">
        <f t="shared" si="3"/>
        <v>177.7110988175198</v>
      </c>
    </row>
    <row r="41" spans="1:18" x14ac:dyDescent="0.35">
      <c r="A41">
        <v>26</v>
      </c>
      <c r="B41" s="43">
        <f t="shared" si="4"/>
        <v>1856.403382180408</v>
      </c>
      <c r="C41" s="42">
        <f t="shared" si="2"/>
        <v>1856</v>
      </c>
      <c r="D41" s="42">
        <f t="shared" si="3"/>
        <v>150.29061177011314</v>
      </c>
    </row>
    <row r="42" spans="1:18" x14ac:dyDescent="0.35">
      <c r="A42">
        <v>27</v>
      </c>
      <c r="B42" s="43">
        <f t="shared" si="4"/>
        <v>2195.1037460707521</v>
      </c>
      <c r="C42" s="42">
        <f t="shared" si="2"/>
        <v>2195</v>
      </c>
      <c r="D42" s="42">
        <f t="shared" si="3"/>
        <v>127.10105410708364</v>
      </c>
    </row>
    <row r="43" spans="1:18" x14ac:dyDescent="0.35">
      <c r="A43">
        <v>28</v>
      </c>
      <c r="B43" s="43">
        <f t="shared" si="4"/>
        <v>2595.5999123177544</v>
      </c>
      <c r="C43" s="42">
        <f t="shared" si="2"/>
        <v>2596</v>
      </c>
      <c r="D43" s="42">
        <f t="shared" si="3"/>
        <v>107.48960141197809</v>
      </c>
    </row>
    <row r="44" spans="1:18" x14ac:dyDescent="0.35">
      <c r="A44">
        <v>29</v>
      </c>
      <c r="B44" s="43">
        <f t="shared" si="4"/>
        <v>3069.1665106414443</v>
      </c>
      <c r="C44" s="42">
        <f t="shared" si="2"/>
        <v>3069</v>
      </c>
      <c r="D44" s="42">
        <f t="shared" si="3"/>
        <v>90.904158843337143</v>
      </c>
    </row>
    <row r="45" spans="1:18" x14ac:dyDescent="0.35">
      <c r="A45">
        <v>30</v>
      </c>
      <c r="B45" s="43">
        <f t="shared" si="4"/>
        <v>3629.1352243233573</v>
      </c>
      <c r="C45" s="42">
        <f t="shared" si="2"/>
        <v>3629</v>
      </c>
      <c r="D45" s="42">
        <f t="shared" si="3"/>
        <v>76.877818751440842</v>
      </c>
    </row>
    <row r="46" spans="1:18" x14ac:dyDescent="0.35">
      <c r="A46">
        <v>38</v>
      </c>
      <c r="B46" s="43">
        <f t="shared" si="4"/>
        <v>4291.2700991488182</v>
      </c>
      <c r="C46" s="42">
        <f t="shared" si="2"/>
        <v>4291</v>
      </c>
      <c r="D46" s="42">
        <f t="shared" si="3"/>
        <v>65.01571645544773</v>
      </c>
    </row>
    <row r="47" spans="1:18" x14ac:dyDescent="0.35">
      <c r="A47">
        <v>50</v>
      </c>
      <c r="B47" s="43">
        <f t="shared" si="4"/>
        <v>5074.2113273781742</v>
      </c>
      <c r="C47" s="42">
        <f t="shared" si="2"/>
        <v>5074</v>
      </c>
      <c r="D47" s="42">
        <f t="shared" si="3"/>
        <v>54.983914149306607</v>
      </c>
    </row>
    <row r="48" spans="1:18" x14ac:dyDescent="0.35">
      <c r="A48">
        <v>70</v>
      </c>
      <c r="B48" s="43">
        <f t="shared" si="4"/>
        <v>6000.0000000000146</v>
      </c>
      <c r="C48" s="42">
        <f t="shared" si="2"/>
        <v>6000</v>
      </c>
      <c r="D48" s="42">
        <f>$B$12*1.5</f>
        <v>46.5</v>
      </c>
      <c r="E48" s="68" t="s">
        <v>126</v>
      </c>
    </row>
    <row r="49" spans="1:31" x14ac:dyDescent="0.35">
      <c r="C49" s="68"/>
      <c r="E49" s="43"/>
      <c r="F49" s="42"/>
      <c r="G49" s="42"/>
    </row>
    <row r="50" spans="1:31" ht="13.15" x14ac:dyDescent="0.4">
      <c r="B50" s="65" t="s">
        <v>378</v>
      </c>
      <c r="E50" s="42"/>
    </row>
    <row r="51" spans="1:31" x14ac:dyDescent="0.35">
      <c r="A51" s="68" t="s">
        <v>203</v>
      </c>
      <c r="B51" s="42">
        <v>4</v>
      </c>
      <c r="C51" s="42">
        <v>5</v>
      </c>
      <c r="D51" s="42">
        <v>6</v>
      </c>
      <c r="E51" s="42">
        <v>7</v>
      </c>
      <c r="F51" s="42">
        <v>8</v>
      </c>
      <c r="G51" s="42">
        <v>9</v>
      </c>
      <c r="H51" s="42">
        <v>10</v>
      </c>
      <c r="I51" s="42">
        <v>11</v>
      </c>
      <c r="J51" s="42">
        <v>12</v>
      </c>
      <c r="K51" s="42">
        <v>13</v>
      </c>
      <c r="L51" s="42">
        <v>14</v>
      </c>
      <c r="M51" s="42">
        <v>15</v>
      </c>
      <c r="N51" s="42">
        <v>16</v>
      </c>
      <c r="O51" s="42">
        <v>17</v>
      </c>
      <c r="P51" s="42">
        <v>18</v>
      </c>
      <c r="Q51" s="42">
        <v>19</v>
      </c>
      <c r="R51" s="42">
        <v>20</v>
      </c>
      <c r="S51" s="42">
        <v>21</v>
      </c>
      <c r="T51" s="42">
        <v>22</v>
      </c>
      <c r="U51" s="42">
        <v>23</v>
      </c>
      <c r="V51" s="42">
        <v>24</v>
      </c>
      <c r="W51" s="42">
        <v>25</v>
      </c>
      <c r="X51" s="42">
        <v>26</v>
      </c>
      <c r="Y51" s="42">
        <v>27</v>
      </c>
      <c r="Z51" s="42">
        <v>28</v>
      </c>
      <c r="AA51" s="42">
        <v>29</v>
      </c>
      <c r="AB51" s="42">
        <v>30</v>
      </c>
      <c r="AC51" s="42">
        <v>38</v>
      </c>
      <c r="AD51" s="42">
        <v>50</v>
      </c>
      <c r="AE51" s="42">
        <v>70</v>
      </c>
    </row>
    <row r="52" spans="1:31" x14ac:dyDescent="0.35">
      <c r="A52" s="68" t="s">
        <v>327</v>
      </c>
      <c r="B52" s="42">
        <f>INT($B19+0.5)</f>
        <v>47</v>
      </c>
      <c r="C52" s="42">
        <f>INT($B20+0.5)</f>
        <v>55</v>
      </c>
      <c r="D52" s="42">
        <f>INT($B21+0.5)</f>
        <v>65</v>
      </c>
      <c r="E52" s="42">
        <f>INT($B22+0.5)</f>
        <v>77</v>
      </c>
      <c r="F52" s="42">
        <f>INT($B23+0.5)</f>
        <v>91</v>
      </c>
      <c r="G52" s="42">
        <f>INT($B24+0.5)</f>
        <v>107</v>
      </c>
      <c r="H52" s="42">
        <f>INT($B25+0.5)</f>
        <v>127</v>
      </c>
      <c r="I52" s="42">
        <f>INT($B26+0.5)</f>
        <v>150</v>
      </c>
      <c r="J52" s="42">
        <f>INT($B27+0.5)</f>
        <v>178</v>
      </c>
      <c r="K52" s="42">
        <f>INT($B28+0.5)</f>
        <v>210</v>
      </c>
      <c r="L52" s="42">
        <f>INT($B29+0.5)</f>
        <v>248</v>
      </c>
      <c r="M52" s="42">
        <f>INT($B30+0.5)</f>
        <v>294</v>
      </c>
      <c r="N52" s="42">
        <f>INT($B31+0.5)</f>
        <v>347</v>
      </c>
      <c r="O52" s="42">
        <f>INT($B32+0.5)</f>
        <v>411</v>
      </c>
      <c r="P52" s="42">
        <f>INT($B33+0.5)</f>
        <v>486</v>
      </c>
      <c r="Q52" s="42">
        <f>INT($B34+0.5)</f>
        <v>574</v>
      </c>
      <c r="R52" s="42">
        <f>INT($B35+0.5)</f>
        <v>679</v>
      </c>
      <c r="S52" s="42">
        <f>INT($B36+0.5)</f>
        <v>803</v>
      </c>
      <c r="T52" s="42">
        <f>INT($B37+0.5)</f>
        <v>950</v>
      </c>
      <c r="U52" s="42">
        <f>INT($B38+0.5)</f>
        <v>1123</v>
      </c>
      <c r="V52" s="42">
        <f>INT($B39+0.5)</f>
        <v>1328</v>
      </c>
      <c r="W52" s="42">
        <f>INT($B40+0.5)</f>
        <v>1570</v>
      </c>
      <c r="X52" s="42">
        <f>INT($B41+0.5)</f>
        <v>1856</v>
      </c>
      <c r="Y52" s="42">
        <f>INT($B42+0.5)</f>
        <v>2195</v>
      </c>
      <c r="Z52" s="42">
        <f>INT($B43+0.5)</f>
        <v>2596</v>
      </c>
      <c r="AA52" s="42">
        <f>INT($B44+0.5)</f>
        <v>3069</v>
      </c>
      <c r="AB52" s="42">
        <f>INT($B45+0.5)</f>
        <v>3629</v>
      </c>
      <c r="AC52" s="42">
        <f>INT($B46+0.5)</f>
        <v>4291</v>
      </c>
      <c r="AD52" s="42">
        <f>INT($B47+0.5)</f>
        <v>5074</v>
      </c>
      <c r="AE52" s="42">
        <f>INT($B48+0.5)</f>
        <v>6000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00"/>
  <sheetViews>
    <sheetView zoomScale="85" zoomScaleNormal="85" workbookViewId="0"/>
  </sheetViews>
  <sheetFormatPr defaultColWidth="11.53125" defaultRowHeight="12.75" x14ac:dyDescent="0.35"/>
  <cols>
    <col min="12" max="12" width="12.3984375"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v>46009</v>
      </c>
      <c r="O4" s="75"/>
    </row>
    <row r="5" spans="1:49" ht="13.15" x14ac:dyDescent="0.4">
      <c r="A5" s="8" t="s">
        <v>116</v>
      </c>
      <c r="B5" s="76" t="s">
        <v>411</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P7" s="65"/>
    </row>
    <row r="8" spans="1:49" ht="13.15" x14ac:dyDescent="0.4">
      <c r="A8" s="68" t="s">
        <v>139</v>
      </c>
      <c r="B8" s="46">
        <f>B52</f>
        <v>7.8113840000000003</v>
      </c>
      <c r="C8" s="46">
        <f>C52</f>
        <v>8.4850410000000007</v>
      </c>
      <c r="D8" s="46">
        <f>D52</f>
        <v>8.487304</v>
      </c>
      <c r="E8" s="46">
        <f>E52</f>
        <v>8.4974600000000002</v>
      </c>
      <c r="F8" s="46">
        <f>F52</f>
        <v>8.4989059999999998</v>
      </c>
      <c r="G8" s="78">
        <f>AVERAGE(B$8:F$8)*5</f>
        <v>41.780095000000003</v>
      </c>
      <c r="I8" s="79"/>
      <c r="K8" s="79"/>
    </row>
    <row r="9" spans="1:49" ht="13.15" x14ac:dyDescent="0.4">
      <c r="A9" s="68" t="s">
        <v>140</v>
      </c>
      <c r="B9" s="42">
        <f>B53</f>
        <v>12748.444336</v>
      </c>
      <c r="C9" s="42">
        <f t="shared" ref="C9:F9" si="0">C53</f>
        <v>12757.982421999999</v>
      </c>
      <c r="D9" s="42">
        <f t="shared" si="0"/>
        <v>12023.959961</v>
      </c>
      <c r="E9" s="42">
        <f t="shared" si="0"/>
        <v>12393.349609000001</v>
      </c>
      <c r="F9" s="42">
        <f t="shared" si="0"/>
        <v>12082.966796999999</v>
      </c>
      <c r="G9" s="80">
        <f t="shared" ref="G9:G38" si="1">AVERAGE(B9:F9)</f>
        <v>12401.340625000001</v>
      </c>
      <c r="H9" s="81">
        <f t="shared" ref="H9:H38" si="2">G9*G$8</f>
        <v>518129.18943985942</v>
      </c>
      <c r="I9" s="79">
        <f t="shared" ref="I9:I38" si="3">STDEVP(B9:F9)/AVERAGE(B9:F9)</f>
        <v>2.5282226180954145E-2</v>
      </c>
      <c r="J9" s="79">
        <f t="shared" ref="J9:J38" si="4">IF(H9&gt;$A$43, $C$43, IF(H9&gt;$A$44, $C$44, IF(H9&gt;$A$45,$C$45,IF(H9&gt;$A$46,$C$46, IF(H9&gt;$A$47,$C$47,IF(H9&gt;$A$48,$C$48,$C$49))))))/100</f>
        <v>0.11</v>
      </c>
      <c r="K9" s="79">
        <f t="shared" ref="K9:K38" si="5">(MAX(B9:F9)-MIN(B9:F9))/G9</f>
        <v>5.9188960548368023E-2</v>
      </c>
      <c r="L9" s="42">
        <f>G9/'Clause 6'!$G$11</f>
        <v>12401.340625000001</v>
      </c>
      <c r="M9">
        <f t="shared" ref="M9:M38" si="6">COUNTA(B9:F9)</f>
        <v>5</v>
      </c>
      <c r="P9" s="42"/>
    </row>
    <row r="10" spans="1:49" ht="13.15" x14ac:dyDescent="0.4">
      <c r="A10" s="68" t="s">
        <v>141</v>
      </c>
      <c r="B10" s="42">
        <f t="shared" ref="B10:F10" si="7">B54</f>
        <v>11296.333008</v>
      </c>
      <c r="C10" s="42">
        <f t="shared" si="7"/>
        <v>11251.212890999999</v>
      </c>
      <c r="D10" s="42">
        <f t="shared" si="7"/>
        <v>10640.127930000001</v>
      </c>
      <c r="E10" s="42">
        <f t="shared" si="7"/>
        <v>10945.741211</v>
      </c>
      <c r="F10" s="42">
        <f t="shared" si="7"/>
        <v>10661.842773</v>
      </c>
      <c r="G10" s="80">
        <f t="shared" si="1"/>
        <v>10959.051562600001</v>
      </c>
      <c r="H10" s="81">
        <f t="shared" si="2"/>
        <v>457870.21539532655</v>
      </c>
      <c r="I10" s="79">
        <f t="shared" si="3"/>
        <v>2.5462806924735296E-2</v>
      </c>
      <c r="J10" s="79">
        <f t="shared" si="4"/>
        <v>0.11</v>
      </c>
      <c r="K10" s="79">
        <f t="shared" si="5"/>
        <v>5.9877907705027385E-2</v>
      </c>
      <c r="L10" s="42">
        <f>G10/'Clause 6'!$G$11</f>
        <v>10959.051562600001</v>
      </c>
      <c r="M10">
        <f t="shared" si="6"/>
        <v>5</v>
      </c>
      <c r="P10" s="42"/>
    </row>
    <row r="11" spans="1:49" ht="13.15" x14ac:dyDescent="0.4">
      <c r="A11" s="68" t="s">
        <v>142</v>
      </c>
      <c r="B11" s="42">
        <f t="shared" ref="B11:F11" si="8">B55</f>
        <v>9922.4414059999999</v>
      </c>
      <c r="C11" s="42">
        <f t="shared" si="8"/>
        <v>9850.6308590000008</v>
      </c>
      <c r="D11" s="42">
        <f t="shared" si="8"/>
        <v>9313.2050780000009</v>
      </c>
      <c r="E11" s="42">
        <f t="shared" si="8"/>
        <v>9592.7480469999991</v>
      </c>
      <c r="F11" s="42">
        <f t="shared" si="8"/>
        <v>9323.3173829999996</v>
      </c>
      <c r="G11" s="80">
        <f t="shared" si="1"/>
        <v>9600.4685546000001</v>
      </c>
      <c r="H11" s="81">
        <f t="shared" si="2"/>
        <v>401108.48825570074</v>
      </c>
      <c r="I11" s="79">
        <f t="shared" si="3"/>
        <v>2.6582247295754358E-2</v>
      </c>
      <c r="J11" s="79">
        <f t="shared" si="4"/>
        <v>0.11</v>
      </c>
      <c r="K11" s="79">
        <f t="shared" si="5"/>
        <v>6.3459020206684341E-2</v>
      </c>
      <c r="L11" s="42">
        <f>G11/'Clause 6'!$G$11</f>
        <v>9600.4685546000001</v>
      </c>
      <c r="M11">
        <f t="shared" si="6"/>
        <v>5</v>
      </c>
      <c r="P11" s="42"/>
    </row>
    <row r="12" spans="1:49" ht="13.15" x14ac:dyDescent="0.4">
      <c r="A12" s="68" t="s">
        <v>143</v>
      </c>
      <c r="B12" s="42">
        <f t="shared" ref="B12:F12" si="9">B56</f>
        <v>8671.9589840000008</v>
      </c>
      <c r="C12" s="42">
        <f t="shared" si="9"/>
        <v>8575.4453119999998</v>
      </c>
      <c r="D12" s="42">
        <f t="shared" si="9"/>
        <v>8127.3159180000002</v>
      </c>
      <c r="E12" s="42">
        <f t="shared" si="9"/>
        <v>8358.9677730000003</v>
      </c>
      <c r="F12" s="42">
        <f t="shared" si="9"/>
        <v>8116.9267579999996</v>
      </c>
      <c r="G12" s="80">
        <f t="shared" si="1"/>
        <v>8370.1229490000005</v>
      </c>
      <c r="H12" s="81">
        <f t="shared" si="2"/>
        <v>349704.53197090019</v>
      </c>
      <c r="I12" s="79">
        <f t="shared" si="3"/>
        <v>2.7057317584417987E-2</v>
      </c>
      <c r="J12" s="79">
        <f t="shared" si="4"/>
        <v>0.11</v>
      </c>
      <c r="K12" s="79">
        <f t="shared" si="5"/>
        <v>6.6311119846371225E-2</v>
      </c>
      <c r="L12" s="42">
        <f>G12/'Clause 6'!$G$11</f>
        <v>8370.1229490000005</v>
      </c>
      <c r="M12">
        <f t="shared" si="6"/>
        <v>5</v>
      </c>
      <c r="P12" s="42"/>
    </row>
    <row r="13" spans="1:49" ht="13.15" x14ac:dyDescent="0.4">
      <c r="A13" s="68" t="s">
        <v>144</v>
      </c>
      <c r="B13" s="42">
        <f t="shared" ref="B13:F13" si="10">B57</f>
        <v>7569.9770509999998</v>
      </c>
      <c r="C13" s="42">
        <f t="shared" si="10"/>
        <v>7458.7739259999998</v>
      </c>
      <c r="D13" s="42">
        <f t="shared" si="10"/>
        <v>7061.8422849999997</v>
      </c>
      <c r="E13" s="42">
        <f t="shared" si="10"/>
        <v>7278.4101559999999</v>
      </c>
      <c r="F13" s="42">
        <f t="shared" si="10"/>
        <v>7044.4360349999997</v>
      </c>
      <c r="G13" s="80">
        <f t="shared" si="1"/>
        <v>7282.6878906000002</v>
      </c>
      <c r="H13" s="81">
        <f t="shared" si="2"/>
        <v>304271.39192461764</v>
      </c>
      <c r="I13" s="79">
        <f t="shared" si="3"/>
        <v>2.8743582857902194E-2</v>
      </c>
      <c r="J13" s="79">
        <f t="shared" si="4"/>
        <v>0.11</v>
      </c>
      <c r="K13" s="79">
        <f t="shared" si="5"/>
        <v>7.2163056263654088E-2</v>
      </c>
      <c r="L13" s="42">
        <f>G13/'Clause 6'!$G$11</f>
        <v>7282.6878906000002</v>
      </c>
      <c r="M13">
        <f t="shared" si="6"/>
        <v>5</v>
      </c>
      <c r="P13" s="42"/>
    </row>
    <row r="14" spans="1:49" ht="13.15" x14ac:dyDescent="0.4">
      <c r="A14" s="68" t="s">
        <v>145</v>
      </c>
      <c r="B14" s="42">
        <f t="shared" ref="B14:F14" si="11">B58</f>
        <v>6586.9248049999997</v>
      </c>
      <c r="C14" s="42">
        <f t="shared" si="11"/>
        <v>6473.6284180000002</v>
      </c>
      <c r="D14" s="42">
        <f t="shared" si="11"/>
        <v>6130.3330079999996</v>
      </c>
      <c r="E14" s="42">
        <f t="shared" si="11"/>
        <v>6320.7119140000004</v>
      </c>
      <c r="F14" s="42">
        <f t="shared" si="11"/>
        <v>6114.1987300000001</v>
      </c>
      <c r="G14" s="80">
        <f t="shared" si="1"/>
        <v>6325.1593749999993</v>
      </c>
      <c r="H14" s="81">
        <f t="shared" si="2"/>
        <v>264265.75957764062</v>
      </c>
      <c r="I14" s="79">
        <f t="shared" si="3"/>
        <v>2.9411956220666263E-2</v>
      </c>
      <c r="J14" s="79">
        <f t="shared" si="4"/>
        <v>0.11</v>
      </c>
      <c r="K14" s="79">
        <f t="shared" si="5"/>
        <v>7.4737417189586569E-2</v>
      </c>
      <c r="L14" s="42">
        <f>G14/'Clause 6'!$G$11</f>
        <v>6325.1593749999993</v>
      </c>
      <c r="M14">
        <f t="shared" si="6"/>
        <v>5</v>
      </c>
      <c r="P14" s="42"/>
    </row>
    <row r="15" spans="1:49" ht="13.15" x14ac:dyDescent="0.4">
      <c r="A15" s="68" t="s">
        <v>146</v>
      </c>
      <c r="B15" s="42">
        <f t="shared" ref="B15:F15" si="12">B59</f>
        <v>5658.7919920000004</v>
      </c>
      <c r="C15" s="42">
        <f t="shared" si="12"/>
        <v>5542.578125</v>
      </c>
      <c r="D15" s="42">
        <f t="shared" si="12"/>
        <v>5241.3583980000003</v>
      </c>
      <c r="E15" s="42">
        <f t="shared" si="12"/>
        <v>5390.3164059999999</v>
      </c>
      <c r="F15" s="42">
        <f t="shared" si="12"/>
        <v>5217.0244140000004</v>
      </c>
      <c r="G15" s="80">
        <f t="shared" si="1"/>
        <v>5410.0138669999997</v>
      </c>
      <c r="H15" s="81">
        <f t="shared" si="2"/>
        <v>226030.89331457738</v>
      </c>
      <c r="I15" s="79">
        <f t="shared" si="3"/>
        <v>3.1536241277677492E-2</v>
      </c>
      <c r="J15" s="79">
        <f t="shared" si="4"/>
        <v>0.11</v>
      </c>
      <c r="K15" s="79">
        <f t="shared" si="5"/>
        <v>8.1657383670436345E-2</v>
      </c>
      <c r="L15" s="42">
        <f>G15/'Clause 6'!$G$11</f>
        <v>5410.0138669999997</v>
      </c>
      <c r="M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3">B60</f>
        <v>4823.6010740000002</v>
      </c>
      <c r="C16" s="42">
        <f t="shared" si="13"/>
        <v>4705.1040039999998</v>
      </c>
      <c r="D16" s="42">
        <f t="shared" si="13"/>
        <v>4447.1132809999999</v>
      </c>
      <c r="E16" s="42">
        <f t="shared" si="13"/>
        <v>4590.4301759999998</v>
      </c>
      <c r="F16" s="42">
        <f t="shared" si="13"/>
        <v>4430.5703119999998</v>
      </c>
      <c r="G16" s="80">
        <f t="shared" si="1"/>
        <v>4599.3637693999999</v>
      </c>
      <c r="H16" s="81">
        <f t="shared" si="2"/>
        <v>192161.85522509011</v>
      </c>
      <c r="I16" s="79">
        <f t="shared" si="3"/>
        <v>3.2716624533865923E-2</v>
      </c>
      <c r="J16" s="79">
        <f t="shared" si="4"/>
        <v>0.11</v>
      </c>
      <c r="K16" s="79">
        <f t="shared" si="5"/>
        <v>8.545328912987292E-2</v>
      </c>
      <c r="L16" s="42">
        <f>G16/'Clause 6'!$G$11</f>
        <v>4599.3637693999999</v>
      </c>
      <c r="M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4">B61</f>
        <v>4052.2907709999999</v>
      </c>
      <c r="C17" s="42">
        <f t="shared" si="14"/>
        <v>3942.4677729999999</v>
      </c>
      <c r="D17" s="42">
        <f t="shared" si="14"/>
        <v>3703.1784670000002</v>
      </c>
      <c r="E17" s="42">
        <f t="shared" si="14"/>
        <v>3827.2612300000001</v>
      </c>
      <c r="F17" s="42">
        <f t="shared" si="14"/>
        <v>3675.7670899999998</v>
      </c>
      <c r="G17" s="80">
        <f t="shared" si="1"/>
        <v>3840.1930662</v>
      </c>
      <c r="H17" s="81">
        <f t="shared" si="2"/>
        <v>160443.63112417731</v>
      </c>
      <c r="I17" s="79">
        <f t="shared" si="3"/>
        <v>3.7087482347580511E-2</v>
      </c>
      <c r="J17" s="79">
        <f t="shared" si="4"/>
        <v>0.11</v>
      </c>
      <c r="K17" s="79">
        <f t="shared" si="5"/>
        <v>9.8048112297797294E-2</v>
      </c>
      <c r="L17" s="42">
        <f>G17/'Clause 6'!$G$11</f>
        <v>3840.1930662</v>
      </c>
      <c r="M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5">B62</f>
        <v>3367.008789</v>
      </c>
      <c r="C18" s="42">
        <f t="shared" si="15"/>
        <v>3259.1477049999999</v>
      </c>
      <c r="D18" s="42">
        <f t="shared" si="15"/>
        <v>3081.5439449999999</v>
      </c>
      <c r="E18" s="42">
        <f t="shared" si="15"/>
        <v>3162.474365</v>
      </c>
      <c r="F18" s="42">
        <f t="shared" si="15"/>
        <v>3043.8034670000002</v>
      </c>
      <c r="G18" s="80">
        <f t="shared" si="1"/>
        <v>3182.7956542000002</v>
      </c>
      <c r="H18" s="81">
        <f t="shared" si="2"/>
        <v>132977.50479806316</v>
      </c>
      <c r="I18" s="79">
        <f t="shared" si="3"/>
        <v>3.7108339181905411E-2</v>
      </c>
      <c r="J18" s="79">
        <f t="shared" si="4"/>
        <v>0.11</v>
      </c>
      <c r="K18" s="79">
        <f t="shared" si="5"/>
        <v>0.10154761948776063</v>
      </c>
      <c r="L18" s="42">
        <f>G18/'Clause 6'!$G$11</f>
        <v>3182.7956542000002</v>
      </c>
      <c r="M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6">B63</f>
        <v>2748.0405270000001</v>
      </c>
      <c r="C19" s="42">
        <f t="shared" si="16"/>
        <v>2656.9111330000001</v>
      </c>
      <c r="D19" s="42">
        <f t="shared" si="16"/>
        <v>2502.679443</v>
      </c>
      <c r="E19" s="42">
        <f t="shared" si="16"/>
        <v>2571.0034179999998</v>
      </c>
      <c r="F19" s="42">
        <f t="shared" si="16"/>
        <v>2473.4948730000001</v>
      </c>
      <c r="G19" s="80">
        <f t="shared" si="1"/>
        <v>2590.4258787999997</v>
      </c>
      <c r="H19" s="81">
        <f t="shared" si="2"/>
        <v>108228.23930672248</v>
      </c>
      <c r="I19" s="79">
        <f t="shared" si="3"/>
        <v>3.899247794854941E-2</v>
      </c>
      <c r="J19" s="79">
        <f t="shared" si="4"/>
        <v>0.11</v>
      </c>
      <c r="K19" s="79">
        <f t="shared" si="5"/>
        <v>0.10598475572950257</v>
      </c>
      <c r="L19" s="42">
        <f>G19/'Clause 6'!$G$11</f>
        <v>2590.4258787999997</v>
      </c>
      <c r="M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E20" si="17">B64</f>
        <v>2193.0812989999999</v>
      </c>
      <c r="C20" s="42">
        <f t="shared" si="17"/>
        <v>2112.6591800000001</v>
      </c>
      <c r="D20" s="42">
        <f t="shared" si="17"/>
        <v>1992.976807</v>
      </c>
      <c r="E20" s="42">
        <f t="shared" si="17"/>
        <v>2039.6682129999999</v>
      </c>
      <c r="F20" s="42"/>
      <c r="G20" s="80">
        <f t="shared" si="1"/>
        <v>2084.59637475</v>
      </c>
      <c r="H20" s="81">
        <f t="shared" si="2"/>
        <v>87094.634573710602</v>
      </c>
      <c r="I20" s="79">
        <f t="shared" si="3"/>
        <v>3.6351372803970973E-2</v>
      </c>
      <c r="J20" s="79">
        <f t="shared" si="4"/>
        <v>0.11</v>
      </c>
      <c r="K20" s="79">
        <f t="shared" si="5"/>
        <v>9.5991960085797384E-2</v>
      </c>
      <c r="L20" s="42">
        <f>G20/'Clause 6'!$G$11</f>
        <v>2084.59637475</v>
      </c>
      <c r="M20">
        <f t="shared" si="6"/>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E21" si="18">B65</f>
        <v>1726.4545900000001</v>
      </c>
      <c r="C21" s="42">
        <f t="shared" si="18"/>
        <v>1663.1623540000001</v>
      </c>
      <c r="D21" s="42">
        <f t="shared" si="18"/>
        <v>1566.221802</v>
      </c>
      <c r="E21" s="42">
        <f t="shared" si="18"/>
        <v>1610.1281739999999</v>
      </c>
      <c r="F21" s="42"/>
      <c r="G21" s="80">
        <f t="shared" si="1"/>
        <v>1641.4917300000002</v>
      </c>
      <c r="H21" s="81">
        <f t="shared" si="2"/>
        <v>68581.680421114361</v>
      </c>
      <c r="I21" s="79">
        <f t="shared" si="3"/>
        <v>3.6472757552892372E-2</v>
      </c>
      <c r="J21" s="79">
        <f t="shared" si="4"/>
        <v>0.11</v>
      </c>
      <c r="K21" s="79">
        <f t="shared" si="5"/>
        <v>9.7614130532354251E-2</v>
      </c>
      <c r="L21" s="42">
        <f>G21/'Clause 6'!$G$11</f>
        <v>1641.4917300000002</v>
      </c>
      <c r="M21">
        <f t="shared" si="6"/>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ref="B22:E22" si="19">B66</f>
        <v>1346.1123050000001</v>
      </c>
      <c r="C22" s="42">
        <f t="shared" si="19"/>
        <v>1285.7923579999999</v>
      </c>
      <c r="D22" s="42">
        <f t="shared" si="19"/>
        <v>1210.9853519999999</v>
      </c>
      <c r="E22" s="42">
        <f t="shared" si="19"/>
        <v>1246.7254640000001</v>
      </c>
      <c r="F22" s="42"/>
      <c r="G22" s="80">
        <f t="shared" si="1"/>
        <v>1272.40386975</v>
      </c>
      <c r="H22" s="81">
        <f t="shared" si="2"/>
        <v>53161.154556522633</v>
      </c>
      <c r="I22" s="79">
        <f t="shared" si="3"/>
        <v>3.9381662751899561E-2</v>
      </c>
      <c r="J22" s="79">
        <f t="shared" si="4"/>
        <v>0.11</v>
      </c>
      <c r="K22" s="79">
        <f t="shared" si="5"/>
        <v>0.10619816255867701</v>
      </c>
      <c r="L22" s="42">
        <f>G22/'Clause 6'!$G$11</f>
        <v>1272.40386975</v>
      </c>
      <c r="M22">
        <f t="shared" si="6"/>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ref="B23:E23" si="20">B67</f>
        <v>1032.8515620000001</v>
      </c>
      <c r="C23" s="42">
        <f t="shared" si="20"/>
        <v>978.30999799999995</v>
      </c>
      <c r="D23" s="42">
        <f t="shared" si="20"/>
        <v>925.97131300000001</v>
      </c>
      <c r="E23" s="42">
        <f t="shared" si="20"/>
        <v>954.40283199999999</v>
      </c>
      <c r="F23" s="42"/>
      <c r="G23" s="80">
        <f t="shared" si="1"/>
        <v>972.88392625000006</v>
      </c>
      <c r="H23" s="81">
        <f t="shared" si="2"/>
        <v>40647.182862697999</v>
      </c>
      <c r="I23" s="79">
        <f t="shared" si="3"/>
        <v>4.0362473144075692E-2</v>
      </c>
      <c r="J23" s="79">
        <f t="shared" si="4"/>
        <v>0.11</v>
      </c>
      <c r="K23" s="79">
        <f t="shared" si="5"/>
        <v>0.10985919914616335</v>
      </c>
      <c r="L23" s="42">
        <f>G23/'Clause 6'!$G$11</f>
        <v>972.88392625000006</v>
      </c>
      <c r="M23">
        <f t="shared" si="6"/>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24" si="21">B68</f>
        <v>797.80993699999999</v>
      </c>
      <c r="C24" s="42">
        <f t="shared" si="21"/>
        <v>751.08654799999999</v>
      </c>
      <c r="D24" s="42">
        <f t="shared" si="21"/>
        <v>709.76605199999995</v>
      </c>
      <c r="E24" s="42">
        <f t="shared" si="21"/>
        <v>727.98223900000005</v>
      </c>
      <c r="F24" s="42">
        <f t="shared" si="21"/>
        <v>665.37976100000003</v>
      </c>
      <c r="G24" s="80">
        <f t="shared" si="1"/>
        <v>730.40490740000007</v>
      </c>
      <c r="H24" s="81">
        <f t="shared" si="2"/>
        <v>30516.386419638209</v>
      </c>
      <c r="I24" s="79">
        <f t="shared" si="3"/>
        <v>6.0088738366929823E-2</v>
      </c>
      <c r="J24" s="79">
        <f t="shared" si="4"/>
        <v>0.11</v>
      </c>
      <c r="K24" s="79">
        <f t="shared" si="5"/>
        <v>0.18131063285350532</v>
      </c>
      <c r="L24" s="42">
        <f>G24/'Clause 6'!$G$11</f>
        <v>730.40490740000007</v>
      </c>
      <c r="M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ref="B25:F25" si="22">B69</f>
        <v>610.519226</v>
      </c>
      <c r="C25" s="42">
        <f t="shared" si="22"/>
        <v>568.64782700000001</v>
      </c>
      <c r="D25" s="42">
        <f t="shared" si="22"/>
        <v>537.74438499999997</v>
      </c>
      <c r="E25" s="42">
        <f t="shared" si="22"/>
        <v>552.87109399999997</v>
      </c>
      <c r="F25" s="42">
        <f t="shared" si="22"/>
        <v>502.77056900000002</v>
      </c>
      <c r="G25" s="80">
        <f t="shared" si="1"/>
        <v>554.51062020000006</v>
      </c>
      <c r="H25" s="81">
        <f t="shared" si="2"/>
        <v>23167.506390464921</v>
      </c>
      <c r="I25" s="79">
        <f t="shared" si="3"/>
        <v>6.4002135227368542E-2</v>
      </c>
      <c r="J25" s="79">
        <f t="shared" si="4"/>
        <v>0.11</v>
      </c>
      <c r="K25" s="79">
        <f t="shared" si="5"/>
        <v>0.19431306286097344</v>
      </c>
      <c r="L25" s="42">
        <f>G25/'Clause 6'!$G$11</f>
        <v>554.51062020000006</v>
      </c>
      <c r="M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ref="B26:F26" si="23">B70</f>
        <v>471.87539700000002</v>
      </c>
      <c r="C26" s="42">
        <f t="shared" si="23"/>
        <v>432.17236300000002</v>
      </c>
      <c r="D26" s="42">
        <f t="shared" si="23"/>
        <v>413.67672700000003</v>
      </c>
      <c r="E26" s="42">
        <f t="shared" si="23"/>
        <v>428.12792999999999</v>
      </c>
      <c r="F26" s="42">
        <f t="shared" si="23"/>
        <v>375.930725</v>
      </c>
      <c r="G26" s="80">
        <f t="shared" si="1"/>
        <v>424.35662840000003</v>
      </c>
      <c r="H26" s="81">
        <f t="shared" si="2"/>
        <v>17729.660248431701</v>
      </c>
      <c r="I26" s="79">
        <f t="shared" si="3"/>
        <v>7.2956454206185586E-2</v>
      </c>
      <c r="J26" s="79">
        <f t="shared" si="4"/>
        <v>0.11</v>
      </c>
      <c r="K26" s="79">
        <f t="shared" si="5"/>
        <v>0.22609443467809401</v>
      </c>
      <c r="L26" s="42">
        <f>G26/'Clause 6'!$G$11</f>
        <v>424.35662840000003</v>
      </c>
      <c r="M26">
        <f t="shared" si="6"/>
        <v>5</v>
      </c>
      <c r="P26" s="42"/>
    </row>
    <row r="27" spans="1:49" ht="13.15" x14ac:dyDescent="0.4">
      <c r="A27" s="68" t="s">
        <v>158</v>
      </c>
      <c r="B27" s="42">
        <f t="shared" ref="B27:F27" si="24">B71</f>
        <v>362.67581200000001</v>
      </c>
      <c r="C27" s="42">
        <f t="shared" si="24"/>
        <v>338.124481</v>
      </c>
      <c r="D27" s="42">
        <f t="shared" si="24"/>
        <v>318.94699100000003</v>
      </c>
      <c r="E27" s="42">
        <f t="shared" si="24"/>
        <v>328.56875600000001</v>
      </c>
      <c r="F27" s="42">
        <f t="shared" si="24"/>
        <v>283.33056599999998</v>
      </c>
      <c r="G27" s="80">
        <f t="shared" si="1"/>
        <v>326.32932120000004</v>
      </c>
      <c r="H27" s="81">
        <f t="shared" si="2"/>
        <v>13634.070041021516</v>
      </c>
      <c r="I27" s="79">
        <f t="shared" si="3"/>
        <v>7.9539640305891515E-2</v>
      </c>
      <c r="J27" s="79">
        <f t="shared" si="4"/>
        <v>0.11</v>
      </c>
      <c r="K27" s="79">
        <f t="shared" si="5"/>
        <v>0.24314470335741323</v>
      </c>
      <c r="L27" s="42">
        <f>G27/'Clause 6'!$G$11</f>
        <v>326.32932120000004</v>
      </c>
      <c r="M27">
        <f t="shared" si="6"/>
        <v>5</v>
      </c>
      <c r="P27" s="42"/>
    </row>
    <row r="28" spans="1:49" ht="13.15" x14ac:dyDescent="0.4">
      <c r="A28" s="68" t="s">
        <v>159</v>
      </c>
      <c r="B28" s="42">
        <f t="shared" ref="B28:F28" si="25">B72</f>
        <v>277.287598</v>
      </c>
      <c r="C28" s="42">
        <f t="shared" si="25"/>
        <v>260.81195100000002</v>
      </c>
      <c r="D28" s="42">
        <f t="shared" si="25"/>
        <v>240.123367</v>
      </c>
      <c r="E28" s="42">
        <f t="shared" si="25"/>
        <v>252.192993</v>
      </c>
      <c r="F28" s="42">
        <f t="shared" si="25"/>
        <v>213.43924000000001</v>
      </c>
      <c r="G28" s="80">
        <f t="shared" si="1"/>
        <v>248.77102980000001</v>
      </c>
      <c r="H28" s="81">
        <f t="shared" si="2"/>
        <v>10393.677258291833</v>
      </c>
      <c r="I28" s="79">
        <f t="shared" si="3"/>
        <v>8.6083073164871154E-2</v>
      </c>
      <c r="J28" s="79">
        <f t="shared" si="4"/>
        <v>0.11</v>
      </c>
      <c r="K28" s="79">
        <f t="shared" si="5"/>
        <v>0.25665511796663387</v>
      </c>
      <c r="L28" s="42">
        <f>G28/'Clause 6'!$G$11</f>
        <v>248.77102980000001</v>
      </c>
      <c r="M28">
        <f t="shared" si="6"/>
        <v>5</v>
      </c>
      <c r="P28" s="42"/>
    </row>
    <row r="29" spans="1:49" ht="13.15" x14ac:dyDescent="0.4">
      <c r="A29" s="68" t="s">
        <v>160</v>
      </c>
      <c r="B29" s="42">
        <f t="shared" ref="B29:F29" si="26">B73</f>
        <v>211.998276</v>
      </c>
      <c r="C29" s="42">
        <f t="shared" si="26"/>
        <v>201.649002</v>
      </c>
      <c r="D29" s="42">
        <f t="shared" si="26"/>
        <v>181.447495</v>
      </c>
      <c r="E29" s="42">
        <f t="shared" si="26"/>
        <v>192.99884</v>
      </c>
      <c r="F29" s="42">
        <f t="shared" si="26"/>
        <v>157.43202199999999</v>
      </c>
      <c r="G29" s="80">
        <f t="shared" si="1"/>
        <v>189.10512699999998</v>
      </c>
      <c r="H29" s="81">
        <f t="shared" si="2"/>
        <v>7900.8301710470651</v>
      </c>
      <c r="I29" s="79">
        <f t="shared" si="3"/>
        <v>9.916864005134178E-2</v>
      </c>
      <c r="J29" s="79">
        <f t="shared" si="4"/>
        <v>0.113</v>
      </c>
      <c r="K29" s="79">
        <f t="shared" si="5"/>
        <v>0.28854983926480227</v>
      </c>
      <c r="L29" s="42">
        <f>G29/'Clause 6'!$G$11</f>
        <v>189.10512699999998</v>
      </c>
      <c r="M29">
        <f t="shared" si="6"/>
        <v>5</v>
      </c>
      <c r="P29" s="42"/>
    </row>
    <row r="30" spans="1:49" ht="13.15" x14ac:dyDescent="0.4">
      <c r="A30" s="68" t="s">
        <v>161</v>
      </c>
      <c r="B30" s="42">
        <f t="shared" ref="B30:F30" si="27">B74</f>
        <v>154.39004499999999</v>
      </c>
      <c r="C30" s="42">
        <f t="shared" si="27"/>
        <v>156.98216199999999</v>
      </c>
      <c r="D30" s="42">
        <f t="shared" si="27"/>
        <v>137.97079500000001</v>
      </c>
      <c r="E30" s="42">
        <f t="shared" si="27"/>
        <v>146.04364000000001</v>
      </c>
      <c r="F30" s="42">
        <f t="shared" si="27"/>
        <v>117.42688</v>
      </c>
      <c r="G30" s="80">
        <f t="shared" si="1"/>
        <v>142.5627044</v>
      </c>
      <c r="H30" s="81">
        <f t="shared" si="2"/>
        <v>5956.2833332889186</v>
      </c>
      <c r="I30" s="79">
        <f t="shared" si="3"/>
        <v>9.9833197949531341E-2</v>
      </c>
      <c r="J30" s="79">
        <f t="shared" si="4"/>
        <v>0.113</v>
      </c>
      <c r="K30" s="79">
        <f t="shared" si="5"/>
        <v>0.27745883586086062</v>
      </c>
      <c r="L30" s="42">
        <f>G30/'Clause 6'!$G$11</f>
        <v>142.5627044</v>
      </c>
      <c r="M30">
        <f t="shared" si="6"/>
        <v>5</v>
      </c>
      <c r="P30" s="42"/>
    </row>
    <row r="31" spans="1:49" ht="13.15" x14ac:dyDescent="0.4">
      <c r="A31" s="68" t="s">
        <v>162</v>
      </c>
      <c r="B31" s="42">
        <f t="shared" ref="B31:F31" si="28">B75</f>
        <v>116.752678</v>
      </c>
      <c r="C31" s="42">
        <f t="shared" si="28"/>
        <v>118.915161</v>
      </c>
      <c r="D31" s="42">
        <f t="shared" si="28"/>
        <v>107.925911</v>
      </c>
      <c r="E31" s="42">
        <f t="shared" si="28"/>
        <v>109.915192</v>
      </c>
      <c r="F31" s="42">
        <f t="shared" si="28"/>
        <v>87.893660999999994</v>
      </c>
      <c r="G31" s="80">
        <f t="shared" si="1"/>
        <v>108.2805206</v>
      </c>
      <c r="H31" s="81">
        <f t="shared" si="2"/>
        <v>4523.9704373174573</v>
      </c>
      <c r="I31" s="79">
        <f t="shared" si="3"/>
        <v>0.10144473570460699</v>
      </c>
      <c r="J31" s="79">
        <f t="shared" si="4"/>
        <v>0.11900000000000001</v>
      </c>
      <c r="K31" s="79">
        <f t="shared" si="5"/>
        <v>0.28649197314627617</v>
      </c>
      <c r="L31" s="42">
        <f>G31/'Clause 6'!$G$11</f>
        <v>108.2805206</v>
      </c>
      <c r="M31">
        <f t="shared" si="6"/>
        <v>5</v>
      </c>
      <c r="P31" s="42"/>
    </row>
    <row r="32" spans="1:49" ht="13.15" x14ac:dyDescent="0.4">
      <c r="A32" s="68" t="s">
        <v>163</v>
      </c>
      <c r="B32" s="42">
        <f t="shared" ref="B32:F32" si="29">B76</f>
        <v>84.492064999999997</v>
      </c>
      <c r="C32" s="42">
        <f t="shared" si="29"/>
        <v>89.922966000000002</v>
      </c>
      <c r="D32" s="42">
        <f t="shared" si="29"/>
        <v>78.470153999999994</v>
      </c>
      <c r="E32" s="42">
        <f t="shared" si="29"/>
        <v>79.788544000000002</v>
      </c>
      <c r="F32" s="42">
        <f t="shared" si="29"/>
        <v>64.008240000000001</v>
      </c>
      <c r="G32" s="80">
        <f t="shared" si="1"/>
        <v>79.336393799999996</v>
      </c>
      <c r="H32" s="81">
        <f t="shared" si="2"/>
        <v>3314.6820699214109</v>
      </c>
      <c r="I32" s="79">
        <f t="shared" si="3"/>
        <v>0.10909511583649507</v>
      </c>
      <c r="J32" s="79">
        <f t="shared" si="4"/>
        <v>0.11900000000000001</v>
      </c>
      <c r="K32" s="79">
        <f t="shared" si="5"/>
        <v>0.32664360905196582</v>
      </c>
      <c r="L32" s="42">
        <f>G32/'Clause 6'!$G$11</f>
        <v>79.336393799999996</v>
      </c>
      <c r="M32">
        <f t="shared" si="6"/>
        <v>5</v>
      </c>
      <c r="P32" s="42"/>
    </row>
    <row r="33" spans="1:16" ht="13.15" x14ac:dyDescent="0.4">
      <c r="A33" s="68" t="s">
        <v>164</v>
      </c>
      <c r="B33" s="42">
        <f t="shared" ref="B33:F33" si="30">B77</f>
        <v>61.064720000000001</v>
      </c>
      <c r="C33" s="42">
        <f t="shared" si="30"/>
        <v>69.298430999999994</v>
      </c>
      <c r="D33" s="42">
        <f t="shared" si="30"/>
        <v>60.678871000000001</v>
      </c>
      <c r="E33" s="42">
        <f t="shared" si="30"/>
        <v>56.016734999999997</v>
      </c>
      <c r="F33" s="42">
        <f t="shared" si="30"/>
        <v>47.064880000000002</v>
      </c>
      <c r="G33" s="80">
        <f t="shared" si="1"/>
        <v>58.824727399999993</v>
      </c>
      <c r="H33" s="81">
        <f t="shared" si="2"/>
        <v>2457.7026991211028</v>
      </c>
      <c r="I33" s="79">
        <f t="shared" si="3"/>
        <v>0.12360343283891964</v>
      </c>
      <c r="J33" s="79">
        <f t="shared" si="4"/>
        <v>0.11900000000000001</v>
      </c>
      <c r="K33" s="79">
        <f t="shared" si="5"/>
        <v>0.37796266948786567</v>
      </c>
      <c r="L33" s="42">
        <f>G33/'Clause 6'!$G$11</f>
        <v>58.824727399999993</v>
      </c>
      <c r="M33">
        <f t="shared" si="6"/>
        <v>5</v>
      </c>
      <c r="P33" s="42"/>
    </row>
    <row r="34" spans="1:16" ht="13.15" x14ac:dyDescent="0.4">
      <c r="A34" s="68" t="s">
        <v>165</v>
      </c>
      <c r="B34" s="42">
        <f t="shared" ref="B34:F34" si="31">B78</f>
        <v>46.086582</v>
      </c>
      <c r="C34" s="42">
        <f t="shared" si="31"/>
        <v>51.266697000000001</v>
      </c>
      <c r="D34" s="42">
        <f t="shared" si="31"/>
        <v>42.769767999999999</v>
      </c>
      <c r="E34" s="42">
        <f t="shared" si="31"/>
        <v>41.306457999999999</v>
      </c>
      <c r="F34" s="42">
        <f t="shared" si="31"/>
        <v>32.121780000000001</v>
      </c>
      <c r="G34" s="80">
        <f t="shared" si="1"/>
        <v>42.710256999999999</v>
      </c>
      <c r="H34" s="81">
        <f t="shared" si="2"/>
        <v>1784.4385949344151</v>
      </c>
      <c r="I34" s="79">
        <f t="shared" si="3"/>
        <v>0.14759927768561243</v>
      </c>
      <c r="J34" s="79">
        <f t="shared" si="4"/>
        <v>0.13400000000000001</v>
      </c>
      <c r="K34" s="79">
        <f t="shared" si="5"/>
        <v>0.44825103721572079</v>
      </c>
      <c r="L34" s="42">
        <f>G34/'Clause 6'!$G$11</f>
        <v>42.710256999999999</v>
      </c>
      <c r="M34">
        <f t="shared" si="6"/>
        <v>5</v>
      </c>
      <c r="P34" s="42"/>
    </row>
    <row r="35" spans="1:16" ht="13.15" x14ac:dyDescent="0.4">
      <c r="A35" s="68" t="s">
        <v>166</v>
      </c>
      <c r="B35" s="42">
        <f t="shared" ref="B35:F35" si="32">B79</f>
        <v>35.973137000000001</v>
      </c>
      <c r="C35" s="42">
        <f t="shared" si="32"/>
        <v>37.006306000000002</v>
      </c>
      <c r="D35" s="42">
        <f t="shared" si="32"/>
        <v>30.751816000000002</v>
      </c>
      <c r="E35" s="42">
        <f t="shared" si="32"/>
        <v>28.832144</v>
      </c>
      <c r="F35" s="42">
        <f t="shared" si="32"/>
        <v>20.943871999999999</v>
      </c>
      <c r="G35" s="80">
        <f t="shared" si="1"/>
        <v>30.701454999999999</v>
      </c>
      <c r="H35" s="81">
        <f t="shared" si="2"/>
        <v>1282.709706538225</v>
      </c>
      <c r="I35" s="79">
        <f t="shared" si="3"/>
        <v>0.18781732166121251</v>
      </c>
      <c r="J35" s="79">
        <f t="shared" si="4"/>
        <v>0.13400000000000001</v>
      </c>
      <c r="K35" s="79">
        <f t="shared" si="5"/>
        <v>0.5231815234815419</v>
      </c>
      <c r="L35" s="42">
        <f>G35/'Clause 6'!$G$11</f>
        <v>30.701454999999999</v>
      </c>
      <c r="M35">
        <f t="shared" si="6"/>
        <v>5</v>
      </c>
      <c r="P35" s="42"/>
    </row>
    <row r="36" spans="1:16" ht="13.15" x14ac:dyDescent="0.4">
      <c r="A36" s="68" t="s">
        <v>167</v>
      </c>
      <c r="B36" s="42">
        <f t="shared" ref="B36:F36" si="33">B80</f>
        <v>25.731674000000002</v>
      </c>
      <c r="C36" s="42">
        <f t="shared" si="33"/>
        <v>25.927983999999999</v>
      </c>
      <c r="D36" s="42">
        <f t="shared" si="33"/>
        <v>21.090326000000001</v>
      </c>
      <c r="E36" s="42">
        <f t="shared" si="33"/>
        <v>19.652930999999999</v>
      </c>
      <c r="F36" s="42">
        <f t="shared" si="33"/>
        <v>14.707775</v>
      </c>
      <c r="G36" s="80">
        <f t="shared" si="1"/>
        <v>21.422137999999997</v>
      </c>
      <c r="H36" s="81">
        <f t="shared" si="2"/>
        <v>895.01896074310991</v>
      </c>
      <c r="I36" s="79">
        <f t="shared" si="3"/>
        <v>0.1949415794356589</v>
      </c>
      <c r="J36" s="79">
        <f t="shared" si="4"/>
        <v>0.156</v>
      </c>
      <c r="K36" s="79">
        <f t="shared" si="5"/>
        <v>0.52376700215450023</v>
      </c>
      <c r="L36" s="42">
        <f>G36/'Clause 6'!$G$11</f>
        <v>21.422137999999997</v>
      </c>
      <c r="M36">
        <f t="shared" si="6"/>
        <v>5</v>
      </c>
      <c r="P36" s="42"/>
    </row>
    <row r="37" spans="1:16" ht="13.15" x14ac:dyDescent="0.4">
      <c r="A37" s="68" t="s">
        <v>168</v>
      </c>
      <c r="B37" s="42">
        <f t="shared" ref="B37:F37" si="34">B81</f>
        <v>17.282468999999999</v>
      </c>
      <c r="C37" s="42">
        <f t="shared" si="34"/>
        <v>17.796026000000001</v>
      </c>
      <c r="D37" s="42">
        <f t="shared" si="34"/>
        <v>13.903119999999999</v>
      </c>
      <c r="E37" s="42">
        <f t="shared" si="34"/>
        <v>13.76882</v>
      </c>
      <c r="F37" s="42">
        <f t="shared" si="34"/>
        <v>9.6483000000000008</v>
      </c>
      <c r="G37" s="80">
        <f t="shared" si="1"/>
        <v>14.479747</v>
      </c>
      <c r="H37" s="81">
        <f t="shared" si="2"/>
        <v>604.96520523596507</v>
      </c>
      <c r="I37" s="79">
        <f t="shared" si="3"/>
        <v>0.20260895460121825</v>
      </c>
      <c r="J37" s="79">
        <f t="shared" si="4"/>
        <v>0.156</v>
      </c>
      <c r="K37" s="79">
        <f t="shared" si="5"/>
        <v>0.5626980913409606</v>
      </c>
      <c r="L37" s="42">
        <f>G37/'Clause 6'!$G$11</f>
        <v>14.479747</v>
      </c>
      <c r="M37">
        <f t="shared" si="6"/>
        <v>5</v>
      </c>
    </row>
    <row r="38" spans="1:16" ht="13.15" x14ac:dyDescent="0.4">
      <c r="A38" s="68" t="s">
        <v>169</v>
      </c>
      <c r="B38" s="42">
        <f t="shared" ref="B38:F38" si="35">B82</f>
        <v>11.521646</v>
      </c>
      <c r="C38" s="42">
        <f t="shared" si="35"/>
        <v>11.314030000000001</v>
      </c>
      <c r="D38" s="42">
        <f t="shared" si="35"/>
        <v>9.8971359999999997</v>
      </c>
      <c r="E38" s="42">
        <f t="shared" si="35"/>
        <v>10.826764000000001</v>
      </c>
      <c r="F38" s="42">
        <f t="shared" si="35"/>
        <v>6.4714210000000003</v>
      </c>
      <c r="G38" s="80">
        <f t="shared" si="1"/>
        <v>10.006199399999998</v>
      </c>
      <c r="H38" s="81">
        <f t="shared" si="2"/>
        <v>418.05996152094292</v>
      </c>
      <c r="I38" s="79">
        <f t="shared" si="3"/>
        <v>0.18528674444433132</v>
      </c>
      <c r="J38" s="79">
        <f t="shared" si="4"/>
        <v>0.193</v>
      </c>
      <c r="K38" s="79">
        <f t="shared" si="5"/>
        <v>0.50470961032417572</v>
      </c>
      <c r="L38" s="42">
        <f>G38/'Clause 6'!$G$11</f>
        <v>10.006199399999998</v>
      </c>
      <c r="M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row>
    <row r="52" spans="1:16" ht="13.15" x14ac:dyDescent="0.4">
      <c r="A52" s="65" t="s">
        <v>181</v>
      </c>
      <c r="B52">
        <v>7.8113840000000003</v>
      </c>
      <c r="C52">
        <v>8.4850410000000007</v>
      </c>
      <c r="D52">
        <v>8.487304</v>
      </c>
      <c r="E52">
        <v>8.4974600000000002</v>
      </c>
      <c r="F52">
        <v>8.4989059999999998</v>
      </c>
      <c r="G52">
        <v>7.8113840000000003</v>
      </c>
      <c r="H52">
        <v>8.4850410000000007</v>
      </c>
      <c r="I52">
        <v>8.487304</v>
      </c>
      <c r="J52">
        <v>8.4974600000000002</v>
      </c>
      <c r="K52">
        <v>8.4989059999999998</v>
      </c>
      <c r="L52">
        <v>7.8113840000000003</v>
      </c>
      <c r="M52">
        <v>8.4850410000000007</v>
      </c>
      <c r="N52">
        <v>8.487304</v>
      </c>
      <c r="O52">
        <v>8.4974600000000002</v>
      </c>
      <c r="P52">
        <v>8.4989059999999998</v>
      </c>
    </row>
    <row r="53" spans="1:16" ht="13.15" x14ac:dyDescent="0.4">
      <c r="A53" s="8">
        <v>4</v>
      </c>
      <c r="B53">
        <v>12748.444336</v>
      </c>
      <c r="C53">
        <v>12757.982421999999</v>
      </c>
      <c r="D53">
        <v>12023.959961</v>
      </c>
      <c r="E53">
        <v>12393.349609000001</v>
      </c>
      <c r="F53">
        <v>12082.966796999999</v>
      </c>
      <c r="G53">
        <v>12748.444336</v>
      </c>
      <c r="H53">
        <v>12757.982421999999</v>
      </c>
      <c r="I53">
        <v>12023.959961</v>
      </c>
      <c r="J53">
        <v>12393.349609000001</v>
      </c>
      <c r="K53">
        <v>12082.966796999999</v>
      </c>
      <c r="L53">
        <v>12748.444336</v>
      </c>
      <c r="M53">
        <v>12757.982421999999</v>
      </c>
      <c r="N53">
        <v>12023.959961</v>
      </c>
      <c r="O53">
        <v>12393.349609000001</v>
      </c>
      <c r="P53">
        <v>12082.966796999999</v>
      </c>
    </row>
    <row r="54" spans="1:16" ht="13.15" x14ac:dyDescent="0.4">
      <c r="A54" s="8">
        <v>5</v>
      </c>
      <c r="B54">
        <v>11296.333008</v>
      </c>
      <c r="C54">
        <v>11251.212890999999</v>
      </c>
      <c r="D54">
        <v>10640.127930000001</v>
      </c>
      <c r="E54">
        <v>10945.741211</v>
      </c>
      <c r="F54">
        <v>10661.842773</v>
      </c>
      <c r="G54">
        <v>11296.333008</v>
      </c>
      <c r="H54">
        <v>11251.212890999999</v>
      </c>
      <c r="I54">
        <v>10640.127930000001</v>
      </c>
      <c r="J54">
        <v>10945.741211</v>
      </c>
      <c r="K54">
        <v>10661.842773</v>
      </c>
      <c r="L54">
        <v>11296.333008</v>
      </c>
      <c r="M54">
        <v>11251.212890999999</v>
      </c>
      <c r="N54">
        <v>10640.127930000001</v>
      </c>
      <c r="O54">
        <v>10945.741211</v>
      </c>
      <c r="P54">
        <v>10661.842773</v>
      </c>
    </row>
    <row r="55" spans="1:16" ht="13.15" x14ac:dyDescent="0.4">
      <c r="A55" s="8">
        <v>6</v>
      </c>
      <c r="B55">
        <v>9922.4414059999999</v>
      </c>
      <c r="C55">
        <v>9850.6308590000008</v>
      </c>
      <c r="D55">
        <v>9313.2050780000009</v>
      </c>
      <c r="E55">
        <v>9592.7480469999991</v>
      </c>
      <c r="F55">
        <v>9323.3173829999996</v>
      </c>
      <c r="G55">
        <v>9922.4414059999999</v>
      </c>
      <c r="H55">
        <v>9850.6308590000008</v>
      </c>
      <c r="I55">
        <v>9313.2050780000009</v>
      </c>
      <c r="J55">
        <v>9592.7480469999991</v>
      </c>
      <c r="K55">
        <v>9323.3173829999996</v>
      </c>
      <c r="L55">
        <v>9922.4414059999999</v>
      </c>
      <c r="M55">
        <v>9850.6308590000008</v>
      </c>
      <c r="N55">
        <v>9313.2050780000009</v>
      </c>
      <c r="O55">
        <v>9592.7480469999991</v>
      </c>
      <c r="P55">
        <v>9323.3173829999996</v>
      </c>
    </row>
    <row r="56" spans="1:16" ht="13.15" x14ac:dyDescent="0.4">
      <c r="A56" s="8">
        <v>7</v>
      </c>
      <c r="B56">
        <v>8671.9589840000008</v>
      </c>
      <c r="C56">
        <v>8575.4453119999998</v>
      </c>
      <c r="D56">
        <v>8127.3159180000002</v>
      </c>
      <c r="E56">
        <v>8358.9677730000003</v>
      </c>
      <c r="F56">
        <v>8116.9267579999996</v>
      </c>
      <c r="G56">
        <v>8671.9589840000008</v>
      </c>
      <c r="H56">
        <v>8575.4453119999998</v>
      </c>
      <c r="I56">
        <v>8127.3159180000002</v>
      </c>
      <c r="J56">
        <v>8358.9677730000003</v>
      </c>
      <c r="K56">
        <v>8116.9267579999996</v>
      </c>
      <c r="L56">
        <v>8671.9589840000008</v>
      </c>
      <c r="M56">
        <v>8575.4453119999998</v>
      </c>
      <c r="N56">
        <v>8127.3159180000002</v>
      </c>
      <c r="O56">
        <v>8358.9677730000003</v>
      </c>
      <c r="P56">
        <v>8116.9267579999996</v>
      </c>
    </row>
    <row r="57" spans="1:16" ht="13.15" x14ac:dyDescent="0.4">
      <c r="A57" s="8">
        <v>8</v>
      </c>
      <c r="B57">
        <v>7569.9770509999998</v>
      </c>
      <c r="C57">
        <v>7458.7739259999998</v>
      </c>
      <c r="D57">
        <v>7061.8422849999997</v>
      </c>
      <c r="E57">
        <v>7278.4101559999999</v>
      </c>
      <c r="F57">
        <v>7044.4360349999997</v>
      </c>
      <c r="G57">
        <v>7569.9770509999998</v>
      </c>
      <c r="H57">
        <v>7458.7739259999998</v>
      </c>
      <c r="I57">
        <v>7061.8422849999997</v>
      </c>
      <c r="J57">
        <v>7278.4101559999999</v>
      </c>
      <c r="K57">
        <v>7044.4360349999997</v>
      </c>
      <c r="L57">
        <v>7569.9770509999998</v>
      </c>
      <c r="M57">
        <v>7458.7739259999998</v>
      </c>
      <c r="N57">
        <v>7061.8422849999997</v>
      </c>
      <c r="O57">
        <v>7278.4101559999999</v>
      </c>
      <c r="P57">
        <v>7044.4360349999997</v>
      </c>
    </row>
    <row r="58" spans="1:16" ht="13.15" x14ac:dyDescent="0.4">
      <c r="A58" s="8">
        <v>9</v>
      </c>
      <c r="B58">
        <v>6586.9248049999997</v>
      </c>
      <c r="C58">
        <v>6473.6284180000002</v>
      </c>
      <c r="D58">
        <v>6130.3330079999996</v>
      </c>
      <c r="E58">
        <v>6320.7119140000004</v>
      </c>
      <c r="F58">
        <v>6114.1987300000001</v>
      </c>
      <c r="G58">
        <v>6586.9248049999997</v>
      </c>
      <c r="H58">
        <v>6473.6284180000002</v>
      </c>
      <c r="I58">
        <v>6130.3330079999996</v>
      </c>
      <c r="J58">
        <v>6320.7119140000004</v>
      </c>
      <c r="K58">
        <v>6114.1987300000001</v>
      </c>
      <c r="L58">
        <v>6586.9248049999997</v>
      </c>
      <c r="M58">
        <v>6473.6284180000002</v>
      </c>
      <c r="N58">
        <v>6130.3330079999996</v>
      </c>
      <c r="O58">
        <v>6320.7119140000004</v>
      </c>
      <c r="P58">
        <v>6114.1987300000001</v>
      </c>
    </row>
    <row r="59" spans="1:16" ht="13.15" x14ac:dyDescent="0.4">
      <c r="A59" s="8">
        <v>10</v>
      </c>
      <c r="B59">
        <v>5658.7919920000004</v>
      </c>
      <c r="C59">
        <v>5542.578125</v>
      </c>
      <c r="D59">
        <v>5241.3583980000003</v>
      </c>
      <c r="E59">
        <v>5390.3164059999999</v>
      </c>
      <c r="F59">
        <v>5217.0244140000004</v>
      </c>
      <c r="G59">
        <v>5658.7919920000004</v>
      </c>
      <c r="H59">
        <v>5542.578125</v>
      </c>
      <c r="I59">
        <v>5241.3583980000003</v>
      </c>
      <c r="J59">
        <v>5390.3164059999999</v>
      </c>
      <c r="K59">
        <v>5217.0244140000004</v>
      </c>
      <c r="L59">
        <v>5658.7919920000004</v>
      </c>
      <c r="M59">
        <v>5542.578125</v>
      </c>
      <c r="N59">
        <v>5241.3583980000003</v>
      </c>
      <c r="O59">
        <v>5390.3164059999999</v>
      </c>
      <c r="P59">
        <v>5217.0244140000004</v>
      </c>
    </row>
    <row r="60" spans="1:16" ht="13.15" x14ac:dyDescent="0.4">
      <c r="A60" s="8">
        <v>11</v>
      </c>
      <c r="B60">
        <v>4823.6010740000002</v>
      </c>
      <c r="C60">
        <v>4705.1040039999998</v>
      </c>
      <c r="D60">
        <v>4447.1132809999999</v>
      </c>
      <c r="E60">
        <v>4590.4301759999998</v>
      </c>
      <c r="F60">
        <v>4430.5703119999998</v>
      </c>
      <c r="G60">
        <v>4823.6010740000002</v>
      </c>
      <c r="H60">
        <v>4705.1040039999998</v>
      </c>
      <c r="I60">
        <v>4447.1132809999999</v>
      </c>
      <c r="J60">
        <v>4590.4301759999998</v>
      </c>
      <c r="K60">
        <v>4430.5703119999998</v>
      </c>
      <c r="L60">
        <v>4823.6010740000002</v>
      </c>
      <c r="M60">
        <v>4705.1040039999998</v>
      </c>
      <c r="N60">
        <v>4447.1132809999999</v>
      </c>
      <c r="O60">
        <v>4590.4301759999998</v>
      </c>
      <c r="P60">
        <v>4430.5703119999998</v>
      </c>
    </row>
    <row r="61" spans="1:16" ht="13.15" x14ac:dyDescent="0.4">
      <c r="A61" s="8">
        <v>12</v>
      </c>
      <c r="B61">
        <v>4052.2907709999999</v>
      </c>
      <c r="C61">
        <v>3942.4677729999999</v>
      </c>
      <c r="D61">
        <v>3703.1784670000002</v>
      </c>
      <c r="E61">
        <v>3827.2612300000001</v>
      </c>
      <c r="F61">
        <v>3675.7670899999998</v>
      </c>
      <c r="G61">
        <v>4052.2907709999999</v>
      </c>
      <c r="H61">
        <v>3942.4677729999999</v>
      </c>
      <c r="I61">
        <v>3703.1784670000002</v>
      </c>
      <c r="J61">
        <v>3827.2612300000001</v>
      </c>
      <c r="K61">
        <v>3675.7670899999998</v>
      </c>
      <c r="L61">
        <v>4052.2907709999999</v>
      </c>
      <c r="M61">
        <v>3942.4677729999999</v>
      </c>
      <c r="N61">
        <v>3703.1784670000002</v>
      </c>
      <c r="O61">
        <v>3827.2612300000001</v>
      </c>
      <c r="P61">
        <v>3675.7670899999998</v>
      </c>
    </row>
    <row r="62" spans="1:16" ht="13.15" x14ac:dyDescent="0.4">
      <c r="A62" s="8">
        <v>13</v>
      </c>
      <c r="B62">
        <v>3367.008789</v>
      </c>
      <c r="C62">
        <v>3259.1477049999999</v>
      </c>
      <c r="D62">
        <v>3081.5439449999999</v>
      </c>
      <c r="E62">
        <v>3162.474365</v>
      </c>
      <c r="F62">
        <v>3043.8034670000002</v>
      </c>
      <c r="G62">
        <v>3367.008789</v>
      </c>
      <c r="H62">
        <v>3259.1477049999999</v>
      </c>
      <c r="I62">
        <v>3081.5439449999999</v>
      </c>
      <c r="J62">
        <v>3162.474365</v>
      </c>
      <c r="K62">
        <v>3043.8034670000002</v>
      </c>
      <c r="L62">
        <v>3367.008789</v>
      </c>
      <c r="M62">
        <v>3259.1477049999999</v>
      </c>
      <c r="N62">
        <v>3081.5439449999999</v>
      </c>
      <c r="O62">
        <v>3162.474365</v>
      </c>
      <c r="P62">
        <v>3043.8034670000002</v>
      </c>
    </row>
    <row r="63" spans="1:16" ht="13.15" x14ac:dyDescent="0.4">
      <c r="A63" s="8">
        <v>14</v>
      </c>
      <c r="B63">
        <v>2748.0405270000001</v>
      </c>
      <c r="C63">
        <v>2656.9111330000001</v>
      </c>
      <c r="D63">
        <v>2502.679443</v>
      </c>
      <c r="E63">
        <v>2571.0034179999998</v>
      </c>
      <c r="F63">
        <v>2473.4948730000001</v>
      </c>
      <c r="G63">
        <v>2748.0405270000001</v>
      </c>
      <c r="H63">
        <v>2656.9111330000001</v>
      </c>
      <c r="I63">
        <v>2502.679443</v>
      </c>
      <c r="J63">
        <v>2571.0034179999998</v>
      </c>
      <c r="K63">
        <v>2473.4948730000001</v>
      </c>
      <c r="L63">
        <v>2748.0405270000001</v>
      </c>
      <c r="M63">
        <v>2656.9111330000001</v>
      </c>
      <c r="N63">
        <v>2502.679443</v>
      </c>
      <c r="O63">
        <v>2571.0034179999998</v>
      </c>
      <c r="P63">
        <v>2473.4948730000001</v>
      </c>
    </row>
    <row r="64" spans="1:16" ht="13.15" x14ac:dyDescent="0.4">
      <c r="A64" s="8">
        <v>15</v>
      </c>
      <c r="B64">
        <v>2193.0812989999999</v>
      </c>
      <c r="C64">
        <v>2112.6591800000001</v>
      </c>
      <c r="D64">
        <v>1992.976807</v>
      </c>
      <c r="E64">
        <v>2039.6682129999999</v>
      </c>
      <c r="F64">
        <v>1945.3092039999999</v>
      </c>
      <c r="G64">
        <v>2193.0812989999999</v>
      </c>
      <c r="H64">
        <v>2112.6591800000001</v>
      </c>
      <c r="I64">
        <v>1992.976807</v>
      </c>
      <c r="J64">
        <v>2039.6682129999999</v>
      </c>
      <c r="K64">
        <v>1945.3092039999999</v>
      </c>
      <c r="L64">
        <v>2193.0812989999999</v>
      </c>
      <c r="M64">
        <v>2112.6591800000001</v>
      </c>
      <c r="N64">
        <v>1992.976807</v>
      </c>
      <c r="O64">
        <v>2039.6682129999999</v>
      </c>
      <c r="P64">
        <v>1945.3092039999999</v>
      </c>
    </row>
    <row r="65" spans="1:16" ht="13.15" x14ac:dyDescent="0.4">
      <c r="A65" s="8">
        <v>16</v>
      </c>
      <c r="B65">
        <v>1726.4545900000001</v>
      </c>
      <c r="C65">
        <v>1663.1623540000001</v>
      </c>
      <c r="D65">
        <v>1566.221802</v>
      </c>
      <c r="E65">
        <v>1610.1281739999999</v>
      </c>
      <c r="F65">
        <v>1525.2551269999999</v>
      </c>
      <c r="G65">
        <v>1726.4545900000001</v>
      </c>
      <c r="H65">
        <v>1663.1623540000001</v>
      </c>
      <c r="I65">
        <v>1566.221802</v>
      </c>
      <c r="J65">
        <v>1610.1281739999999</v>
      </c>
      <c r="K65">
        <v>1525.2551269999999</v>
      </c>
      <c r="L65">
        <v>1726.4545900000001</v>
      </c>
      <c r="M65">
        <v>1663.1623540000001</v>
      </c>
      <c r="N65">
        <v>1566.221802</v>
      </c>
      <c r="O65">
        <v>1610.1281739999999</v>
      </c>
      <c r="P65">
        <v>1525.2551269999999</v>
      </c>
    </row>
    <row r="66" spans="1:16" ht="13.15" x14ac:dyDescent="0.4">
      <c r="A66" s="8">
        <v>17</v>
      </c>
      <c r="B66">
        <v>1346.1123050000001</v>
      </c>
      <c r="C66">
        <v>1285.7923579999999</v>
      </c>
      <c r="D66">
        <v>1210.9853519999999</v>
      </c>
      <c r="E66">
        <v>1246.7254640000001</v>
      </c>
      <c r="F66">
        <v>1162.9731449999999</v>
      </c>
      <c r="G66">
        <v>1346.1123050000001</v>
      </c>
      <c r="H66">
        <v>1285.7923579999999</v>
      </c>
      <c r="I66">
        <v>1210.9853519999999</v>
      </c>
      <c r="J66">
        <v>1246.7254640000001</v>
      </c>
      <c r="K66">
        <v>1162.9731449999999</v>
      </c>
      <c r="L66">
        <v>1346.1123050000001</v>
      </c>
      <c r="M66">
        <v>1285.7923579999999</v>
      </c>
      <c r="N66">
        <v>1210.9853519999999</v>
      </c>
      <c r="O66">
        <v>1246.7254640000001</v>
      </c>
      <c r="P66">
        <v>1162.9731449999999</v>
      </c>
    </row>
    <row r="67" spans="1:16" ht="13.15" x14ac:dyDescent="0.4">
      <c r="A67" s="8">
        <v>18</v>
      </c>
      <c r="B67">
        <v>1032.8515620000001</v>
      </c>
      <c r="C67">
        <v>978.30999799999995</v>
      </c>
      <c r="D67">
        <v>925.97131300000001</v>
      </c>
      <c r="E67">
        <v>954.40283199999999</v>
      </c>
      <c r="F67">
        <v>880.58392300000003</v>
      </c>
      <c r="G67">
        <v>1032.8515620000001</v>
      </c>
      <c r="H67">
        <v>978.30999799999995</v>
      </c>
      <c r="I67">
        <v>925.97131300000001</v>
      </c>
      <c r="J67">
        <v>954.40283199999999</v>
      </c>
      <c r="K67">
        <v>880.58392300000003</v>
      </c>
      <c r="L67">
        <v>1032.8515620000001</v>
      </c>
      <c r="M67">
        <v>978.30999799999995</v>
      </c>
      <c r="N67">
        <v>925.97131300000001</v>
      </c>
      <c r="O67">
        <v>954.40283199999999</v>
      </c>
      <c r="P67">
        <v>880.58392300000003</v>
      </c>
    </row>
    <row r="68" spans="1:16" ht="13.15" x14ac:dyDescent="0.4">
      <c r="A68" s="8">
        <v>19</v>
      </c>
      <c r="B68">
        <v>797.80993699999999</v>
      </c>
      <c r="C68">
        <v>751.08654799999999</v>
      </c>
      <c r="D68">
        <v>709.76605199999995</v>
      </c>
      <c r="E68">
        <v>727.98223900000005</v>
      </c>
      <c r="F68">
        <v>665.37976100000003</v>
      </c>
      <c r="G68">
        <v>797.80993699999999</v>
      </c>
      <c r="H68">
        <v>751.08654799999999</v>
      </c>
      <c r="I68">
        <v>709.76605199999995</v>
      </c>
      <c r="J68">
        <v>727.98223900000005</v>
      </c>
      <c r="K68">
        <v>665.37976100000003</v>
      </c>
      <c r="L68">
        <v>797.80993699999999</v>
      </c>
      <c r="M68">
        <v>751.08654799999999</v>
      </c>
      <c r="N68">
        <v>709.76605199999995</v>
      </c>
      <c r="O68">
        <v>727.98223900000005</v>
      </c>
      <c r="P68">
        <v>665.37976100000003</v>
      </c>
    </row>
    <row r="69" spans="1:16" ht="13.15" x14ac:dyDescent="0.4">
      <c r="A69" s="8">
        <v>20</v>
      </c>
      <c r="B69">
        <v>610.519226</v>
      </c>
      <c r="C69">
        <v>568.64782700000001</v>
      </c>
      <c r="D69">
        <v>537.74438499999997</v>
      </c>
      <c r="E69">
        <v>552.87109399999997</v>
      </c>
      <c r="F69">
        <v>502.77056900000002</v>
      </c>
      <c r="G69">
        <v>610.519226</v>
      </c>
      <c r="H69">
        <v>568.64782700000001</v>
      </c>
      <c r="I69">
        <v>537.74438499999997</v>
      </c>
      <c r="J69">
        <v>552.87109399999997</v>
      </c>
      <c r="K69">
        <v>502.77056900000002</v>
      </c>
      <c r="L69">
        <v>610.519226</v>
      </c>
      <c r="M69">
        <v>568.64782700000001</v>
      </c>
      <c r="N69">
        <v>537.74438499999997</v>
      </c>
      <c r="O69">
        <v>552.87109399999997</v>
      </c>
      <c r="P69">
        <v>502.77056900000002</v>
      </c>
    </row>
    <row r="70" spans="1:16" ht="13.15" x14ac:dyDescent="0.4">
      <c r="A70" s="8">
        <v>21</v>
      </c>
      <c r="B70">
        <v>471.87539700000002</v>
      </c>
      <c r="C70">
        <v>432.17236300000002</v>
      </c>
      <c r="D70">
        <v>413.67672700000003</v>
      </c>
      <c r="E70">
        <v>428.12792999999999</v>
      </c>
      <c r="F70">
        <v>375.930725</v>
      </c>
      <c r="G70">
        <v>471.87539700000002</v>
      </c>
      <c r="H70">
        <v>432.17236300000002</v>
      </c>
      <c r="I70">
        <v>413.67672700000003</v>
      </c>
      <c r="J70">
        <v>428.12792999999999</v>
      </c>
      <c r="K70">
        <v>375.930725</v>
      </c>
      <c r="L70">
        <v>471.87539700000002</v>
      </c>
      <c r="M70">
        <v>432.17236300000002</v>
      </c>
      <c r="N70">
        <v>413.67672700000003</v>
      </c>
      <c r="O70">
        <v>428.12792999999999</v>
      </c>
      <c r="P70">
        <v>375.930725</v>
      </c>
    </row>
    <row r="71" spans="1:16" ht="13.15" x14ac:dyDescent="0.4">
      <c r="A71" s="8">
        <v>22</v>
      </c>
      <c r="B71">
        <v>362.67581200000001</v>
      </c>
      <c r="C71">
        <v>338.124481</v>
      </c>
      <c r="D71">
        <v>318.94699100000003</v>
      </c>
      <c r="E71">
        <v>328.56875600000001</v>
      </c>
      <c r="F71">
        <v>283.33056599999998</v>
      </c>
      <c r="G71">
        <v>362.67581200000001</v>
      </c>
      <c r="H71">
        <v>338.124481</v>
      </c>
      <c r="I71">
        <v>318.94699100000003</v>
      </c>
      <c r="J71">
        <v>328.56875600000001</v>
      </c>
      <c r="K71">
        <v>283.33056599999998</v>
      </c>
      <c r="L71">
        <v>362.67581200000001</v>
      </c>
      <c r="M71">
        <v>338.124481</v>
      </c>
      <c r="N71">
        <v>318.94699100000003</v>
      </c>
      <c r="O71">
        <v>328.56875600000001</v>
      </c>
      <c r="P71">
        <v>283.33056599999998</v>
      </c>
    </row>
    <row r="72" spans="1:16" ht="13.15" x14ac:dyDescent="0.4">
      <c r="A72" s="8">
        <v>23</v>
      </c>
      <c r="B72">
        <v>277.287598</v>
      </c>
      <c r="C72">
        <v>260.81195100000002</v>
      </c>
      <c r="D72">
        <v>240.123367</v>
      </c>
      <c r="E72">
        <v>252.192993</v>
      </c>
      <c r="F72">
        <v>213.43924000000001</v>
      </c>
      <c r="G72">
        <v>277.287598</v>
      </c>
      <c r="H72">
        <v>260.81195100000002</v>
      </c>
      <c r="I72">
        <v>240.123367</v>
      </c>
      <c r="J72">
        <v>252.192993</v>
      </c>
      <c r="K72">
        <v>213.43924000000001</v>
      </c>
      <c r="L72">
        <v>277.287598</v>
      </c>
      <c r="M72">
        <v>260.81195100000002</v>
      </c>
      <c r="N72">
        <v>240.123367</v>
      </c>
      <c r="O72">
        <v>252.192993</v>
      </c>
      <c r="P72">
        <v>213.43924000000001</v>
      </c>
    </row>
    <row r="73" spans="1:16" ht="13.15" x14ac:dyDescent="0.4">
      <c r="A73" s="8">
        <v>24</v>
      </c>
      <c r="B73">
        <v>211.998276</v>
      </c>
      <c r="C73">
        <v>201.649002</v>
      </c>
      <c r="D73">
        <v>181.447495</v>
      </c>
      <c r="E73">
        <v>192.99884</v>
      </c>
      <c r="F73">
        <v>157.43202199999999</v>
      </c>
      <c r="G73">
        <v>211.998276</v>
      </c>
      <c r="H73">
        <v>201.649002</v>
      </c>
      <c r="I73">
        <v>181.447495</v>
      </c>
      <c r="J73">
        <v>192.99884</v>
      </c>
      <c r="K73">
        <v>157.43202199999999</v>
      </c>
      <c r="L73">
        <v>211.998276</v>
      </c>
      <c r="M73">
        <v>201.649002</v>
      </c>
      <c r="N73">
        <v>181.447495</v>
      </c>
      <c r="O73">
        <v>192.99884</v>
      </c>
      <c r="P73">
        <v>157.43202199999999</v>
      </c>
    </row>
    <row r="74" spans="1:16" ht="13.15" x14ac:dyDescent="0.4">
      <c r="A74" s="8">
        <v>25</v>
      </c>
      <c r="B74">
        <v>154.39004499999999</v>
      </c>
      <c r="C74">
        <v>156.98216199999999</v>
      </c>
      <c r="D74">
        <v>137.97079500000001</v>
      </c>
      <c r="E74">
        <v>146.04364000000001</v>
      </c>
      <c r="F74">
        <v>117.42688</v>
      </c>
      <c r="G74">
        <v>154.39004499999999</v>
      </c>
      <c r="H74">
        <v>156.98216199999999</v>
      </c>
      <c r="I74">
        <v>137.97079500000001</v>
      </c>
      <c r="J74">
        <v>146.04364000000001</v>
      </c>
      <c r="K74">
        <v>117.42688</v>
      </c>
      <c r="L74">
        <v>154.39004499999999</v>
      </c>
      <c r="M74">
        <v>156.98216199999999</v>
      </c>
      <c r="N74">
        <v>137.97079500000001</v>
      </c>
      <c r="O74">
        <v>146.04364000000001</v>
      </c>
      <c r="P74">
        <v>117.42688</v>
      </c>
    </row>
    <row r="75" spans="1:16" ht="13.15" x14ac:dyDescent="0.4">
      <c r="A75" s="8">
        <v>26</v>
      </c>
      <c r="B75">
        <v>116.752678</v>
      </c>
      <c r="C75">
        <v>118.915161</v>
      </c>
      <c r="D75">
        <v>107.925911</v>
      </c>
      <c r="E75">
        <v>109.915192</v>
      </c>
      <c r="F75">
        <v>87.893660999999994</v>
      </c>
      <c r="G75">
        <v>116.752678</v>
      </c>
      <c r="H75">
        <v>118.915161</v>
      </c>
      <c r="I75">
        <v>107.925911</v>
      </c>
      <c r="J75">
        <v>109.915192</v>
      </c>
      <c r="K75">
        <v>87.893660999999994</v>
      </c>
      <c r="L75">
        <v>116.752678</v>
      </c>
      <c r="M75">
        <v>118.915161</v>
      </c>
      <c r="N75">
        <v>107.925911</v>
      </c>
      <c r="O75">
        <v>109.915192</v>
      </c>
      <c r="P75">
        <v>87.893660999999994</v>
      </c>
    </row>
    <row r="76" spans="1:16" ht="13.15" x14ac:dyDescent="0.4">
      <c r="A76" s="8">
        <v>27</v>
      </c>
      <c r="B76">
        <v>84.492064999999997</v>
      </c>
      <c r="C76">
        <v>89.922966000000002</v>
      </c>
      <c r="D76">
        <v>78.470153999999994</v>
      </c>
      <c r="E76">
        <v>79.788544000000002</v>
      </c>
      <c r="F76">
        <v>64.008240000000001</v>
      </c>
      <c r="G76">
        <v>84.492064999999997</v>
      </c>
      <c r="H76">
        <v>89.922966000000002</v>
      </c>
      <c r="I76">
        <v>78.470153999999994</v>
      </c>
      <c r="J76">
        <v>79.788544000000002</v>
      </c>
      <c r="K76">
        <v>64.008240000000001</v>
      </c>
      <c r="L76">
        <v>84.492064999999997</v>
      </c>
      <c r="M76">
        <v>89.922966000000002</v>
      </c>
      <c r="N76">
        <v>78.470153999999994</v>
      </c>
      <c r="O76">
        <v>79.788544000000002</v>
      </c>
      <c r="P76">
        <v>64.008240000000001</v>
      </c>
    </row>
    <row r="77" spans="1:16" ht="13.15" x14ac:dyDescent="0.4">
      <c r="A77" s="8">
        <v>28</v>
      </c>
      <c r="B77">
        <v>61.064720000000001</v>
      </c>
      <c r="C77">
        <v>69.298430999999994</v>
      </c>
      <c r="D77">
        <v>60.678871000000001</v>
      </c>
      <c r="E77">
        <v>56.016734999999997</v>
      </c>
      <c r="F77">
        <v>47.064880000000002</v>
      </c>
      <c r="G77">
        <v>61.064720000000001</v>
      </c>
      <c r="H77">
        <v>69.298430999999994</v>
      </c>
      <c r="I77">
        <v>60.678871000000001</v>
      </c>
      <c r="J77">
        <v>56.016734999999997</v>
      </c>
      <c r="K77">
        <v>47.064880000000002</v>
      </c>
      <c r="L77">
        <v>61.064720000000001</v>
      </c>
      <c r="M77">
        <v>69.298430999999994</v>
      </c>
      <c r="N77">
        <v>60.678871000000001</v>
      </c>
      <c r="O77">
        <v>56.016734999999997</v>
      </c>
      <c r="P77">
        <v>47.064880000000002</v>
      </c>
    </row>
    <row r="78" spans="1:16" ht="13.15" x14ac:dyDescent="0.4">
      <c r="A78" s="8">
        <v>29</v>
      </c>
      <c r="B78">
        <v>46.086582</v>
      </c>
      <c r="C78">
        <v>51.266697000000001</v>
      </c>
      <c r="D78">
        <v>42.769767999999999</v>
      </c>
      <c r="E78">
        <v>41.306457999999999</v>
      </c>
      <c r="F78">
        <v>32.121780000000001</v>
      </c>
      <c r="G78">
        <v>46.086582</v>
      </c>
      <c r="H78">
        <v>51.266697000000001</v>
      </c>
      <c r="I78">
        <v>42.769767999999999</v>
      </c>
      <c r="J78">
        <v>41.306457999999999</v>
      </c>
      <c r="K78">
        <v>32.121780000000001</v>
      </c>
      <c r="L78">
        <v>46.086582</v>
      </c>
      <c r="M78">
        <v>51.266697000000001</v>
      </c>
      <c r="N78">
        <v>42.769767999999999</v>
      </c>
      <c r="O78">
        <v>41.306457999999999</v>
      </c>
      <c r="P78">
        <v>32.121780000000001</v>
      </c>
    </row>
    <row r="79" spans="1:16" ht="13.15" x14ac:dyDescent="0.4">
      <c r="A79" s="8">
        <v>30</v>
      </c>
      <c r="B79">
        <v>35.973137000000001</v>
      </c>
      <c r="C79">
        <v>37.006306000000002</v>
      </c>
      <c r="D79">
        <v>30.751816000000002</v>
      </c>
      <c r="E79">
        <v>28.832144</v>
      </c>
      <c r="F79">
        <v>20.943871999999999</v>
      </c>
      <c r="G79">
        <v>35.973137000000001</v>
      </c>
      <c r="H79">
        <v>37.006306000000002</v>
      </c>
      <c r="I79">
        <v>30.751816000000002</v>
      </c>
      <c r="J79">
        <v>28.832144</v>
      </c>
      <c r="K79">
        <v>20.943871999999999</v>
      </c>
      <c r="L79">
        <v>35.973137000000001</v>
      </c>
      <c r="M79">
        <v>37.006306000000002</v>
      </c>
      <c r="N79">
        <v>30.751816000000002</v>
      </c>
      <c r="O79">
        <v>28.832144</v>
      </c>
      <c r="P79">
        <v>20.943871999999999</v>
      </c>
    </row>
    <row r="80" spans="1:16" ht="13.15" x14ac:dyDescent="0.4">
      <c r="A80" s="8">
        <v>38</v>
      </c>
      <c r="B80">
        <v>25.731674000000002</v>
      </c>
      <c r="C80">
        <v>25.927983999999999</v>
      </c>
      <c r="D80">
        <v>21.090326000000001</v>
      </c>
      <c r="E80">
        <v>19.652930999999999</v>
      </c>
      <c r="F80">
        <v>14.707775</v>
      </c>
      <c r="G80">
        <v>25.731674000000002</v>
      </c>
      <c r="H80">
        <v>25.927983999999999</v>
      </c>
      <c r="I80">
        <v>21.090326000000001</v>
      </c>
      <c r="J80">
        <v>19.652930999999999</v>
      </c>
      <c r="K80">
        <v>14.707775</v>
      </c>
      <c r="L80">
        <v>25.731674000000002</v>
      </c>
      <c r="M80">
        <v>25.927983999999999</v>
      </c>
      <c r="N80">
        <v>21.090326000000001</v>
      </c>
      <c r="O80">
        <v>19.652930999999999</v>
      </c>
      <c r="P80">
        <v>14.707775</v>
      </c>
    </row>
    <row r="81" spans="1:32" ht="13.15" x14ac:dyDescent="0.4">
      <c r="A81" s="8">
        <v>50</v>
      </c>
      <c r="B81">
        <v>17.282468999999999</v>
      </c>
      <c r="C81">
        <v>17.796026000000001</v>
      </c>
      <c r="D81">
        <v>13.903119999999999</v>
      </c>
      <c r="E81">
        <v>13.76882</v>
      </c>
      <c r="F81">
        <v>9.6483000000000008</v>
      </c>
      <c r="G81">
        <v>17.282468999999999</v>
      </c>
      <c r="H81">
        <v>17.796026000000001</v>
      </c>
      <c r="I81">
        <v>13.903119999999999</v>
      </c>
      <c r="J81">
        <v>13.76882</v>
      </c>
      <c r="K81">
        <v>9.6483000000000008</v>
      </c>
      <c r="L81">
        <v>17.282468999999999</v>
      </c>
      <c r="M81">
        <v>17.796026000000001</v>
      </c>
      <c r="N81">
        <v>13.903119999999999</v>
      </c>
      <c r="O81">
        <v>13.76882</v>
      </c>
      <c r="P81">
        <v>9.6483000000000008</v>
      </c>
    </row>
    <row r="82" spans="1:32" ht="13.15" x14ac:dyDescent="0.4">
      <c r="A82" s="8">
        <v>70</v>
      </c>
      <c r="B82">
        <v>11.521646</v>
      </c>
      <c r="C82">
        <v>11.314030000000001</v>
      </c>
      <c r="D82">
        <v>9.8971359999999997</v>
      </c>
      <c r="E82">
        <v>10.826764000000001</v>
      </c>
      <c r="F82">
        <v>6.4714210000000003</v>
      </c>
      <c r="G82">
        <v>11.521646</v>
      </c>
      <c r="H82">
        <v>11.314030000000001</v>
      </c>
      <c r="I82">
        <v>9.8971359999999997</v>
      </c>
      <c r="J82">
        <v>10.826764000000001</v>
      </c>
      <c r="K82">
        <v>6.4714210000000003</v>
      </c>
      <c r="L82">
        <v>11.521646</v>
      </c>
      <c r="M82">
        <v>11.314030000000001</v>
      </c>
      <c r="N82">
        <v>9.8971359999999997</v>
      </c>
      <c r="O82">
        <v>10.826764000000001</v>
      </c>
      <c r="P82">
        <v>6.4714210000000003</v>
      </c>
    </row>
    <row r="85" spans="1:32" x14ac:dyDescent="0.35">
      <c r="B85" t="s">
        <v>412</v>
      </c>
    </row>
    <row r="86" spans="1:32" x14ac:dyDescent="0.35">
      <c r="A86">
        <v>1</v>
      </c>
      <c r="B86">
        <v>7.8113840000000003</v>
      </c>
      <c r="C86">
        <v>12748.444336</v>
      </c>
      <c r="D86">
        <v>11296.333008</v>
      </c>
      <c r="E86">
        <v>9922.4414059999999</v>
      </c>
      <c r="F86">
        <v>8671.9589840000008</v>
      </c>
      <c r="G86">
        <v>7569.9770509999998</v>
      </c>
      <c r="H86">
        <v>6586.9248049999997</v>
      </c>
      <c r="I86">
        <v>5658.7919920000004</v>
      </c>
      <c r="J86">
        <v>4823.6010740000002</v>
      </c>
      <c r="K86">
        <v>4052.2907709999999</v>
      </c>
      <c r="L86">
        <v>3367.008789</v>
      </c>
      <c r="M86">
        <v>2748.0405270000001</v>
      </c>
      <c r="N86">
        <v>2193.0812989999999</v>
      </c>
      <c r="O86">
        <v>1726.4545900000001</v>
      </c>
      <c r="P86">
        <v>1346.1123050000001</v>
      </c>
      <c r="Q86">
        <v>1032.8515620000001</v>
      </c>
      <c r="R86">
        <v>797.80993699999999</v>
      </c>
      <c r="S86">
        <v>610.519226</v>
      </c>
      <c r="T86">
        <v>471.87539700000002</v>
      </c>
      <c r="U86">
        <v>362.67581200000001</v>
      </c>
      <c r="V86">
        <v>277.287598</v>
      </c>
      <c r="W86">
        <v>211.998276</v>
      </c>
      <c r="X86">
        <v>154.39004499999999</v>
      </c>
      <c r="Y86">
        <v>116.752678</v>
      </c>
      <c r="Z86">
        <v>84.492064999999997</v>
      </c>
      <c r="AA86">
        <v>61.064720000000001</v>
      </c>
      <c r="AB86">
        <v>46.086582</v>
      </c>
      <c r="AC86">
        <v>35.973137000000001</v>
      </c>
      <c r="AD86">
        <v>25.731674000000002</v>
      </c>
      <c r="AE86">
        <v>17.282468999999999</v>
      </c>
      <c r="AF86">
        <v>11.521646</v>
      </c>
    </row>
    <row r="87" spans="1:32" x14ac:dyDescent="0.35">
      <c r="A87">
        <v>2</v>
      </c>
      <c r="B87">
        <v>8.4850410000000007</v>
      </c>
      <c r="C87">
        <v>12757.982421999999</v>
      </c>
      <c r="D87">
        <v>11251.212890999999</v>
      </c>
      <c r="E87">
        <v>9850.6308590000008</v>
      </c>
      <c r="F87">
        <v>8575.4453119999998</v>
      </c>
      <c r="G87">
        <v>7458.7739259999998</v>
      </c>
      <c r="H87">
        <v>6473.6284180000002</v>
      </c>
      <c r="I87">
        <v>5542.578125</v>
      </c>
      <c r="J87">
        <v>4705.1040039999998</v>
      </c>
      <c r="K87">
        <v>3942.4677729999999</v>
      </c>
      <c r="L87">
        <v>3259.1477049999999</v>
      </c>
      <c r="M87">
        <v>2656.9111330000001</v>
      </c>
      <c r="N87">
        <v>2112.6591800000001</v>
      </c>
      <c r="O87">
        <v>1663.1623540000001</v>
      </c>
      <c r="P87">
        <v>1285.7923579999999</v>
      </c>
      <c r="Q87">
        <v>978.30999799999995</v>
      </c>
      <c r="R87">
        <v>751.08654799999999</v>
      </c>
      <c r="S87">
        <v>568.64782700000001</v>
      </c>
      <c r="T87">
        <v>432.17236300000002</v>
      </c>
      <c r="U87">
        <v>338.124481</v>
      </c>
      <c r="V87">
        <v>260.81195100000002</v>
      </c>
      <c r="W87">
        <v>201.649002</v>
      </c>
      <c r="X87">
        <v>156.98216199999999</v>
      </c>
      <c r="Y87">
        <v>118.915161</v>
      </c>
      <c r="Z87">
        <v>89.922966000000002</v>
      </c>
      <c r="AA87">
        <v>69.298430999999994</v>
      </c>
      <c r="AB87">
        <v>51.266697000000001</v>
      </c>
      <c r="AC87">
        <v>37.006306000000002</v>
      </c>
      <c r="AD87">
        <v>25.927983999999999</v>
      </c>
      <c r="AE87">
        <v>17.796026000000001</v>
      </c>
      <c r="AF87">
        <v>11.314030000000001</v>
      </c>
    </row>
    <row r="88" spans="1:32" x14ac:dyDescent="0.35">
      <c r="A88">
        <v>3</v>
      </c>
      <c r="B88">
        <v>8.487304</v>
      </c>
      <c r="C88">
        <v>12023.959961</v>
      </c>
      <c r="D88">
        <v>10640.127930000001</v>
      </c>
      <c r="E88">
        <v>9313.2050780000009</v>
      </c>
      <c r="F88">
        <v>8127.3159180000002</v>
      </c>
      <c r="G88">
        <v>7061.8422849999997</v>
      </c>
      <c r="H88">
        <v>6130.3330079999996</v>
      </c>
      <c r="I88">
        <v>5241.3583980000003</v>
      </c>
      <c r="J88">
        <v>4447.1132809999999</v>
      </c>
      <c r="K88">
        <v>3703.1784670000002</v>
      </c>
      <c r="L88">
        <v>3081.5439449999999</v>
      </c>
      <c r="M88">
        <v>2502.679443</v>
      </c>
      <c r="N88">
        <v>1992.976807</v>
      </c>
      <c r="O88">
        <v>1566.221802</v>
      </c>
      <c r="P88">
        <v>1210.9853519999999</v>
      </c>
      <c r="Q88">
        <v>925.97131300000001</v>
      </c>
      <c r="R88">
        <v>709.76605199999995</v>
      </c>
      <c r="S88">
        <v>537.74438499999997</v>
      </c>
      <c r="T88">
        <v>413.67672700000003</v>
      </c>
      <c r="U88">
        <v>318.94699100000003</v>
      </c>
      <c r="V88">
        <v>240.123367</v>
      </c>
      <c r="W88">
        <v>181.447495</v>
      </c>
      <c r="X88">
        <v>137.97079500000001</v>
      </c>
      <c r="Y88">
        <v>107.925911</v>
      </c>
      <c r="Z88">
        <v>78.470153999999994</v>
      </c>
      <c r="AA88">
        <v>60.678871000000001</v>
      </c>
      <c r="AB88">
        <v>42.769767999999999</v>
      </c>
      <c r="AC88">
        <v>30.751816000000002</v>
      </c>
      <c r="AD88">
        <v>21.090326000000001</v>
      </c>
      <c r="AE88">
        <v>13.903119999999999</v>
      </c>
      <c r="AF88">
        <v>9.8971359999999997</v>
      </c>
    </row>
    <row r="89" spans="1:32" x14ac:dyDescent="0.35">
      <c r="A89">
        <v>4</v>
      </c>
      <c r="B89">
        <v>8.4974600000000002</v>
      </c>
      <c r="C89">
        <v>12393.349609000001</v>
      </c>
      <c r="D89">
        <v>10945.741211</v>
      </c>
      <c r="E89">
        <v>9592.7480469999991</v>
      </c>
      <c r="F89">
        <v>8358.9677730000003</v>
      </c>
      <c r="G89">
        <v>7278.4101559999999</v>
      </c>
      <c r="H89">
        <v>6320.7119140000004</v>
      </c>
      <c r="I89">
        <v>5390.3164059999999</v>
      </c>
      <c r="J89">
        <v>4590.4301759999998</v>
      </c>
      <c r="K89">
        <v>3827.2612300000001</v>
      </c>
      <c r="L89">
        <v>3162.474365</v>
      </c>
      <c r="M89">
        <v>2571.0034179999998</v>
      </c>
      <c r="N89">
        <v>2039.6682129999999</v>
      </c>
      <c r="O89">
        <v>1610.1281739999999</v>
      </c>
      <c r="P89">
        <v>1246.7254640000001</v>
      </c>
      <c r="Q89">
        <v>954.40283199999999</v>
      </c>
      <c r="R89">
        <v>727.98223900000005</v>
      </c>
      <c r="S89">
        <v>552.87109399999997</v>
      </c>
      <c r="T89">
        <v>428.12792999999999</v>
      </c>
      <c r="U89">
        <v>328.56875600000001</v>
      </c>
      <c r="V89">
        <v>252.192993</v>
      </c>
      <c r="W89">
        <v>192.99884</v>
      </c>
      <c r="X89">
        <v>146.04364000000001</v>
      </c>
      <c r="Y89">
        <v>109.915192</v>
      </c>
      <c r="Z89">
        <v>79.788544000000002</v>
      </c>
      <c r="AA89">
        <v>56.016734999999997</v>
      </c>
      <c r="AB89">
        <v>41.306457999999999</v>
      </c>
      <c r="AC89">
        <v>28.832144</v>
      </c>
      <c r="AD89">
        <v>19.652930999999999</v>
      </c>
      <c r="AE89">
        <v>13.76882</v>
      </c>
      <c r="AF89">
        <v>10.826764000000001</v>
      </c>
    </row>
    <row r="90" spans="1:32" x14ac:dyDescent="0.35">
      <c r="A90">
        <v>5</v>
      </c>
      <c r="B90">
        <v>8.4989059999999998</v>
      </c>
      <c r="C90">
        <v>12082.966796999999</v>
      </c>
      <c r="D90">
        <v>10661.842773</v>
      </c>
      <c r="E90">
        <v>9323.3173829999996</v>
      </c>
      <c r="F90">
        <v>8116.9267579999996</v>
      </c>
      <c r="G90">
        <v>7044.4360349999997</v>
      </c>
      <c r="H90">
        <v>6114.1987300000001</v>
      </c>
      <c r="I90">
        <v>5217.0244140000004</v>
      </c>
      <c r="J90">
        <v>4430.5703119999998</v>
      </c>
      <c r="K90">
        <v>3675.7670899999998</v>
      </c>
      <c r="L90">
        <v>3043.8034670000002</v>
      </c>
      <c r="M90">
        <v>2473.4948730000001</v>
      </c>
      <c r="N90">
        <v>1945.3092039999999</v>
      </c>
      <c r="O90">
        <v>1525.2551269999999</v>
      </c>
      <c r="P90">
        <v>1162.9731449999999</v>
      </c>
      <c r="Q90">
        <v>880.58392300000003</v>
      </c>
      <c r="R90">
        <v>665.37976100000003</v>
      </c>
      <c r="S90">
        <v>502.77056900000002</v>
      </c>
      <c r="T90">
        <v>375.930725</v>
      </c>
      <c r="U90">
        <v>283.33056599999998</v>
      </c>
      <c r="V90">
        <v>213.43924000000001</v>
      </c>
      <c r="W90">
        <v>157.43202199999999</v>
      </c>
      <c r="X90">
        <v>117.42688</v>
      </c>
      <c r="Y90">
        <v>87.893660999999994</v>
      </c>
      <c r="Z90">
        <v>64.008240000000001</v>
      </c>
      <c r="AA90">
        <v>47.064880000000002</v>
      </c>
      <c r="AB90">
        <v>32.121780000000001</v>
      </c>
      <c r="AC90">
        <v>20.943871999999999</v>
      </c>
      <c r="AD90">
        <v>14.707775</v>
      </c>
      <c r="AE90">
        <v>9.6483000000000008</v>
      </c>
      <c r="AF90">
        <v>6.4714210000000003</v>
      </c>
    </row>
    <row r="91" spans="1:32" x14ac:dyDescent="0.35">
      <c r="A91">
        <v>1</v>
      </c>
    </row>
    <row r="92" spans="1:32" x14ac:dyDescent="0.35">
      <c r="A92">
        <v>2</v>
      </c>
    </row>
    <row r="93" spans="1:32" x14ac:dyDescent="0.35">
      <c r="A93">
        <v>3</v>
      </c>
    </row>
    <row r="94" spans="1:32" x14ac:dyDescent="0.35">
      <c r="A94">
        <v>4</v>
      </c>
    </row>
    <row r="95" spans="1:32" x14ac:dyDescent="0.35">
      <c r="A95">
        <v>5</v>
      </c>
    </row>
    <row r="96" spans="1:32" x14ac:dyDescent="0.35">
      <c r="A96">
        <v>1</v>
      </c>
    </row>
    <row r="97" spans="1:1" x14ac:dyDescent="0.35">
      <c r="A97">
        <v>2</v>
      </c>
    </row>
    <row r="98" spans="1:1" x14ac:dyDescent="0.35">
      <c r="A98">
        <v>3</v>
      </c>
    </row>
    <row r="99" spans="1:1" x14ac:dyDescent="0.35">
      <c r="A99">
        <v>4</v>
      </c>
    </row>
    <row r="100" spans="1:1" x14ac:dyDescent="0.35">
      <c r="A100">
        <v>5</v>
      </c>
    </row>
  </sheetData>
  <mergeCells count="1">
    <mergeCell ref="A2:E2"/>
  </mergeCells>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topLeftCell="A19" zoomScale="70" zoomScaleNormal="70" workbookViewId="0">
      <selection activeCell="A51" sqref="A51:P82"/>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182</v>
      </c>
      <c r="O2" s="75"/>
    </row>
    <row r="3" spans="1:49" ht="13.15" x14ac:dyDescent="0.4">
      <c r="A3" t="str">
        <f>'6 - B1'!$A$3</f>
        <v>Serial #</v>
      </c>
      <c r="B3" s="73" t="str">
        <f>'6 - B1'!$B$3</f>
        <v>11171-00009</v>
      </c>
    </row>
    <row r="4" spans="1:49" ht="19.149999999999999" customHeight="1" x14ac:dyDescent="1.05">
      <c r="A4" s="8" t="str">
        <f>'6 - B1'!$A$4</f>
        <v>Date</v>
      </c>
      <c r="B4" s="74">
        <f>'6 - B1'!$B$4</f>
        <v>46009</v>
      </c>
      <c r="O4" s="75"/>
    </row>
    <row r="5" spans="1:49" ht="13.15" x14ac:dyDescent="0.4">
      <c r="A5" s="8" t="str">
        <f>'6 - B1'!$A$5</f>
        <v>RM</v>
      </c>
      <c r="B5" s="90" t="str">
        <f>'6 - B1'!$B$5</f>
        <v>37D</v>
      </c>
      <c r="O5" s="29"/>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row>
    <row r="8" spans="1:49" ht="13.15" x14ac:dyDescent="0.4">
      <c r="A8" s="68" t="s">
        <v>139</v>
      </c>
      <c r="B8" s="46">
        <f>G52</f>
        <v>7.8113840000000003</v>
      </c>
      <c r="C8" s="46">
        <f>H52</f>
        <v>8.4850410000000007</v>
      </c>
      <c r="D8" s="46">
        <f>I52</f>
        <v>8.487304</v>
      </c>
      <c r="E8" s="46">
        <f>J52</f>
        <v>8.4974600000000002</v>
      </c>
      <c r="F8" s="46">
        <f>K52</f>
        <v>8.4989059999999998</v>
      </c>
      <c r="G8" s="78">
        <f>AVERAGE(B$8:F$8)*5</f>
        <v>41.780095000000003</v>
      </c>
      <c r="I8" s="79"/>
      <c r="K8" s="79"/>
    </row>
    <row r="9" spans="1:49" ht="13.15" x14ac:dyDescent="0.4">
      <c r="A9" s="68" t="s">
        <v>140</v>
      </c>
      <c r="B9" s="42">
        <f>G53</f>
        <v>12748.444336</v>
      </c>
      <c r="C9" s="42">
        <f t="shared" ref="C9:F9" si="0">H53</f>
        <v>12757.982421999999</v>
      </c>
      <c r="D9" s="42">
        <f t="shared" si="0"/>
        <v>12023.959961</v>
      </c>
      <c r="E9" s="42">
        <f t="shared" si="0"/>
        <v>12393.349609000001</v>
      </c>
      <c r="F9" s="42">
        <f t="shared" si="0"/>
        <v>12082.966796999999</v>
      </c>
      <c r="G9" s="80">
        <f t="shared" ref="G9:G38" si="1">AVERAGE(B9:F9)</f>
        <v>12401.340625000001</v>
      </c>
      <c r="H9" s="81">
        <f t="shared" ref="H9:H38" si="2">G9*G$8</f>
        <v>518129.18943985942</v>
      </c>
      <c r="I9" s="79">
        <f t="shared" ref="I9:I38" si="3">STDEVP(B9:F9)/AVERAGE(B9:F9)</f>
        <v>2.5282226180954145E-2</v>
      </c>
      <c r="J9" s="79">
        <f t="shared" ref="J9:J38" si="4">IF(H9&gt;$A$43, $C$43, IF(H9&gt;$A$44, $C$44, IF(H9&gt;$A$45,$C$45,IF(H9&gt;$A$46,$C$46, IF(H9&gt;$A$47,$C$47,IF(H9&gt;$A$48,$C$48,$C$49))))))/100</f>
        <v>0.11</v>
      </c>
      <c r="K9" s="79">
        <f t="shared" ref="K9:K38" si="5">(MAX(B9:F9)-MIN(B9:F9))/G9</f>
        <v>5.9188960548368023E-2</v>
      </c>
      <c r="L9" s="42">
        <f>G9/'Clause 6'!$H$11</f>
        <v>12401.340625000001</v>
      </c>
      <c r="M9">
        <f t="shared" ref="M9:M38" si="6">COUNTA(B9:F9)</f>
        <v>5</v>
      </c>
      <c r="O9" s="42"/>
    </row>
    <row r="10" spans="1:49" ht="13.15" x14ac:dyDescent="0.4">
      <c r="A10" s="68" t="s">
        <v>141</v>
      </c>
      <c r="B10" s="42">
        <f t="shared" ref="B10:F10" si="7">G54</f>
        <v>11296.333008</v>
      </c>
      <c r="C10" s="42">
        <f t="shared" si="7"/>
        <v>11251.212890999999</v>
      </c>
      <c r="D10" s="42">
        <f t="shared" si="7"/>
        <v>10640.127930000001</v>
      </c>
      <c r="E10" s="42">
        <f t="shared" si="7"/>
        <v>10945.741211</v>
      </c>
      <c r="F10" s="42">
        <f t="shared" si="7"/>
        <v>10661.842773</v>
      </c>
      <c r="G10" s="80">
        <f t="shared" si="1"/>
        <v>10959.051562600001</v>
      </c>
      <c r="H10" s="81">
        <f t="shared" si="2"/>
        <v>457870.21539532655</v>
      </c>
      <c r="I10" s="79">
        <f t="shared" si="3"/>
        <v>2.5462806924735296E-2</v>
      </c>
      <c r="J10" s="79">
        <f t="shared" si="4"/>
        <v>0.11</v>
      </c>
      <c r="K10" s="79">
        <f t="shared" si="5"/>
        <v>5.9877907705027385E-2</v>
      </c>
      <c r="L10" s="42">
        <f>G10/'Clause 6'!$H$11</f>
        <v>10959.051562600001</v>
      </c>
      <c r="M10">
        <f t="shared" si="6"/>
        <v>5</v>
      </c>
      <c r="O10" s="42"/>
    </row>
    <row r="11" spans="1:49" ht="13.15" x14ac:dyDescent="0.4">
      <c r="A11" s="68" t="s">
        <v>142</v>
      </c>
      <c r="B11" s="42">
        <f t="shared" ref="B11:F11" si="8">G55</f>
        <v>9922.4414059999999</v>
      </c>
      <c r="C11" s="42">
        <f t="shared" si="8"/>
        <v>9850.6308590000008</v>
      </c>
      <c r="D11" s="42">
        <f t="shared" si="8"/>
        <v>9313.2050780000009</v>
      </c>
      <c r="E11" s="42">
        <f t="shared" si="8"/>
        <v>9592.7480469999991</v>
      </c>
      <c r="F11" s="42">
        <f t="shared" si="8"/>
        <v>9323.3173829999996</v>
      </c>
      <c r="G11" s="80">
        <f t="shared" si="1"/>
        <v>9600.4685546000001</v>
      </c>
      <c r="H11" s="81">
        <f t="shared" si="2"/>
        <v>401108.48825570074</v>
      </c>
      <c r="I11" s="79">
        <f t="shared" si="3"/>
        <v>2.6582247295754358E-2</v>
      </c>
      <c r="J11" s="79">
        <f t="shared" si="4"/>
        <v>0.11</v>
      </c>
      <c r="K11" s="79">
        <f t="shared" si="5"/>
        <v>6.3459020206684341E-2</v>
      </c>
      <c r="L11" s="42">
        <f>G11/'Clause 6'!$H$11</f>
        <v>9600.4685546000001</v>
      </c>
      <c r="M11">
        <f t="shared" si="6"/>
        <v>5</v>
      </c>
      <c r="O11" s="42"/>
    </row>
    <row r="12" spans="1:49" ht="13.15" x14ac:dyDescent="0.4">
      <c r="A12" s="68" t="s">
        <v>143</v>
      </c>
      <c r="B12" s="42">
        <f t="shared" ref="B12:F12" si="9">G56</f>
        <v>8671.9589840000008</v>
      </c>
      <c r="C12" s="42">
        <f t="shared" si="9"/>
        <v>8575.4453119999998</v>
      </c>
      <c r="D12" s="42">
        <f t="shared" si="9"/>
        <v>8127.3159180000002</v>
      </c>
      <c r="E12" s="42">
        <f t="shared" si="9"/>
        <v>8358.9677730000003</v>
      </c>
      <c r="F12" s="42">
        <f t="shared" si="9"/>
        <v>8116.9267579999996</v>
      </c>
      <c r="G12" s="80">
        <f t="shared" si="1"/>
        <v>8370.1229490000005</v>
      </c>
      <c r="H12" s="81">
        <f t="shared" si="2"/>
        <v>349704.53197090019</v>
      </c>
      <c r="I12" s="79">
        <f t="shared" si="3"/>
        <v>2.7057317584417987E-2</v>
      </c>
      <c r="J12" s="79">
        <f t="shared" si="4"/>
        <v>0.11</v>
      </c>
      <c r="K12" s="79">
        <f t="shared" si="5"/>
        <v>6.6311119846371225E-2</v>
      </c>
      <c r="L12" s="42">
        <f>G12/'Clause 6'!$H$11</f>
        <v>8370.1229490000005</v>
      </c>
      <c r="M12">
        <f t="shared" si="6"/>
        <v>5</v>
      </c>
      <c r="O12" s="42"/>
    </row>
    <row r="13" spans="1:49" ht="13.15" x14ac:dyDescent="0.4">
      <c r="A13" s="68" t="s">
        <v>144</v>
      </c>
      <c r="B13" s="42">
        <f t="shared" ref="B13:F13" si="10">G57</f>
        <v>7569.9770509999998</v>
      </c>
      <c r="C13" s="42">
        <f t="shared" si="10"/>
        <v>7458.7739259999998</v>
      </c>
      <c r="D13" s="42">
        <f t="shared" si="10"/>
        <v>7061.8422849999997</v>
      </c>
      <c r="E13" s="42">
        <f t="shared" si="10"/>
        <v>7278.4101559999999</v>
      </c>
      <c r="F13" s="42">
        <f t="shared" si="10"/>
        <v>7044.4360349999997</v>
      </c>
      <c r="G13" s="80">
        <f t="shared" si="1"/>
        <v>7282.6878906000002</v>
      </c>
      <c r="H13" s="81">
        <f t="shared" si="2"/>
        <v>304271.39192461764</v>
      </c>
      <c r="I13" s="79">
        <f t="shared" si="3"/>
        <v>2.8743582857902194E-2</v>
      </c>
      <c r="J13" s="79">
        <f t="shared" si="4"/>
        <v>0.11</v>
      </c>
      <c r="K13" s="79">
        <f t="shared" si="5"/>
        <v>7.2163056263654088E-2</v>
      </c>
      <c r="L13" s="42">
        <f>G13/'Clause 6'!$H$11</f>
        <v>7282.6878906000002</v>
      </c>
      <c r="M13">
        <f t="shared" si="6"/>
        <v>5</v>
      </c>
      <c r="O13" s="42"/>
    </row>
    <row r="14" spans="1:49" ht="13.15" x14ac:dyDescent="0.4">
      <c r="A14" s="68" t="s">
        <v>145</v>
      </c>
      <c r="B14" s="42">
        <f t="shared" ref="B14:F14" si="11">G58</f>
        <v>6586.9248049999997</v>
      </c>
      <c r="C14" s="42">
        <f t="shared" si="11"/>
        <v>6473.6284180000002</v>
      </c>
      <c r="D14" s="42">
        <f t="shared" si="11"/>
        <v>6130.3330079999996</v>
      </c>
      <c r="E14" s="42">
        <f t="shared" si="11"/>
        <v>6320.7119140000004</v>
      </c>
      <c r="F14" s="42">
        <f t="shared" si="11"/>
        <v>6114.1987300000001</v>
      </c>
      <c r="G14" s="80">
        <f t="shared" si="1"/>
        <v>6325.1593749999993</v>
      </c>
      <c r="H14" s="81">
        <f t="shared" si="2"/>
        <v>264265.75957764062</v>
      </c>
      <c r="I14" s="79">
        <f t="shared" si="3"/>
        <v>2.9411956220666263E-2</v>
      </c>
      <c r="J14" s="79">
        <f t="shared" si="4"/>
        <v>0.11</v>
      </c>
      <c r="K14" s="79">
        <f t="shared" si="5"/>
        <v>7.4737417189586569E-2</v>
      </c>
      <c r="L14" s="42">
        <f>G14/'Clause 6'!$H$11</f>
        <v>6325.1593749999993</v>
      </c>
      <c r="M14">
        <f t="shared" si="6"/>
        <v>5</v>
      </c>
      <c r="O14" s="42"/>
    </row>
    <row r="15" spans="1:49" ht="13.15" x14ac:dyDescent="0.4">
      <c r="A15" s="68" t="s">
        <v>146</v>
      </c>
      <c r="B15" s="42">
        <f t="shared" ref="B15:F15" si="12">G59</f>
        <v>5658.7919920000004</v>
      </c>
      <c r="C15" s="42">
        <f t="shared" si="12"/>
        <v>5542.578125</v>
      </c>
      <c r="D15" s="42">
        <f t="shared" si="12"/>
        <v>5241.3583980000003</v>
      </c>
      <c r="E15" s="42">
        <f t="shared" si="12"/>
        <v>5390.3164059999999</v>
      </c>
      <c r="F15" s="42">
        <f t="shared" si="12"/>
        <v>5217.0244140000004</v>
      </c>
      <c r="G15" s="80">
        <f t="shared" si="1"/>
        <v>5410.0138669999997</v>
      </c>
      <c r="H15" s="81">
        <f t="shared" si="2"/>
        <v>226030.89331457738</v>
      </c>
      <c r="I15" s="79">
        <f t="shared" si="3"/>
        <v>3.1536241277677492E-2</v>
      </c>
      <c r="J15" s="79">
        <f t="shared" si="4"/>
        <v>0.11</v>
      </c>
      <c r="K15" s="79">
        <f t="shared" si="5"/>
        <v>8.1657383670436345E-2</v>
      </c>
      <c r="L15" s="42">
        <f>G15/'Clause 6'!$H$11</f>
        <v>5410.0138669999997</v>
      </c>
      <c r="M15">
        <f t="shared" si="6"/>
        <v>5</v>
      </c>
      <c r="O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3">G60</f>
        <v>4823.6010740000002</v>
      </c>
      <c r="C16" s="42">
        <f t="shared" si="13"/>
        <v>4705.1040039999998</v>
      </c>
      <c r="D16" s="42">
        <f t="shared" si="13"/>
        <v>4447.1132809999999</v>
      </c>
      <c r="E16" s="42">
        <f t="shared" si="13"/>
        <v>4590.4301759999998</v>
      </c>
      <c r="F16" s="42">
        <f t="shared" si="13"/>
        <v>4430.5703119999998</v>
      </c>
      <c r="G16" s="80">
        <f t="shared" si="1"/>
        <v>4599.3637693999999</v>
      </c>
      <c r="H16" s="81">
        <f t="shared" si="2"/>
        <v>192161.85522509011</v>
      </c>
      <c r="I16" s="79">
        <f t="shared" si="3"/>
        <v>3.2716624533865923E-2</v>
      </c>
      <c r="J16" s="79">
        <f t="shared" si="4"/>
        <v>0.11</v>
      </c>
      <c r="K16" s="79">
        <f t="shared" si="5"/>
        <v>8.545328912987292E-2</v>
      </c>
      <c r="L16" s="42">
        <f>G16/'Clause 6'!$H$11</f>
        <v>4599.3637693999999</v>
      </c>
      <c r="M16">
        <f t="shared" si="6"/>
        <v>5</v>
      </c>
      <c r="O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4">G61</f>
        <v>4052.2907709999999</v>
      </c>
      <c r="C17" s="42">
        <f t="shared" si="14"/>
        <v>3942.4677729999999</v>
      </c>
      <c r="D17" s="42">
        <f t="shared" si="14"/>
        <v>3703.1784670000002</v>
      </c>
      <c r="E17" s="42">
        <f t="shared" si="14"/>
        <v>3827.2612300000001</v>
      </c>
      <c r="F17" s="42">
        <f t="shared" si="14"/>
        <v>3675.7670899999998</v>
      </c>
      <c r="G17" s="80">
        <f t="shared" si="1"/>
        <v>3840.1930662</v>
      </c>
      <c r="H17" s="81">
        <f t="shared" si="2"/>
        <v>160443.63112417731</v>
      </c>
      <c r="I17" s="79">
        <f t="shared" si="3"/>
        <v>3.7087482347580511E-2</v>
      </c>
      <c r="J17" s="79">
        <f t="shared" si="4"/>
        <v>0.11</v>
      </c>
      <c r="K17" s="79">
        <f t="shared" si="5"/>
        <v>9.8048112297797294E-2</v>
      </c>
      <c r="L17" s="42">
        <f>G17/'Clause 6'!$H$11</f>
        <v>3840.1930662</v>
      </c>
      <c r="M17">
        <f t="shared" si="6"/>
        <v>5</v>
      </c>
      <c r="O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5">G62</f>
        <v>3367.008789</v>
      </c>
      <c r="C18" s="42">
        <f t="shared" si="15"/>
        <v>3259.1477049999999</v>
      </c>
      <c r="D18" s="42">
        <f t="shared" si="15"/>
        <v>3081.5439449999999</v>
      </c>
      <c r="E18" s="42">
        <f t="shared" si="15"/>
        <v>3162.474365</v>
      </c>
      <c r="F18" s="42">
        <f t="shared" si="15"/>
        <v>3043.8034670000002</v>
      </c>
      <c r="G18" s="80">
        <f t="shared" si="1"/>
        <v>3182.7956542000002</v>
      </c>
      <c r="H18" s="81">
        <f t="shared" si="2"/>
        <v>132977.50479806316</v>
      </c>
      <c r="I18" s="79">
        <f t="shared" si="3"/>
        <v>3.7108339181905411E-2</v>
      </c>
      <c r="J18" s="79">
        <f t="shared" si="4"/>
        <v>0.11</v>
      </c>
      <c r="K18" s="79">
        <f t="shared" si="5"/>
        <v>0.10154761948776063</v>
      </c>
      <c r="L18" s="42">
        <f>G18/'Clause 6'!$H$11</f>
        <v>3182.7956542000002</v>
      </c>
      <c r="M18">
        <f t="shared" si="6"/>
        <v>5</v>
      </c>
      <c r="O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6">G63</f>
        <v>2748.0405270000001</v>
      </c>
      <c r="C19" s="42">
        <f t="shared" si="16"/>
        <v>2656.9111330000001</v>
      </c>
      <c r="D19" s="42">
        <f t="shared" si="16"/>
        <v>2502.679443</v>
      </c>
      <c r="E19" s="42">
        <f t="shared" si="16"/>
        <v>2571.0034179999998</v>
      </c>
      <c r="F19" s="42">
        <f t="shared" si="16"/>
        <v>2473.4948730000001</v>
      </c>
      <c r="G19" s="80">
        <f t="shared" si="1"/>
        <v>2590.4258787999997</v>
      </c>
      <c r="H19" s="81">
        <f t="shared" si="2"/>
        <v>108228.23930672248</v>
      </c>
      <c r="I19" s="79">
        <f t="shared" si="3"/>
        <v>3.899247794854941E-2</v>
      </c>
      <c r="J19" s="79">
        <f t="shared" si="4"/>
        <v>0.11</v>
      </c>
      <c r="K19" s="79">
        <f t="shared" si="5"/>
        <v>0.10598475572950257</v>
      </c>
      <c r="L19" s="42">
        <f>G19/'Clause 6'!$H$11</f>
        <v>2590.4258787999997</v>
      </c>
      <c r="M19">
        <f t="shared" si="6"/>
        <v>5</v>
      </c>
      <c r="O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F20" si="17">G64</f>
        <v>2193.0812989999999</v>
      </c>
      <c r="C20" s="42">
        <f t="shared" si="17"/>
        <v>2112.6591800000001</v>
      </c>
      <c r="D20" s="42">
        <f t="shared" si="17"/>
        <v>1992.976807</v>
      </c>
      <c r="E20" s="42">
        <f t="shared" si="17"/>
        <v>2039.6682129999999</v>
      </c>
      <c r="F20" s="42">
        <f t="shared" si="17"/>
        <v>1945.3092039999999</v>
      </c>
      <c r="G20" s="80">
        <f t="shared" si="1"/>
        <v>2056.7389405999998</v>
      </c>
      <c r="H20" s="81">
        <f t="shared" si="2"/>
        <v>85930.748328467351</v>
      </c>
      <c r="I20" s="79">
        <f t="shared" si="3"/>
        <v>4.2658867055217688E-2</v>
      </c>
      <c r="J20" s="79">
        <f t="shared" si="4"/>
        <v>0.11</v>
      </c>
      <c r="K20" s="79">
        <f t="shared" si="5"/>
        <v>0.12046842217501799</v>
      </c>
      <c r="L20" s="42">
        <f>G20/'Clause 6'!$H$11</f>
        <v>2056.7389405999998</v>
      </c>
      <c r="M20">
        <f t="shared" si="6"/>
        <v>5</v>
      </c>
      <c r="O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F21" si="18">G65</f>
        <v>1726.4545900000001</v>
      </c>
      <c r="C21" s="42">
        <f t="shared" si="18"/>
        <v>1663.1623540000001</v>
      </c>
      <c r="D21" s="42">
        <f t="shared" si="18"/>
        <v>1566.221802</v>
      </c>
      <c r="E21" s="42">
        <f t="shared" si="18"/>
        <v>1610.1281739999999</v>
      </c>
      <c r="F21" s="42">
        <f t="shared" si="18"/>
        <v>1525.2551269999999</v>
      </c>
      <c r="G21" s="80">
        <f t="shared" si="1"/>
        <v>1618.2444094000002</v>
      </c>
      <c r="H21" s="81">
        <f t="shared" si="2"/>
        <v>67610.405157950911</v>
      </c>
      <c r="I21" s="79">
        <f t="shared" si="3"/>
        <v>4.3823584650558849E-2</v>
      </c>
      <c r="J21" s="79">
        <f t="shared" si="4"/>
        <v>0.11</v>
      </c>
      <c r="K21" s="79">
        <f t="shared" si="5"/>
        <v>0.12433193764259583</v>
      </c>
      <c r="L21" s="42">
        <f>G21/'Clause 6'!$H$11</f>
        <v>1618.2444094000002</v>
      </c>
      <c r="M21">
        <f t="shared" si="6"/>
        <v>5</v>
      </c>
      <c r="O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ref="B22:F22" si="19">G66</f>
        <v>1346.1123050000001</v>
      </c>
      <c r="C22" s="42">
        <f t="shared" si="19"/>
        <v>1285.7923579999999</v>
      </c>
      <c r="D22" s="42">
        <f t="shared" si="19"/>
        <v>1210.9853519999999</v>
      </c>
      <c r="E22" s="42">
        <f t="shared" si="19"/>
        <v>1246.7254640000001</v>
      </c>
      <c r="F22" s="42">
        <f t="shared" si="19"/>
        <v>1162.9731449999999</v>
      </c>
      <c r="G22" s="80">
        <f t="shared" si="1"/>
        <v>1250.5177248</v>
      </c>
      <c r="H22" s="81">
        <f t="shared" si="2"/>
        <v>52246.749341327857</v>
      </c>
      <c r="I22" s="79">
        <f t="shared" si="3"/>
        <v>5.0097659733793244E-2</v>
      </c>
      <c r="J22" s="79">
        <f t="shared" si="4"/>
        <v>0.11</v>
      </c>
      <c r="K22" s="79">
        <f t="shared" si="5"/>
        <v>0.14645067108448248</v>
      </c>
      <c r="L22" s="42">
        <f>G22/'Clause 6'!$H$11</f>
        <v>1250.5177248</v>
      </c>
      <c r="M22">
        <f t="shared" si="6"/>
        <v>5</v>
      </c>
      <c r="O22" s="42"/>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ref="B23:F23" si="20">G67</f>
        <v>1032.8515620000001</v>
      </c>
      <c r="C23" s="42">
        <f t="shared" si="20"/>
        <v>978.30999799999995</v>
      </c>
      <c r="D23" s="42">
        <f t="shared" si="20"/>
        <v>925.97131300000001</v>
      </c>
      <c r="E23" s="42">
        <f t="shared" si="20"/>
        <v>954.40283199999999</v>
      </c>
      <c r="F23" s="42">
        <f t="shared" si="20"/>
        <v>880.58392300000003</v>
      </c>
      <c r="G23" s="80">
        <f t="shared" si="1"/>
        <v>954.42392560000008</v>
      </c>
      <c r="H23" s="81">
        <f t="shared" si="2"/>
        <v>39875.92228184094</v>
      </c>
      <c r="I23" s="79">
        <f t="shared" si="3"/>
        <v>5.3390849586401362E-2</v>
      </c>
      <c r="J23" s="79">
        <f t="shared" si="4"/>
        <v>0.11</v>
      </c>
      <c r="K23" s="79">
        <f t="shared" si="5"/>
        <v>0.15953879079914801</v>
      </c>
      <c r="L23" s="42">
        <f>G23/'Clause 6'!$H$11</f>
        <v>954.42392560000008</v>
      </c>
      <c r="M23">
        <f t="shared" si="6"/>
        <v>5</v>
      </c>
      <c r="O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24" si="21">G68</f>
        <v>797.80993699999999</v>
      </c>
      <c r="C24" s="42">
        <f t="shared" si="21"/>
        <v>751.08654799999999</v>
      </c>
      <c r="D24" s="42">
        <f t="shared" si="21"/>
        <v>709.76605199999995</v>
      </c>
      <c r="E24" s="42">
        <f t="shared" si="21"/>
        <v>727.98223900000005</v>
      </c>
      <c r="F24" s="42">
        <f t="shared" si="21"/>
        <v>665.37976100000003</v>
      </c>
      <c r="G24" s="80">
        <f t="shared" si="1"/>
        <v>730.40490740000007</v>
      </c>
      <c r="H24" s="81">
        <f t="shared" si="2"/>
        <v>30516.386419638209</v>
      </c>
      <c r="I24" s="79">
        <f t="shared" si="3"/>
        <v>6.0088738366929823E-2</v>
      </c>
      <c r="J24" s="79">
        <f t="shared" si="4"/>
        <v>0.11</v>
      </c>
      <c r="K24" s="79">
        <f t="shared" si="5"/>
        <v>0.18131063285350532</v>
      </c>
      <c r="L24" s="42">
        <f>G24/'Clause 6'!$H$11</f>
        <v>730.40490740000007</v>
      </c>
      <c r="M24">
        <f t="shared" si="6"/>
        <v>5</v>
      </c>
      <c r="O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ref="B25:F25" si="22">G69</f>
        <v>610.519226</v>
      </c>
      <c r="C25" s="42">
        <f t="shared" si="22"/>
        <v>568.64782700000001</v>
      </c>
      <c r="D25" s="42">
        <f t="shared" si="22"/>
        <v>537.74438499999997</v>
      </c>
      <c r="E25" s="42">
        <f t="shared" si="22"/>
        <v>552.87109399999997</v>
      </c>
      <c r="F25" s="42">
        <f t="shared" si="22"/>
        <v>502.77056900000002</v>
      </c>
      <c r="G25" s="80">
        <f t="shared" si="1"/>
        <v>554.51062020000006</v>
      </c>
      <c r="H25" s="81">
        <f t="shared" si="2"/>
        <v>23167.506390464921</v>
      </c>
      <c r="I25" s="79">
        <f t="shared" si="3"/>
        <v>6.4002135227368542E-2</v>
      </c>
      <c r="J25" s="79">
        <f t="shared" si="4"/>
        <v>0.11</v>
      </c>
      <c r="K25" s="79">
        <f t="shared" si="5"/>
        <v>0.19431306286097344</v>
      </c>
      <c r="L25" s="42">
        <f>G25/'Clause 6'!$H$11</f>
        <v>554.51062020000006</v>
      </c>
      <c r="M25">
        <f t="shared" si="6"/>
        <v>5</v>
      </c>
      <c r="O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ref="B26:F26" si="23">G70</f>
        <v>471.87539700000002</v>
      </c>
      <c r="C26" s="42">
        <f t="shared" si="23"/>
        <v>432.17236300000002</v>
      </c>
      <c r="D26" s="42">
        <f t="shared" si="23"/>
        <v>413.67672700000003</v>
      </c>
      <c r="E26" s="42">
        <f t="shared" si="23"/>
        <v>428.12792999999999</v>
      </c>
      <c r="F26" s="42">
        <f t="shared" si="23"/>
        <v>375.930725</v>
      </c>
      <c r="G26" s="80">
        <f t="shared" si="1"/>
        <v>424.35662840000003</v>
      </c>
      <c r="H26" s="81">
        <f t="shared" si="2"/>
        <v>17729.660248431701</v>
      </c>
      <c r="I26" s="79">
        <f t="shared" si="3"/>
        <v>7.2956454206185586E-2</v>
      </c>
      <c r="J26" s="79">
        <f t="shared" si="4"/>
        <v>0.11</v>
      </c>
      <c r="K26" s="79">
        <f t="shared" si="5"/>
        <v>0.22609443467809401</v>
      </c>
      <c r="L26" s="42">
        <f>G26/'Clause 6'!$H$11</f>
        <v>424.35662840000003</v>
      </c>
      <c r="M26">
        <f t="shared" si="6"/>
        <v>5</v>
      </c>
      <c r="O26" s="42"/>
    </row>
    <row r="27" spans="1:49" ht="13.15" x14ac:dyDescent="0.4">
      <c r="A27" s="68" t="s">
        <v>158</v>
      </c>
      <c r="B27" s="42">
        <f t="shared" ref="B27:F27" si="24">G71</f>
        <v>362.67581200000001</v>
      </c>
      <c r="C27" s="42">
        <f t="shared" si="24"/>
        <v>338.124481</v>
      </c>
      <c r="D27" s="42">
        <f t="shared" si="24"/>
        <v>318.94699100000003</v>
      </c>
      <c r="E27" s="42">
        <f t="shared" si="24"/>
        <v>328.56875600000001</v>
      </c>
      <c r="F27" s="42">
        <f t="shared" si="24"/>
        <v>283.33056599999998</v>
      </c>
      <c r="G27" s="80">
        <f t="shared" si="1"/>
        <v>326.32932120000004</v>
      </c>
      <c r="H27" s="81">
        <f t="shared" si="2"/>
        <v>13634.070041021516</v>
      </c>
      <c r="I27" s="79">
        <f t="shared" si="3"/>
        <v>7.9539640305891515E-2</v>
      </c>
      <c r="J27" s="79">
        <f t="shared" si="4"/>
        <v>0.11</v>
      </c>
      <c r="K27" s="79">
        <f t="shared" si="5"/>
        <v>0.24314470335741323</v>
      </c>
      <c r="L27" s="42">
        <f>G27/'Clause 6'!$H$11</f>
        <v>326.32932120000004</v>
      </c>
      <c r="M27">
        <f t="shared" si="6"/>
        <v>5</v>
      </c>
      <c r="O27" s="42"/>
    </row>
    <row r="28" spans="1:49" ht="13.15" x14ac:dyDescent="0.4">
      <c r="A28" s="68" t="s">
        <v>159</v>
      </c>
      <c r="B28" s="42">
        <f t="shared" ref="B28:F28" si="25">G72</f>
        <v>277.287598</v>
      </c>
      <c r="C28" s="42">
        <f t="shared" si="25"/>
        <v>260.81195100000002</v>
      </c>
      <c r="D28" s="42">
        <f t="shared" si="25"/>
        <v>240.123367</v>
      </c>
      <c r="E28" s="42">
        <f t="shared" si="25"/>
        <v>252.192993</v>
      </c>
      <c r="F28" s="42">
        <f t="shared" si="25"/>
        <v>213.43924000000001</v>
      </c>
      <c r="G28" s="80">
        <f t="shared" si="1"/>
        <v>248.77102980000001</v>
      </c>
      <c r="H28" s="81">
        <f t="shared" si="2"/>
        <v>10393.677258291833</v>
      </c>
      <c r="I28" s="79">
        <f t="shared" si="3"/>
        <v>8.6083073164871154E-2</v>
      </c>
      <c r="J28" s="79">
        <f t="shared" si="4"/>
        <v>0.11</v>
      </c>
      <c r="K28" s="79">
        <f t="shared" si="5"/>
        <v>0.25665511796663387</v>
      </c>
      <c r="L28" s="42">
        <f>G28/'Clause 6'!$H$11</f>
        <v>248.77102980000001</v>
      </c>
      <c r="M28">
        <f t="shared" si="6"/>
        <v>5</v>
      </c>
      <c r="O28" s="42"/>
    </row>
    <row r="29" spans="1:49" ht="13.15" x14ac:dyDescent="0.4">
      <c r="A29" s="68" t="s">
        <v>160</v>
      </c>
      <c r="B29" s="42">
        <f t="shared" ref="B29:F29" si="26">G73</f>
        <v>211.998276</v>
      </c>
      <c r="C29" s="42">
        <f t="shared" si="26"/>
        <v>201.649002</v>
      </c>
      <c r="D29" s="42">
        <f t="shared" si="26"/>
        <v>181.447495</v>
      </c>
      <c r="E29" s="42">
        <f t="shared" si="26"/>
        <v>192.99884</v>
      </c>
      <c r="F29" s="42">
        <f t="shared" si="26"/>
        <v>157.43202199999999</v>
      </c>
      <c r="G29" s="80">
        <f t="shared" si="1"/>
        <v>189.10512699999998</v>
      </c>
      <c r="H29" s="81">
        <f t="shared" si="2"/>
        <v>7900.8301710470651</v>
      </c>
      <c r="I29" s="79">
        <f t="shared" si="3"/>
        <v>9.916864005134178E-2</v>
      </c>
      <c r="J29" s="79">
        <f t="shared" si="4"/>
        <v>0.113</v>
      </c>
      <c r="K29" s="79">
        <f t="shared" si="5"/>
        <v>0.28854983926480227</v>
      </c>
      <c r="L29" s="42">
        <f>G29/'Clause 6'!$H$11</f>
        <v>189.10512699999998</v>
      </c>
      <c r="M29">
        <f t="shared" si="6"/>
        <v>5</v>
      </c>
      <c r="O29" s="42"/>
    </row>
    <row r="30" spans="1:49" ht="13.15" x14ac:dyDescent="0.4">
      <c r="A30" s="68" t="s">
        <v>161</v>
      </c>
      <c r="B30" s="42">
        <f t="shared" ref="B30:F30" si="27">G74</f>
        <v>154.39004499999999</v>
      </c>
      <c r="C30" s="42">
        <f t="shared" si="27"/>
        <v>156.98216199999999</v>
      </c>
      <c r="D30" s="42">
        <f t="shared" si="27"/>
        <v>137.97079500000001</v>
      </c>
      <c r="E30" s="42">
        <f t="shared" si="27"/>
        <v>146.04364000000001</v>
      </c>
      <c r="F30" s="42">
        <f t="shared" si="27"/>
        <v>117.42688</v>
      </c>
      <c r="G30" s="80">
        <f t="shared" si="1"/>
        <v>142.5627044</v>
      </c>
      <c r="H30" s="81">
        <f t="shared" si="2"/>
        <v>5956.2833332889186</v>
      </c>
      <c r="I30" s="79">
        <f t="shared" si="3"/>
        <v>9.9833197949531341E-2</v>
      </c>
      <c r="J30" s="79">
        <f t="shared" si="4"/>
        <v>0.113</v>
      </c>
      <c r="K30" s="79">
        <f t="shared" si="5"/>
        <v>0.27745883586086062</v>
      </c>
      <c r="L30" s="42">
        <f>G30/'Clause 6'!$H$11</f>
        <v>142.5627044</v>
      </c>
      <c r="M30">
        <f t="shared" si="6"/>
        <v>5</v>
      </c>
      <c r="O30" s="42"/>
    </row>
    <row r="31" spans="1:49" ht="13.15" x14ac:dyDescent="0.4">
      <c r="A31" s="68" t="s">
        <v>162</v>
      </c>
      <c r="B31" s="42">
        <f t="shared" ref="B31:F31" si="28">G75</f>
        <v>116.752678</v>
      </c>
      <c r="C31" s="42">
        <f t="shared" si="28"/>
        <v>118.915161</v>
      </c>
      <c r="D31" s="42">
        <f t="shared" si="28"/>
        <v>107.925911</v>
      </c>
      <c r="E31" s="42">
        <f t="shared" si="28"/>
        <v>109.915192</v>
      </c>
      <c r="F31" s="42">
        <f t="shared" si="28"/>
        <v>87.893660999999994</v>
      </c>
      <c r="G31" s="80">
        <f t="shared" si="1"/>
        <v>108.2805206</v>
      </c>
      <c r="H31" s="81">
        <f t="shared" si="2"/>
        <v>4523.9704373174573</v>
      </c>
      <c r="I31" s="79">
        <f t="shared" si="3"/>
        <v>0.10144473570460699</v>
      </c>
      <c r="J31" s="79">
        <f t="shared" si="4"/>
        <v>0.11900000000000001</v>
      </c>
      <c r="K31" s="79">
        <f t="shared" si="5"/>
        <v>0.28649197314627617</v>
      </c>
      <c r="L31" s="42">
        <f>G31/'Clause 6'!$H$11</f>
        <v>108.2805206</v>
      </c>
      <c r="M31">
        <f t="shared" si="6"/>
        <v>5</v>
      </c>
      <c r="O31" s="42"/>
    </row>
    <row r="32" spans="1:49" ht="13.15" x14ac:dyDescent="0.4">
      <c r="A32" s="68" t="s">
        <v>163</v>
      </c>
      <c r="B32" s="42">
        <f t="shared" ref="B32:F32" si="29">G76</f>
        <v>84.492064999999997</v>
      </c>
      <c r="C32" s="42">
        <f t="shared" si="29"/>
        <v>89.922966000000002</v>
      </c>
      <c r="D32" s="42">
        <f t="shared" si="29"/>
        <v>78.470153999999994</v>
      </c>
      <c r="E32" s="42">
        <f t="shared" si="29"/>
        <v>79.788544000000002</v>
      </c>
      <c r="F32" s="42">
        <f t="shared" si="29"/>
        <v>64.008240000000001</v>
      </c>
      <c r="G32" s="80">
        <f t="shared" si="1"/>
        <v>79.336393799999996</v>
      </c>
      <c r="H32" s="81">
        <f t="shared" si="2"/>
        <v>3314.6820699214109</v>
      </c>
      <c r="I32" s="79">
        <f t="shared" si="3"/>
        <v>0.10909511583649507</v>
      </c>
      <c r="J32" s="79">
        <f t="shared" si="4"/>
        <v>0.11900000000000001</v>
      </c>
      <c r="K32" s="79">
        <f t="shared" si="5"/>
        <v>0.32664360905196582</v>
      </c>
      <c r="L32" s="42">
        <f>G32/'Clause 6'!$H$11</f>
        <v>79.336393799999996</v>
      </c>
      <c r="M32">
        <f t="shared" si="6"/>
        <v>5</v>
      </c>
      <c r="O32" s="42"/>
    </row>
    <row r="33" spans="1:15" ht="13.15" x14ac:dyDescent="0.4">
      <c r="A33" s="68" t="s">
        <v>164</v>
      </c>
      <c r="B33" s="42">
        <f t="shared" ref="B33:F33" si="30">G77</f>
        <v>61.064720000000001</v>
      </c>
      <c r="C33" s="42">
        <f t="shared" si="30"/>
        <v>69.298430999999994</v>
      </c>
      <c r="D33" s="42">
        <f t="shared" si="30"/>
        <v>60.678871000000001</v>
      </c>
      <c r="E33" s="42">
        <f t="shared" si="30"/>
        <v>56.016734999999997</v>
      </c>
      <c r="F33" s="42">
        <f t="shared" si="30"/>
        <v>47.064880000000002</v>
      </c>
      <c r="G33" s="80">
        <f t="shared" si="1"/>
        <v>58.824727399999993</v>
      </c>
      <c r="H33" s="81">
        <f t="shared" si="2"/>
        <v>2457.7026991211028</v>
      </c>
      <c r="I33" s="79">
        <f t="shared" si="3"/>
        <v>0.12360343283891964</v>
      </c>
      <c r="J33" s="79">
        <f t="shared" si="4"/>
        <v>0.11900000000000001</v>
      </c>
      <c r="K33" s="79">
        <f t="shared" si="5"/>
        <v>0.37796266948786567</v>
      </c>
      <c r="L33" s="42">
        <f>G33/'Clause 6'!$H$11</f>
        <v>58.824727399999993</v>
      </c>
      <c r="M33">
        <f t="shared" si="6"/>
        <v>5</v>
      </c>
      <c r="O33" s="42"/>
    </row>
    <row r="34" spans="1:15" ht="13.15" x14ac:dyDescent="0.4">
      <c r="A34" s="68" t="s">
        <v>165</v>
      </c>
      <c r="B34" s="42">
        <f t="shared" ref="B34:F34" si="31">G78</f>
        <v>46.086582</v>
      </c>
      <c r="C34" s="42">
        <f t="shared" si="31"/>
        <v>51.266697000000001</v>
      </c>
      <c r="D34" s="42">
        <f t="shared" si="31"/>
        <v>42.769767999999999</v>
      </c>
      <c r="E34" s="42">
        <f t="shared" si="31"/>
        <v>41.306457999999999</v>
      </c>
      <c r="F34" s="42">
        <f t="shared" si="31"/>
        <v>32.121780000000001</v>
      </c>
      <c r="G34" s="80">
        <f t="shared" si="1"/>
        <v>42.710256999999999</v>
      </c>
      <c r="H34" s="81">
        <f t="shared" si="2"/>
        <v>1784.4385949344151</v>
      </c>
      <c r="I34" s="79">
        <f t="shared" si="3"/>
        <v>0.14759927768561243</v>
      </c>
      <c r="J34" s="79">
        <f t="shared" si="4"/>
        <v>0.13400000000000001</v>
      </c>
      <c r="K34" s="79">
        <f t="shared" si="5"/>
        <v>0.44825103721572079</v>
      </c>
      <c r="L34" s="42">
        <f>G34/'Clause 6'!$H$11</f>
        <v>42.710256999999999</v>
      </c>
      <c r="M34">
        <f t="shared" si="6"/>
        <v>5</v>
      </c>
      <c r="O34" s="42"/>
    </row>
    <row r="35" spans="1:15" ht="13.15" x14ac:dyDescent="0.4">
      <c r="A35" s="68" t="s">
        <v>166</v>
      </c>
      <c r="B35" s="42">
        <f t="shared" ref="B35:F35" si="32">G79</f>
        <v>35.973137000000001</v>
      </c>
      <c r="C35" s="42">
        <f t="shared" si="32"/>
        <v>37.006306000000002</v>
      </c>
      <c r="D35" s="42">
        <f t="shared" si="32"/>
        <v>30.751816000000002</v>
      </c>
      <c r="E35" s="42">
        <f t="shared" si="32"/>
        <v>28.832144</v>
      </c>
      <c r="F35" s="42">
        <f t="shared" si="32"/>
        <v>20.943871999999999</v>
      </c>
      <c r="G35" s="80">
        <f t="shared" si="1"/>
        <v>30.701454999999999</v>
      </c>
      <c r="H35" s="81">
        <f t="shared" si="2"/>
        <v>1282.709706538225</v>
      </c>
      <c r="I35" s="79">
        <f t="shared" si="3"/>
        <v>0.18781732166121251</v>
      </c>
      <c r="J35" s="79">
        <f t="shared" si="4"/>
        <v>0.13400000000000001</v>
      </c>
      <c r="K35" s="79">
        <f t="shared" si="5"/>
        <v>0.5231815234815419</v>
      </c>
      <c r="L35" s="42">
        <f>G35/'Clause 6'!$H$11</f>
        <v>30.701454999999999</v>
      </c>
      <c r="M35">
        <f t="shared" si="6"/>
        <v>5</v>
      </c>
      <c r="O35" s="42"/>
    </row>
    <row r="36" spans="1:15" ht="13.15" x14ac:dyDescent="0.4">
      <c r="A36" s="68" t="s">
        <v>167</v>
      </c>
      <c r="B36" s="42">
        <f t="shared" ref="B36:F36" si="33">G80</f>
        <v>25.731674000000002</v>
      </c>
      <c r="C36" s="42">
        <f t="shared" si="33"/>
        <v>25.927983999999999</v>
      </c>
      <c r="D36" s="42">
        <f t="shared" si="33"/>
        <v>21.090326000000001</v>
      </c>
      <c r="E36" s="42">
        <f t="shared" si="33"/>
        <v>19.652930999999999</v>
      </c>
      <c r="F36" s="42">
        <f t="shared" si="33"/>
        <v>14.707775</v>
      </c>
      <c r="G36" s="80">
        <f t="shared" si="1"/>
        <v>21.422137999999997</v>
      </c>
      <c r="H36" s="81">
        <f t="shared" si="2"/>
        <v>895.01896074310991</v>
      </c>
      <c r="I36" s="79">
        <f t="shared" si="3"/>
        <v>0.1949415794356589</v>
      </c>
      <c r="J36" s="79">
        <f t="shared" si="4"/>
        <v>0.156</v>
      </c>
      <c r="K36" s="79">
        <f t="shared" si="5"/>
        <v>0.52376700215450023</v>
      </c>
      <c r="L36" s="42">
        <f>G36/'Clause 6'!$H$11</f>
        <v>21.422137999999997</v>
      </c>
      <c r="M36">
        <f t="shared" si="6"/>
        <v>5</v>
      </c>
      <c r="O36" s="42"/>
    </row>
    <row r="37" spans="1:15" ht="13.15" x14ac:dyDescent="0.4">
      <c r="A37" s="68" t="s">
        <v>168</v>
      </c>
      <c r="B37" s="42">
        <f t="shared" ref="B37:F37" si="34">G81</f>
        <v>17.282468999999999</v>
      </c>
      <c r="C37" s="42">
        <f t="shared" si="34"/>
        <v>17.796026000000001</v>
      </c>
      <c r="D37" s="42">
        <f t="shared" si="34"/>
        <v>13.903119999999999</v>
      </c>
      <c r="E37" s="42">
        <f t="shared" si="34"/>
        <v>13.76882</v>
      </c>
      <c r="F37" s="42">
        <f t="shared" si="34"/>
        <v>9.6483000000000008</v>
      </c>
      <c r="G37" s="80">
        <f t="shared" si="1"/>
        <v>14.479747</v>
      </c>
      <c r="H37" s="81">
        <f t="shared" si="2"/>
        <v>604.96520523596507</v>
      </c>
      <c r="I37" s="79">
        <f t="shared" si="3"/>
        <v>0.20260895460121825</v>
      </c>
      <c r="J37" s="79">
        <f t="shared" si="4"/>
        <v>0.156</v>
      </c>
      <c r="K37" s="79">
        <f t="shared" si="5"/>
        <v>0.5626980913409606</v>
      </c>
      <c r="L37" s="42">
        <f>G37/'Clause 6'!$H$11</f>
        <v>14.479747</v>
      </c>
      <c r="M37">
        <f t="shared" si="6"/>
        <v>5</v>
      </c>
    </row>
    <row r="38" spans="1:15" ht="13.15" x14ac:dyDescent="0.4">
      <c r="A38" s="68" t="s">
        <v>169</v>
      </c>
      <c r="B38" s="42">
        <f t="shared" ref="B38:F38" si="35">G82</f>
        <v>11.521646</v>
      </c>
      <c r="C38" s="42">
        <f t="shared" si="35"/>
        <v>11.314030000000001</v>
      </c>
      <c r="D38" s="42">
        <f t="shared" si="35"/>
        <v>9.8971359999999997</v>
      </c>
      <c r="E38" s="42">
        <f t="shared" si="35"/>
        <v>10.826764000000001</v>
      </c>
      <c r="F38" s="42">
        <f t="shared" si="35"/>
        <v>6.4714210000000003</v>
      </c>
      <c r="G38" s="80">
        <f t="shared" si="1"/>
        <v>10.006199399999998</v>
      </c>
      <c r="H38" s="81">
        <f t="shared" si="2"/>
        <v>418.05996152094292</v>
      </c>
      <c r="I38" s="79">
        <f t="shared" si="3"/>
        <v>0.18528674444433132</v>
      </c>
      <c r="J38" s="79">
        <f t="shared" si="4"/>
        <v>0.193</v>
      </c>
      <c r="K38" s="79">
        <f t="shared" si="5"/>
        <v>0.50470961032417572</v>
      </c>
      <c r="L38" s="42">
        <f>G38/'Clause 6'!$H$11</f>
        <v>10.006199399999998</v>
      </c>
      <c r="M38">
        <f t="shared" si="6"/>
        <v>5</v>
      </c>
    </row>
    <row r="40" spans="1:15" x14ac:dyDescent="0.35">
      <c r="A40" t="s">
        <v>170</v>
      </c>
    </row>
    <row r="41" spans="1:15" ht="15" x14ac:dyDescent="0.5">
      <c r="A41" s="35"/>
      <c r="B41" s="83" t="s">
        <v>171</v>
      </c>
      <c r="C41" s="35"/>
      <c r="D41" s="84" t="s">
        <v>172</v>
      </c>
      <c r="E41" s="36"/>
      <c r="F41" s="36"/>
      <c r="G41" s="36"/>
      <c r="H41" s="85"/>
    </row>
    <row r="42" spans="1:15" ht="15" x14ac:dyDescent="0.5">
      <c r="A42" s="86" t="s">
        <v>173</v>
      </c>
      <c r="B42" s="87" t="s">
        <v>174</v>
      </c>
      <c r="C42" s="86" t="s">
        <v>175</v>
      </c>
      <c r="D42" s="86" t="s">
        <v>176</v>
      </c>
      <c r="E42" s="87" t="s">
        <v>177</v>
      </c>
      <c r="F42" s="87" t="s">
        <v>178</v>
      </c>
      <c r="G42" s="87" t="s">
        <v>179</v>
      </c>
      <c r="H42" s="88" t="s">
        <v>180</v>
      </c>
    </row>
    <row r="43" spans="1:15" x14ac:dyDescent="0.35">
      <c r="A43" s="38">
        <v>10000</v>
      </c>
      <c r="C43" s="38">
        <v>11</v>
      </c>
      <c r="D43" s="38">
        <v>7.8</v>
      </c>
      <c r="E43">
        <v>5.3</v>
      </c>
      <c r="F43">
        <v>4</v>
      </c>
      <c r="G43">
        <v>2.7</v>
      </c>
      <c r="H43" s="45">
        <v>1.8</v>
      </c>
    </row>
    <row r="44" spans="1:15" x14ac:dyDescent="0.35">
      <c r="A44" s="38">
        <v>5000</v>
      </c>
      <c r="B44">
        <v>10000</v>
      </c>
      <c r="C44" s="38">
        <v>11.3</v>
      </c>
      <c r="D44" s="38">
        <v>7.8</v>
      </c>
      <c r="E44">
        <v>5.3</v>
      </c>
      <c r="F44">
        <v>4</v>
      </c>
      <c r="G44">
        <v>2.7</v>
      </c>
      <c r="H44" s="45">
        <v>1.9</v>
      </c>
    </row>
    <row r="45" spans="1:15" x14ac:dyDescent="0.35">
      <c r="A45" s="38">
        <v>2000</v>
      </c>
      <c r="B45">
        <v>5000</v>
      </c>
      <c r="C45" s="38">
        <v>11.9</v>
      </c>
      <c r="D45" s="38">
        <v>7.9</v>
      </c>
      <c r="E45">
        <v>5.4</v>
      </c>
      <c r="F45">
        <v>4.0999999999999996</v>
      </c>
      <c r="G45">
        <v>2.9</v>
      </c>
      <c r="H45" s="45">
        <v>2.1</v>
      </c>
    </row>
    <row r="46" spans="1:15" x14ac:dyDescent="0.35">
      <c r="A46" s="38">
        <v>1000</v>
      </c>
      <c r="B46">
        <v>2000</v>
      </c>
      <c r="C46" s="38">
        <v>13.4</v>
      </c>
      <c r="D46" s="38">
        <v>8</v>
      </c>
      <c r="E46">
        <v>5.6</v>
      </c>
      <c r="F46">
        <v>4.3</v>
      </c>
      <c r="G46">
        <v>3.1</v>
      </c>
      <c r="H46" s="45">
        <v>2.4</v>
      </c>
    </row>
    <row r="47" spans="1:15" x14ac:dyDescent="0.35">
      <c r="A47" s="38">
        <v>500</v>
      </c>
      <c r="B47">
        <v>1000</v>
      </c>
      <c r="C47" s="38">
        <v>15.6</v>
      </c>
      <c r="D47" s="38">
        <v>8.1999999999999993</v>
      </c>
      <c r="E47">
        <v>5.9</v>
      </c>
      <c r="F47">
        <v>4.7</v>
      </c>
      <c r="G47">
        <v>3.6</v>
      </c>
      <c r="H47" s="45">
        <v>2.9</v>
      </c>
    </row>
    <row r="48" spans="1:15"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3" t="str">
        <f>'6 - B1'!A52</f>
        <v>NAME\mL</v>
      </c>
      <c r="B52">
        <f>'6 - B1'!B52</f>
        <v>7.8113840000000003</v>
      </c>
      <c r="C52">
        <f>'6 - B1'!C52</f>
        <v>8.4850410000000007</v>
      </c>
      <c r="D52">
        <f>'6 - B1'!D52</f>
        <v>8.487304</v>
      </c>
      <c r="E52">
        <f>'6 - B1'!E52</f>
        <v>8.4974600000000002</v>
      </c>
      <c r="F52">
        <f>'6 - B1'!F52</f>
        <v>8.4989059999999998</v>
      </c>
      <c r="G52">
        <f>'6 - B1'!G52</f>
        <v>7.8113840000000003</v>
      </c>
      <c r="H52">
        <f>'6 - B1'!H52</f>
        <v>8.4850410000000007</v>
      </c>
      <c r="I52">
        <f>'6 - B1'!I52</f>
        <v>8.487304</v>
      </c>
      <c r="J52">
        <f>'6 - B1'!J52</f>
        <v>8.4974600000000002</v>
      </c>
      <c r="K52">
        <f>'6 - B1'!K52</f>
        <v>8.4989059999999998</v>
      </c>
      <c r="L52">
        <f>'6 - B1'!L52</f>
        <v>7.8113840000000003</v>
      </c>
      <c r="M52">
        <f>'6 - B1'!M52</f>
        <v>8.4850410000000007</v>
      </c>
      <c r="N52">
        <f>'6 - B1'!N52</f>
        <v>8.487304</v>
      </c>
      <c r="O52">
        <f>'6 - B1'!O52</f>
        <v>8.4974600000000002</v>
      </c>
      <c r="P52">
        <f>'6 - B1'!P52</f>
        <v>8.4989059999999998</v>
      </c>
    </row>
    <row r="53" spans="1:16" x14ac:dyDescent="0.35">
      <c r="A53" s="93">
        <f>'6 - B1'!A53</f>
        <v>4</v>
      </c>
      <c r="B53">
        <f>'6 - B1'!B53</f>
        <v>12748.444336</v>
      </c>
      <c r="C53">
        <f>'6 - B1'!C53</f>
        <v>12757.982421999999</v>
      </c>
      <c r="D53">
        <f>'6 - B1'!D53</f>
        <v>12023.959961</v>
      </c>
      <c r="E53">
        <f>'6 - B1'!E53</f>
        <v>12393.349609000001</v>
      </c>
      <c r="F53">
        <f>'6 - B1'!F53</f>
        <v>12082.966796999999</v>
      </c>
      <c r="G53">
        <f>'6 - B1'!G53</f>
        <v>12748.444336</v>
      </c>
      <c r="H53">
        <f>'6 - B1'!H53</f>
        <v>12757.982421999999</v>
      </c>
      <c r="I53">
        <f>'6 - B1'!I53</f>
        <v>12023.959961</v>
      </c>
      <c r="J53">
        <f>'6 - B1'!J53</f>
        <v>12393.349609000001</v>
      </c>
      <c r="K53">
        <f>'6 - B1'!K53</f>
        <v>12082.966796999999</v>
      </c>
      <c r="L53">
        <f>'6 - B1'!L53</f>
        <v>12748.444336</v>
      </c>
      <c r="M53">
        <f>'6 - B1'!M53</f>
        <v>12757.982421999999</v>
      </c>
      <c r="N53">
        <f>'6 - B1'!N53</f>
        <v>12023.959961</v>
      </c>
      <c r="O53">
        <f>'6 - B1'!O53</f>
        <v>12393.349609000001</v>
      </c>
      <c r="P53">
        <f>'6 - B1'!P53</f>
        <v>12082.966796999999</v>
      </c>
    </row>
    <row r="54" spans="1:16" x14ac:dyDescent="0.35">
      <c r="A54" s="93">
        <f>'6 - B1'!A54</f>
        <v>5</v>
      </c>
      <c r="B54">
        <f>'6 - B1'!B54</f>
        <v>11296.333008</v>
      </c>
      <c r="C54">
        <f>'6 - B1'!C54</f>
        <v>11251.212890999999</v>
      </c>
      <c r="D54">
        <f>'6 - B1'!D54</f>
        <v>10640.127930000001</v>
      </c>
      <c r="E54">
        <f>'6 - B1'!E54</f>
        <v>10945.741211</v>
      </c>
      <c r="F54">
        <f>'6 - B1'!F54</f>
        <v>10661.842773</v>
      </c>
      <c r="G54">
        <f>'6 - B1'!G54</f>
        <v>11296.333008</v>
      </c>
      <c r="H54">
        <f>'6 - B1'!H54</f>
        <v>11251.212890999999</v>
      </c>
      <c r="I54">
        <f>'6 - B1'!I54</f>
        <v>10640.127930000001</v>
      </c>
      <c r="J54">
        <f>'6 - B1'!J54</f>
        <v>10945.741211</v>
      </c>
      <c r="K54">
        <f>'6 - B1'!K54</f>
        <v>10661.842773</v>
      </c>
      <c r="L54">
        <f>'6 - B1'!L54</f>
        <v>11296.333008</v>
      </c>
      <c r="M54">
        <f>'6 - B1'!M54</f>
        <v>11251.212890999999</v>
      </c>
      <c r="N54">
        <f>'6 - B1'!N54</f>
        <v>10640.127930000001</v>
      </c>
      <c r="O54">
        <f>'6 - B1'!O54</f>
        <v>10945.741211</v>
      </c>
      <c r="P54">
        <f>'6 - B1'!P54</f>
        <v>10661.842773</v>
      </c>
    </row>
    <row r="55" spans="1:16" x14ac:dyDescent="0.35">
      <c r="A55" s="93">
        <f>'6 - B1'!A55</f>
        <v>6</v>
      </c>
      <c r="B55">
        <f>'6 - B1'!B55</f>
        <v>9922.4414059999999</v>
      </c>
      <c r="C55">
        <f>'6 - B1'!C55</f>
        <v>9850.6308590000008</v>
      </c>
      <c r="D55">
        <f>'6 - B1'!D55</f>
        <v>9313.2050780000009</v>
      </c>
      <c r="E55">
        <f>'6 - B1'!E55</f>
        <v>9592.7480469999991</v>
      </c>
      <c r="F55">
        <f>'6 - B1'!F55</f>
        <v>9323.3173829999996</v>
      </c>
      <c r="G55">
        <f>'6 - B1'!G55</f>
        <v>9922.4414059999999</v>
      </c>
      <c r="H55">
        <f>'6 - B1'!H55</f>
        <v>9850.6308590000008</v>
      </c>
      <c r="I55">
        <f>'6 - B1'!I55</f>
        <v>9313.2050780000009</v>
      </c>
      <c r="J55">
        <f>'6 - B1'!J55</f>
        <v>9592.7480469999991</v>
      </c>
      <c r="K55">
        <f>'6 - B1'!K55</f>
        <v>9323.3173829999996</v>
      </c>
      <c r="L55">
        <f>'6 - B1'!L55</f>
        <v>9922.4414059999999</v>
      </c>
      <c r="M55">
        <f>'6 - B1'!M55</f>
        <v>9850.6308590000008</v>
      </c>
      <c r="N55">
        <f>'6 - B1'!N55</f>
        <v>9313.2050780000009</v>
      </c>
      <c r="O55">
        <f>'6 - B1'!O55</f>
        <v>9592.7480469999991</v>
      </c>
      <c r="P55">
        <f>'6 - B1'!P55</f>
        <v>9323.3173829999996</v>
      </c>
    </row>
    <row r="56" spans="1:16" x14ac:dyDescent="0.35">
      <c r="A56" s="93">
        <f>'6 - B1'!A56</f>
        <v>7</v>
      </c>
      <c r="B56">
        <f>'6 - B1'!B56</f>
        <v>8671.9589840000008</v>
      </c>
      <c r="C56">
        <f>'6 - B1'!C56</f>
        <v>8575.4453119999998</v>
      </c>
      <c r="D56">
        <f>'6 - B1'!D56</f>
        <v>8127.3159180000002</v>
      </c>
      <c r="E56">
        <f>'6 - B1'!E56</f>
        <v>8358.9677730000003</v>
      </c>
      <c r="F56">
        <f>'6 - B1'!F56</f>
        <v>8116.9267579999996</v>
      </c>
      <c r="G56">
        <f>'6 - B1'!G56</f>
        <v>8671.9589840000008</v>
      </c>
      <c r="H56">
        <f>'6 - B1'!H56</f>
        <v>8575.4453119999998</v>
      </c>
      <c r="I56">
        <f>'6 - B1'!I56</f>
        <v>8127.3159180000002</v>
      </c>
      <c r="J56">
        <f>'6 - B1'!J56</f>
        <v>8358.9677730000003</v>
      </c>
      <c r="K56">
        <f>'6 - B1'!K56</f>
        <v>8116.9267579999996</v>
      </c>
      <c r="L56">
        <f>'6 - B1'!L56</f>
        <v>8671.9589840000008</v>
      </c>
      <c r="M56">
        <f>'6 - B1'!M56</f>
        <v>8575.4453119999998</v>
      </c>
      <c r="N56">
        <f>'6 - B1'!N56</f>
        <v>8127.3159180000002</v>
      </c>
      <c r="O56">
        <f>'6 - B1'!O56</f>
        <v>8358.9677730000003</v>
      </c>
      <c r="P56">
        <f>'6 - B1'!P56</f>
        <v>8116.9267579999996</v>
      </c>
    </row>
    <row r="57" spans="1:16" x14ac:dyDescent="0.35">
      <c r="A57" s="93">
        <f>'6 - B1'!A57</f>
        <v>8</v>
      </c>
      <c r="B57">
        <f>'6 - B1'!B57</f>
        <v>7569.9770509999998</v>
      </c>
      <c r="C57">
        <f>'6 - B1'!C57</f>
        <v>7458.7739259999998</v>
      </c>
      <c r="D57">
        <f>'6 - B1'!D57</f>
        <v>7061.8422849999997</v>
      </c>
      <c r="E57">
        <f>'6 - B1'!E57</f>
        <v>7278.4101559999999</v>
      </c>
      <c r="F57">
        <f>'6 - B1'!F57</f>
        <v>7044.4360349999997</v>
      </c>
      <c r="G57">
        <f>'6 - B1'!G57</f>
        <v>7569.9770509999998</v>
      </c>
      <c r="H57">
        <f>'6 - B1'!H57</f>
        <v>7458.7739259999998</v>
      </c>
      <c r="I57">
        <f>'6 - B1'!I57</f>
        <v>7061.8422849999997</v>
      </c>
      <c r="J57">
        <f>'6 - B1'!J57</f>
        <v>7278.4101559999999</v>
      </c>
      <c r="K57">
        <f>'6 - B1'!K57</f>
        <v>7044.4360349999997</v>
      </c>
      <c r="L57">
        <f>'6 - B1'!L57</f>
        <v>7569.9770509999998</v>
      </c>
      <c r="M57">
        <f>'6 - B1'!M57</f>
        <v>7458.7739259999998</v>
      </c>
      <c r="N57">
        <f>'6 - B1'!N57</f>
        <v>7061.8422849999997</v>
      </c>
      <c r="O57">
        <f>'6 - B1'!O57</f>
        <v>7278.4101559999999</v>
      </c>
      <c r="P57">
        <f>'6 - B1'!P57</f>
        <v>7044.4360349999997</v>
      </c>
    </row>
    <row r="58" spans="1:16" x14ac:dyDescent="0.35">
      <c r="A58" s="93">
        <f>'6 - B1'!A58</f>
        <v>9</v>
      </c>
      <c r="B58">
        <f>'6 - B1'!B58</f>
        <v>6586.9248049999997</v>
      </c>
      <c r="C58">
        <f>'6 - B1'!C58</f>
        <v>6473.6284180000002</v>
      </c>
      <c r="D58">
        <f>'6 - B1'!D58</f>
        <v>6130.3330079999996</v>
      </c>
      <c r="E58">
        <f>'6 - B1'!E58</f>
        <v>6320.7119140000004</v>
      </c>
      <c r="F58">
        <f>'6 - B1'!F58</f>
        <v>6114.1987300000001</v>
      </c>
      <c r="G58">
        <f>'6 - B1'!G58</f>
        <v>6586.9248049999997</v>
      </c>
      <c r="H58">
        <f>'6 - B1'!H58</f>
        <v>6473.6284180000002</v>
      </c>
      <c r="I58">
        <f>'6 - B1'!I58</f>
        <v>6130.3330079999996</v>
      </c>
      <c r="J58">
        <f>'6 - B1'!J58</f>
        <v>6320.7119140000004</v>
      </c>
      <c r="K58">
        <f>'6 - B1'!K58</f>
        <v>6114.1987300000001</v>
      </c>
      <c r="L58">
        <f>'6 - B1'!L58</f>
        <v>6586.9248049999997</v>
      </c>
      <c r="M58">
        <f>'6 - B1'!M58</f>
        <v>6473.6284180000002</v>
      </c>
      <c r="N58">
        <f>'6 - B1'!N58</f>
        <v>6130.3330079999996</v>
      </c>
      <c r="O58">
        <f>'6 - B1'!O58</f>
        <v>6320.7119140000004</v>
      </c>
      <c r="P58">
        <f>'6 - B1'!P58</f>
        <v>6114.1987300000001</v>
      </c>
    </row>
    <row r="59" spans="1:16" x14ac:dyDescent="0.35">
      <c r="A59" s="93">
        <f>'6 - B1'!A59</f>
        <v>10</v>
      </c>
      <c r="B59">
        <f>'6 - B1'!B59</f>
        <v>5658.7919920000004</v>
      </c>
      <c r="C59">
        <f>'6 - B1'!C59</f>
        <v>5542.578125</v>
      </c>
      <c r="D59">
        <f>'6 - B1'!D59</f>
        <v>5241.3583980000003</v>
      </c>
      <c r="E59">
        <f>'6 - B1'!E59</f>
        <v>5390.3164059999999</v>
      </c>
      <c r="F59">
        <f>'6 - B1'!F59</f>
        <v>5217.0244140000004</v>
      </c>
      <c r="G59">
        <f>'6 - B1'!G59</f>
        <v>5658.7919920000004</v>
      </c>
      <c r="H59">
        <f>'6 - B1'!H59</f>
        <v>5542.578125</v>
      </c>
      <c r="I59">
        <f>'6 - B1'!I59</f>
        <v>5241.3583980000003</v>
      </c>
      <c r="J59">
        <f>'6 - B1'!J59</f>
        <v>5390.3164059999999</v>
      </c>
      <c r="K59">
        <f>'6 - B1'!K59</f>
        <v>5217.0244140000004</v>
      </c>
      <c r="L59">
        <f>'6 - B1'!L59</f>
        <v>5658.7919920000004</v>
      </c>
      <c r="M59">
        <f>'6 - B1'!M59</f>
        <v>5542.578125</v>
      </c>
      <c r="N59">
        <f>'6 - B1'!N59</f>
        <v>5241.3583980000003</v>
      </c>
      <c r="O59">
        <f>'6 - B1'!O59</f>
        <v>5390.3164059999999</v>
      </c>
      <c r="P59">
        <f>'6 - B1'!P59</f>
        <v>5217.0244140000004</v>
      </c>
    </row>
    <row r="60" spans="1:16" x14ac:dyDescent="0.35">
      <c r="A60" s="93">
        <f>'6 - B1'!A60</f>
        <v>11</v>
      </c>
      <c r="B60">
        <f>'6 - B1'!B60</f>
        <v>4823.6010740000002</v>
      </c>
      <c r="C60">
        <f>'6 - B1'!C60</f>
        <v>4705.1040039999998</v>
      </c>
      <c r="D60">
        <f>'6 - B1'!D60</f>
        <v>4447.1132809999999</v>
      </c>
      <c r="E60">
        <f>'6 - B1'!E60</f>
        <v>4590.4301759999998</v>
      </c>
      <c r="F60">
        <f>'6 - B1'!F60</f>
        <v>4430.5703119999998</v>
      </c>
      <c r="G60">
        <f>'6 - B1'!G60</f>
        <v>4823.6010740000002</v>
      </c>
      <c r="H60">
        <f>'6 - B1'!H60</f>
        <v>4705.1040039999998</v>
      </c>
      <c r="I60">
        <f>'6 - B1'!I60</f>
        <v>4447.1132809999999</v>
      </c>
      <c r="J60">
        <f>'6 - B1'!J60</f>
        <v>4590.4301759999998</v>
      </c>
      <c r="K60">
        <f>'6 - B1'!K60</f>
        <v>4430.5703119999998</v>
      </c>
      <c r="L60">
        <f>'6 - B1'!L60</f>
        <v>4823.6010740000002</v>
      </c>
      <c r="M60">
        <f>'6 - B1'!M60</f>
        <v>4705.1040039999998</v>
      </c>
      <c r="N60">
        <f>'6 - B1'!N60</f>
        <v>4447.1132809999999</v>
      </c>
      <c r="O60">
        <f>'6 - B1'!O60</f>
        <v>4590.4301759999998</v>
      </c>
      <c r="P60">
        <f>'6 - B1'!P60</f>
        <v>4430.5703119999998</v>
      </c>
    </row>
    <row r="61" spans="1:16" x14ac:dyDescent="0.35">
      <c r="A61" s="93">
        <f>'6 - B1'!A61</f>
        <v>12</v>
      </c>
      <c r="B61">
        <f>'6 - B1'!B61</f>
        <v>4052.2907709999999</v>
      </c>
      <c r="C61">
        <f>'6 - B1'!C61</f>
        <v>3942.4677729999999</v>
      </c>
      <c r="D61">
        <f>'6 - B1'!D61</f>
        <v>3703.1784670000002</v>
      </c>
      <c r="E61">
        <f>'6 - B1'!E61</f>
        <v>3827.2612300000001</v>
      </c>
      <c r="F61">
        <f>'6 - B1'!F61</f>
        <v>3675.7670899999998</v>
      </c>
      <c r="G61">
        <f>'6 - B1'!G61</f>
        <v>4052.2907709999999</v>
      </c>
      <c r="H61">
        <f>'6 - B1'!H61</f>
        <v>3942.4677729999999</v>
      </c>
      <c r="I61">
        <f>'6 - B1'!I61</f>
        <v>3703.1784670000002</v>
      </c>
      <c r="J61">
        <f>'6 - B1'!J61</f>
        <v>3827.2612300000001</v>
      </c>
      <c r="K61">
        <f>'6 - B1'!K61</f>
        <v>3675.7670899999998</v>
      </c>
      <c r="L61">
        <f>'6 - B1'!L61</f>
        <v>4052.2907709999999</v>
      </c>
      <c r="M61">
        <f>'6 - B1'!M61</f>
        <v>3942.4677729999999</v>
      </c>
      <c r="N61">
        <f>'6 - B1'!N61</f>
        <v>3703.1784670000002</v>
      </c>
      <c r="O61">
        <f>'6 - B1'!O61</f>
        <v>3827.2612300000001</v>
      </c>
      <c r="P61">
        <f>'6 - B1'!P61</f>
        <v>3675.7670899999998</v>
      </c>
    </row>
    <row r="62" spans="1:16" x14ac:dyDescent="0.35">
      <c r="A62" s="93">
        <f>'6 - B1'!A62</f>
        <v>13</v>
      </c>
      <c r="B62">
        <f>'6 - B1'!B62</f>
        <v>3367.008789</v>
      </c>
      <c r="C62">
        <f>'6 - B1'!C62</f>
        <v>3259.1477049999999</v>
      </c>
      <c r="D62">
        <f>'6 - B1'!D62</f>
        <v>3081.5439449999999</v>
      </c>
      <c r="E62">
        <f>'6 - B1'!E62</f>
        <v>3162.474365</v>
      </c>
      <c r="F62">
        <f>'6 - B1'!F62</f>
        <v>3043.8034670000002</v>
      </c>
      <c r="G62">
        <f>'6 - B1'!G62</f>
        <v>3367.008789</v>
      </c>
      <c r="H62">
        <f>'6 - B1'!H62</f>
        <v>3259.1477049999999</v>
      </c>
      <c r="I62">
        <f>'6 - B1'!I62</f>
        <v>3081.5439449999999</v>
      </c>
      <c r="J62">
        <f>'6 - B1'!J62</f>
        <v>3162.474365</v>
      </c>
      <c r="K62">
        <f>'6 - B1'!K62</f>
        <v>3043.8034670000002</v>
      </c>
      <c r="L62">
        <f>'6 - B1'!L62</f>
        <v>3367.008789</v>
      </c>
      <c r="M62">
        <f>'6 - B1'!M62</f>
        <v>3259.1477049999999</v>
      </c>
      <c r="N62">
        <f>'6 - B1'!N62</f>
        <v>3081.5439449999999</v>
      </c>
      <c r="O62">
        <f>'6 - B1'!O62</f>
        <v>3162.474365</v>
      </c>
      <c r="P62">
        <f>'6 - B1'!P62</f>
        <v>3043.8034670000002</v>
      </c>
    </row>
    <row r="63" spans="1:16" x14ac:dyDescent="0.35">
      <c r="A63" s="93">
        <f>'6 - B1'!A63</f>
        <v>14</v>
      </c>
      <c r="B63">
        <f>'6 - B1'!B63</f>
        <v>2748.0405270000001</v>
      </c>
      <c r="C63">
        <f>'6 - B1'!C63</f>
        <v>2656.9111330000001</v>
      </c>
      <c r="D63">
        <f>'6 - B1'!D63</f>
        <v>2502.679443</v>
      </c>
      <c r="E63">
        <f>'6 - B1'!E63</f>
        <v>2571.0034179999998</v>
      </c>
      <c r="F63">
        <f>'6 - B1'!F63</f>
        <v>2473.4948730000001</v>
      </c>
      <c r="G63">
        <f>'6 - B1'!G63</f>
        <v>2748.0405270000001</v>
      </c>
      <c r="H63">
        <f>'6 - B1'!H63</f>
        <v>2656.9111330000001</v>
      </c>
      <c r="I63">
        <f>'6 - B1'!I63</f>
        <v>2502.679443</v>
      </c>
      <c r="J63">
        <f>'6 - B1'!J63</f>
        <v>2571.0034179999998</v>
      </c>
      <c r="K63">
        <f>'6 - B1'!K63</f>
        <v>2473.4948730000001</v>
      </c>
      <c r="L63">
        <f>'6 - B1'!L63</f>
        <v>2748.0405270000001</v>
      </c>
      <c r="M63">
        <f>'6 - B1'!M63</f>
        <v>2656.9111330000001</v>
      </c>
      <c r="N63">
        <f>'6 - B1'!N63</f>
        <v>2502.679443</v>
      </c>
      <c r="O63">
        <f>'6 - B1'!O63</f>
        <v>2571.0034179999998</v>
      </c>
      <c r="P63">
        <f>'6 - B1'!P63</f>
        <v>2473.4948730000001</v>
      </c>
    </row>
    <row r="64" spans="1:16" x14ac:dyDescent="0.35">
      <c r="A64" s="93">
        <f>'6 - B1'!A64</f>
        <v>15</v>
      </c>
      <c r="B64">
        <f>'6 - B1'!B64</f>
        <v>2193.0812989999999</v>
      </c>
      <c r="C64">
        <f>'6 - B1'!C64</f>
        <v>2112.6591800000001</v>
      </c>
      <c r="D64">
        <f>'6 - B1'!D64</f>
        <v>1992.976807</v>
      </c>
      <c r="E64">
        <f>'6 - B1'!E64</f>
        <v>2039.6682129999999</v>
      </c>
      <c r="F64">
        <f>'6 - B1'!F64</f>
        <v>1945.3092039999999</v>
      </c>
      <c r="G64">
        <f>'6 - B1'!G64</f>
        <v>2193.0812989999999</v>
      </c>
      <c r="H64">
        <f>'6 - B1'!H64</f>
        <v>2112.6591800000001</v>
      </c>
      <c r="I64">
        <f>'6 - B1'!I64</f>
        <v>1992.976807</v>
      </c>
      <c r="J64">
        <f>'6 - B1'!J64</f>
        <v>2039.6682129999999</v>
      </c>
      <c r="K64">
        <f>'6 - B1'!K64</f>
        <v>1945.3092039999999</v>
      </c>
      <c r="L64">
        <f>'6 - B1'!L64</f>
        <v>2193.0812989999999</v>
      </c>
      <c r="M64">
        <f>'6 - B1'!M64</f>
        <v>2112.6591800000001</v>
      </c>
      <c r="N64">
        <f>'6 - B1'!N64</f>
        <v>1992.976807</v>
      </c>
      <c r="O64">
        <f>'6 - B1'!O64</f>
        <v>2039.6682129999999</v>
      </c>
      <c r="P64">
        <f>'6 - B1'!P64</f>
        <v>1945.3092039999999</v>
      </c>
    </row>
    <row r="65" spans="1:16" x14ac:dyDescent="0.35">
      <c r="A65" s="93">
        <f>'6 - B1'!A65</f>
        <v>16</v>
      </c>
      <c r="B65">
        <f>'6 - B1'!B65</f>
        <v>1726.4545900000001</v>
      </c>
      <c r="C65">
        <f>'6 - B1'!C65</f>
        <v>1663.1623540000001</v>
      </c>
      <c r="D65">
        <f>'6 - B1'!D65</f>
        <v>1566.221802</v>
      </c>
      <c r="E65">
        <f>'6 - B1'!E65</f>
        <v>1610.1281739999999</v>
      </c>
      <c r="F65">
        <f>'6 - B1'!F65</f>
        <v>1525.2551269999999</v>
      </c>
      <c r="G65">
        <f>'6 - B1'!G65</f>
        <v>1726.4545900000001</v>
      </c>
      <c r="H65">
        <f>'6 - B1'!H65</f>
        <v>1663.1623540000001</v>
      </c>
      <c r="I65">
        <f>'6 - B1'!I65</f>
        <v>1566.221802</v>
      </c>
      <c r="J65">
        <f>'6 - B1'!J65</f>
        <v>1610.1281739999999</v>
      </c>
      <c r="K65">
        <f>'6 - B1'!K65</f>
        <v>1525.2551269999999</v>
      </c>
      <c r="L65">
        <f>'6 - B1'!L65</f>
        <v>1726.4545900000001</v>
      </c>
      <c r="M65">
        <f>'6 - B1'!M65</f>
        <v>1663.1623540000001</v>
      </c>
      <c r="N65">
        <f>'6 - B1'!N65</f>
        <v>1566.221802</v>
      </c>
      <c r="O65">
        <f>'6 - B1'!O65</f>
        <v>1610.1281739999999</v>
      </c>
      <c r="P65">
        <f>'6 - B1'!P65</f>
        <v>1525.2551269999999</v>
      </c>
    </row>
    <row r="66" spans="1:16" x14ac:dyDescent="0.35">
      <c r="A66" s="93">
        <f>'6 - B1'!A66</f>
        <v>17</v>
      </c>
      <c r="B66">
        <f>'6 - B1'!B66</f>
        <v>1346.1123050000001</v>
      </c>
      <c r="C66">
        <f>'6 - B1'!C66</f>
        <v>1285.7923579999999</v>
      </c>
      <c r="D66">
        <f>'6 - B1'!D66</f>
        <v>1210.9853519999999</v>
      </c>
      <c r="E66">
        <f>'6 - B1'!E66</f>
        <v>1246.7254640000001</v>
      </c>
      <c r="F66">
        <f>'6 - B1'!F66</f>
        <v>1162.9731449999999</v>
      </c>
      <c r="G66">
        <f>'6 - B1'!G66</f>
        <v>1346.1123050000001</v>
      </c>
      <c r="H66">
        <f>'6 - B1'!H66</f>
        <v>1285.7923579999999</v>
      </c>
      <c r="I66">
        <f>'6 - B1'!I66</f>
        <v>1210.9853519999999</v>
      </c>
      <c r="J66">
        <f>'6 - B1'!J66</f>
        <v>1246.7254640000001</v>
      </c>
      <c r="K66">
        <f>'6 - B1'!K66</f>
        <v>1162.9731449999999</v>
      </c>
      <c r="L66">
        <f>'6 - B1'!L66</f>
        <v>1346.1123050000001</v>
      </c>
      <c r="M66">
        <f>'6 - B1'!M66</f>
        <v>1285.7923579999999</v>
      </c>
      <c r="N66">
        <f>'6 - B1'!N66</f>
        <v>1210.9853519999999</v>
      </c>
      <c r="O66">
        <f>'6 - B1'!O66</f>
        <v>1246.7254640000001</v>
      </c>
      <c r="P66">
        <f>'6 - B1'!P66</f>
        <v>1162.9731449999999</v>
      </c>
    </row>
    <row r="67" spans="1:16" x14ac:dyDescent="0.35">
      <c r="A67" s="93">
        <f>'6 - B1'!A67</f>
        <v>18</v>
      </c>
      <c r="B67">
        <f>'6 - B1'!B67</f>
        <v>1032.8515620000001</v>
      </c>
      <c r="C67">
        <f>'6 - B1'!C67</f>
        <v>978.30999799999995</v>
      </c>
      <c r="D67">
        <f>'6 - B1'!D67</f>
        <v>925.97131300000001</v>
      </c>
      <c r="E67">
        <f>'6 - B1'!E67</f>
        <v>954.40283199999999</v>
      </c>
      <c r="F67">
        <f>'6 - B1'!F67</f>
        <v>880.58392300000003</v>
      </c>
      <c r="G67">
        <f>'6 - B1'!G67</f>
        <v>1032.8515620000001</v>
      </c>
      <c r="H67">
        <f>'6 - B1'!H67</f>
        <v>978.30999799999995</v>
      </c>
      <c r="I67">
        <f>'6 - B1'!I67</f>
        <v>925.97131300000001</v>
      </c>
      <c r="J67">
        <f>'6 - B1'!J67</f>
        <v>954.40283199999999</v>
      </c>
      <c r="K67">
        <f>'6 - B1'!K67</f>
        <v>880.58392300000003</v>
      </c>
      <c r="L67">
        <f>'6 - B1'!L67</f>
        <v>1032.8515620000001</v>
      </c>
      <c r="M67">
        <f>'6 - B1'!M67</f>
        <v>978.30999799999995</v>
      </c>
      <c r="N67">
        <f>'6 - B1'!N67</f>
        <v>925.97131300000001</v>
      </c>
      <c r="O67">
        <f>'6 - B1'!O67</f>
        <v>954.40283199999999</v>
      </c>
      <c r="P67">
        <f>'6 - B1'!P67</f>
        <v>880.58392300000003</v>
      </c>
    </row>
    <row r="68" spans="1:16" x14ac:dyDescent="0.35">
      <c r="A68" s="93">
        <f>'6 - B1'!A68</f>
        <v>19</v>
      </c>
      <c r="B68">
        <f>'6 - B1'!B68</f>
        <v>797.80993699999999</v>
      </c>
      <c r="C68">
        <f>'6 - B1'!C68</f>
        <v>751.08654799999999</v>
      </c>
      <c r="D68">
        <f>'6 - B1'!D68</f>
        <v>709.76605199999995</v>
      </c>
      <c r="E68">
        <f>'6 - B1'!E68</f>
        <v>727.98223900000005</v>
      </c>
      <c r="F68">
        <f>'6 - B1'!F68</f>
        <v>665.37976100000003</v>
      </c>
      <c r="G68">
        <f>'6 - B1'!G68</f>
        <v>797.80993699999999</v>
      </c>
      <c r="H68">
        <f>'6 - B1'!H68</f>
        <v>751.08654799999999</v>
      </c>
      <c r="I68">
        <f>'6 - B1'!I68</f>
        <v>709.76605199999995</v>
      </c>
      <c r="J68">
        <f>'6 - B1'!J68</f>
        <v>727.98223900000005</v>
      </c>
      <c r="K68">
        <f>'6 - B1'!K68</f>
        <v>665.37976100000003</v>
      </c>
      <c r="L68">
        <f>'6 - B1'!L68</f>
        <v>797.80993699999999</v>
      </c>
      <c r="M68">
        <f>'6 - B1'!M68</f>
        <v>751.08654799999999</v>
      </c>
      <c r="N68">
        <f>'6 - B1'!N68</f>
        <v>709.76605199999995</v>
      </c>
      <c r="O68">
        <f>'6 - B1'!O68</f>
        <v>727.98223900000005</v>
      </c>
      <c r="P68">
        <f>'6 - B1'!P68</f>
        <v>665.37976100000003</v>
      </c>
    </row>
    <row r="69" spans="1:16" x14ac:dyDescent="0.35">
      <c r="A69" s="93">
        <f>'6 - B1'!A69</f>
        <v>20</v>
      </c>
      <c r="B69">
        <f>'6 - B1'!B69</f>
        <v>610.519226</v>
      </c>
      <c r="C69">
        <f>'6 - B1'!C69</f>
        <v>568.64782700000001</v>
      </c>
      <c r="D69">
        <f>'6 - B1'!D69</f>
        <v>537.74438499999997</v>
      </c>
      <c r="E69">
        <f>'6 - B1'!E69</f>
        <v>552.87109399999997</v>
      </c>
      <c r="F69">
        <f>'6 - B1'!F69</f>
        <v>502.77056900000002</v>
      </c>
      <c r="G69">
        <f>'6 - B1'!G69</f>
        <v>610.519226</v>
      </c>
      <c r="H69">
        <f>'6 - B1'!H69</f>
        <v>568.64782700000001</v>
      </c>
      <c r="I69">
        <f>'6 - B1'!I69</f>
        <v>537.74438499999997</v>
      </c>
      <c r="J69">
        <f>'6 - B1'!J69</f>
        <v>552.87109399999997</v>
      </c>
      <c r="K69">
        <f>'6 - B1'!K69</f>
        <v>502.77056900000002</v>
      </c>
      <c r="L69">
        <f>'6 - B1'!L69</f>
        <v>610.519226</v>
      </c>
      <c r="M69">
        <f>'6 - B1'!M69</f>
        <v>568.64782700000001</v>
      </c>
      <c r="N69">
        <f>'6 - B1'!N69</f>
        <v>537.74438499999997</v>
      </c>
      <c r="O69">
        <f>'6 - B1'!O69</f>
        <v>552.87109399999997</v>
      </c>
      <c r="P69">
        <f>'6 - B1'!P69</f>
        <v>502.77056900000002</v>
      </c>
    </row>
    <row r="70" spans="1:16" x14ac:dyDescent="0.35">
      <c r="A70" s="93">
        <f>'6 - B1'!A70</f>
        <v>21</v>
      </c>
      <c r="B70">
        <f>'6 - B1'!B70</f>
        <v>471.87539700000002</v>
      </c>
      <c r="C70">
        <f>'6 - B1'!C70</f>
        <v>432.17236300000002</v>
      </c>
      <c r="D70">
        <f>'6 - B1'!D70</f>
        <v>413.67672700000003</v>
      </c>
      <c r="E70">
        <f>'6 - B1'!E70</f>
        <v>428.12792999999999</v>
      </c>
      <c r="F70">
        <f>'6 - B1'!F70</f>
        <v>375.930725</v>
      </c>
      <c r="G70">
        <f>'6 - B1'!G70</f>
        <v>471.87539700000002</v>
      </c>
      <c r="H70">
        <f>'6 - B1'!H70</f>
        <v>432.17236300000002</v>
      </c>
      <c r="I70">
        <f>'6 - B1'!I70</f>
        <v>413.67672700000003</v>
      </c>
      <c r="J70">
        <f>'6 - B1'!J70</f>
        <v>428.12792999999999</v>
      </c>
      <c r="K70">
        <f>'6 - B1'!K70</f>
        <v>375.930725</v>
      </c>
      <c r="L70">
        <f>'6 - B1'!L70</f>
        <v>471.87539700000002</v>
      </c>
      <c r="M70">
        <f>'6 - B1'!M70</f>
        <v>432.17236300000002</v>
      </c>
      <c r="N70">
        <f>'6 - B1'!N70</f>
        <v>413.67672700000003</v>
      </c>
      <c r="O70">
        <f>'6 - B1'!O70</f>
        <v>428.12792999999999</v>
      </c>
      <c r="P70">
        <f>'6 - B1'!P70</f>
        <v>375.930725</v>
      </c>
    </row>
    <row r="71" spans="1:16" x14ac:dyDescent="0.35">
      <c r="A71" s="93">
        <f>'6 - B1'!A71</f>
        <v>22</v>
      </c>
      <c r="B71">
        <f>'6 - B1'!B71</f>
        <v>362.67581200000001</v>
      </c>
      <c r="C71">
        <f>'6 - B1'!C71</f>
        <v>338.124481</v>
      </c>
      <c r="D71">
        <f>'6 - B1'!D71</f>
        <v>318.94699100000003</v>
      </c>
      <c r="E71">
        <f>'6 - B1'!E71</f>
        <v>328.56875600000001</v>
      </c>
      <c r="F71">
        <f>'6 - B1'!F71</f>
        <v>283.33056599999998</v>
      </c>
      <c r="G71">
        <f>'6 - B1'!G71</f>
        <v>362.67581200000001</v>
      </c>
      <c r="H71">
        <f>'6 - B1'!H71</f>
        <v>338.124481</v>
      </c>
      <c r="I71">
        <f>'6 - B1'!I71</f>
        <v>318.94699100000003</v>
      </c>
      <c r="J71">
        <f>'6 - B1'!J71</f>
        <v>328.56875600000001</v>
      </c>
      <c r="K71">
        <f>'6 - B1'!K71</f>
        <v>283.33056599999998</v>
      </c>
      <c r="L71">
        <f>'6 - B1'!L71</f>
        <v>362.67581200000001</v>
      </c>
      <c r="M71">
        <f>'6 - B1'!M71</f>
        <v>338.124481</v>
      </c>
      <c r="N71">
        <f>'6 - B1'!N71</f>
        <v>318.94699100000003</v>
      </c>
      <c r="O71">
        <f>'6 - B1'!O71</f>
        <v>328.56875600000001</v>
      </c>
      <c r="P71">
        <f>'6 - B1'!P71</f>
        <v>283.33056599999998</v>
      </c>
    </row>
    <row r="72" spans="1:16" x14ac:dyDescent="0.35">
      <c r="A72" s="93">
        <f>'6 - B1'!A72</f>
        <v>23</v>
      </c>
      <c r="B72">
        <f>'6 - B1'!B72</f>
        <v>277.287598</v>
      </c>
      <c r="C72">
        <f>'6 - B1'!C72</f>
        <v>260.81195100000002</v>
      </c>
      <c r="D72">
        <f>'6 - B1'!D72</f>
        <v>240.123367</v>
      </c>
      <c r="E72">
        <f>'6 - B1'!E72</f>
        <v>252.192993</v>
      </c>
      <c r="F72">
        <f>'6 - B1'!F72</f>
        <v>213.43924000000001</v>
      </c>
      <c r="G72">
        <f>'6 - B1'!G72</f>
        <v>277.287598</v>
      </c>
      <c r="H72">
        <f>'6 - B1'!H72</f>
        <v>260.81195100000002</v>
      </c>
      <c r="I72">
        <f>'6 - B1'!I72</f>
        <v>240.123367</v>
      </c>
      <c r="J72">
        <f>'6 - B1'!J72</f>
        <v>252.192993</v>
      </c>
      <c r="K72">
        <f>'6 - B1'!K72</f>
        <v>213.43924000000001</v>
      </c>
      <c r="L72">
        <f>'6 - B1'!L72</f>
        <v>277.287598</v>
      </c>
      <c r="M72">
        <f>'6 - B1'!M72</f>
        <v>260.81195100000002</v>
      </c>
      <c r="N72">
        <f>'6 - B1'!N72</f>
        <v>240.123367</v>
      </c>
      <c r="O72">
        <f>'6 - B1'!O72</f>
        <v>252.192993</v>
      </c>
      <c r="P72">
        <f>'6 - B1'!P72</f>
        <v>213.43924000000001</v>
      </c>
    </row>
    <row r="73" spans="1:16" x14ac:dyDescent="0.35">
      <c r="A73" s="93">
        <f>'6 - B1'!A73</f>
        <v>24</v>
      </c>
      <c r="B73">
        <f>'6 - B1'!B73</f>
        <v>211.998276</v>
      </c>
      <c r="C73">
        <f>'6 - B1'!C73</f>
        <v>201.649002</v>
      </c>
      <c r="D73">
        <f>'6 - B1'!D73</f>
        <v>181.447495</v>
      </c>
      <c r="E73">
        <f>'6 - B1'!E73</f>
        <v>192.99884</v>
      </c>
      <c r="F73">
        <f>'6 - B1'!F73</f>
        <v>157.43202199999999</v>
      </c>
      <c r="G73">
        <f>'6 - B1'!G73</f>
        <v>211.998276</v>
      </c>
      <c r="H73">
        <f>'6 - B1'!H73</f>
        <v>201.649002</v>
      </c>
      <c r="I73">
        <f>'6 - B1'!I73</f>
        <v>181.447495</v>
      </c>
      <c r="J73">
        <f>'6 - B1'!J73</f>
        <v>192.99884</v>
      </c>
      <c r="K73">
        <f>'6 - B1'!K73</f>
        <v>157.43202199999999</v>
      </c>
      <c r="L73">
        <f>'6 - B1'!L73</f>
        <v>211.998276</v>
      </c>
      <c r="M73">
        <f>'6 - B1'!M73</f>
        <v>201.649002</v>
      </c>
      <c r="N73">
        <f>'6 - B1'!N73</f>
        <v>181.447495</v>
      </c>
      <c r="O73">
        <f>'6 - B1'!O73</f>
        <v>192.99884</v>
      </c>
      <c r="P73">
        <f>'6 - B1'!P73</f>
        <v>157.43202199999999</v>
      </c>
    </row>
    <row r="74" spans="1:16" x14ac:dyDescent="0.35">
      <c r="A74" s="93">
        <f>'6 - B1'!A74</f>
        <v>25</v>
      </c>
      <c r="B74">
        <f>'6 - B1'!B74</f>
        <v>154.39004499999999</v>
      </c>
      <c r="C74">
        <f>'6 - B1'!C74</f>
        <v>156.98216199999999</v>
      </c>
      <c r="D74">
        <f>'6 - B1'!D74</f>
        <v>137.97079500000001</v>
      </c>
      <c r="E74">
        <f>'6 - B1'!E74</f>
        <v>146.04364000000001</v>
      </c>
      <c r="F74">
        <f>'6 - B1'!F74</f>
        <v>117.42688</v>
      </c>
      <c r="G74">
        <f>'6 - B1'!G74</f>
        <v>154.39004499999999</v>
      </c>
      <c r="H74">
        <f>'6 - B1'!H74</f>
        <v>156.98216199999999</v>
      </c>
      <c r="I74">
        <f>'6 - B1'!I74</f>
        <v>137.97079500000001</v>
      </c>
      <c r="J74">
        <f>'6 - B1'!J74</f>
        <v>146.04364000000001</v>
      </c>
      <c r="K74">
        <f>'6 - B1'!K74</f>
        <v>117.42688</v>
      </c>
      <c r="L74">
        <f>'6 - B1'!L74</f>
        <v>154.39004499999999</v>
      </c>
      <c r="M74">
        <f>'6 - B1'!M74</f>
        <v>156.98216199999999</v>
      </c>
      <c r="N74">
        <f>'6 - B1'!N74</f>
        <v>137.97079500000001</v>
      </c>
      <c r="O74">
        <f>'6 - B1'!O74</f>
        <v>146.04364000000001</v>
      </c>
      <c r="P74">
        <f>'6 - B1'!P74</f>
        <v>117.42688</v>
      </c>
    </row>
    <row r="75" spans="1:16" x14ac:dyDescent="0.35">
      <c r="A75" s="93">
        <f>'6 - B1'!A75</f>
        <v>26</v>
      </c>
      <c r="B75">
        <f>'6 - B1'!B75</f>
        <v>116.752678</v>
      </c>
      <c r="C75">
        <f>'6 - B1'!C75</f>
        <v>118.915161</v>
      </c>
      <c r="D75">
        <f>'6 - B1'!D75</f>
        <v>107.925911</v>
      </c>
      <c r="E75">
        <f>'6 - B1'!E75</f>
        <v>109.915192</v>
      </c>
      <c r="F75">
        <f>'6 - B1'!F75</f>
        <v>87.893660999999994</v>
      </c>
      <c r="G75">
        <f>'6 - B1'!G75</f>
        <v>116.752678</v>
      </c>
      <c r="H75">
        <f>'6 - B1'!H75</f>
        <v>118.915161</v>
      </c>
      <c r="I75">
        <f>'6 - B1'!I75</f>
        <v>107.925911</v>
      </c>
      <c r="J75">
        <f>'6 - B1'!J75</f>
        <v>109.915192</v>
      </c>
      <c r="K75">
        <f>'6 - B1'!K75</f>
        <v>87.893660999999994</v>
      </c>
      <c r="L75">
        <f>'6 - B1'!L75</f>
        <v>116.752678</v>
      </c>
      <c r="M75">
        <f>'6 - B1'!M75</f>
        <v>118.915161</v>
      </c>
      <c r="N75">
        <f>'6 - B1'!N75</f>
        <v>107.925911</v>
      </c>
      <c r="O75">
        <f>'6 - B1'!O75</f>
        <v>109.915192</v>
      </c>
      <c r="P75">
        <f>'6 - B1'!P75</f>
        <v>87.893660999999994</v>
      </c>
    </row>
    <row r="76" spans="1:16" x14ac:dyDescent="0.35">
      <c r="A76" s="93">
        <f>'6 - B1'!A76</f>
        <v>27</v>
      </c>
      <c r="B76">
        <f>'6 - B1'!B76</f>
        <v>84.492064999999997</v>
      </c>
      <c r="C76">
        <f>'6 - B1'!C76</f>
        <v>89.922966000000002</v>
      </c>
      <c r="D76">
        <f>'6 - B1'!D76</f>
        <v>78.470153999999994</v>
      </c>
      <c r="E76">
        <f>'6 - B1'!E76</f>
        <v>79.788544000000002</v>
      </c>
      <c r="F76">
        <f>'6 - B1'!F76</f>
        <v>64.008240000000001</v>
      </c>
      <c r="G76">
        <f>'6 - B1'!G76</f>
        <v>84.492064999999997</v>
      </c>
      <c r="H76">
        <f>'6 - B1'!H76</f>
        <v>89.922966000000002</v>
      </c>
      <c r="I76">
        <f>'6 - B1'!I76</f>
        <v>78.470153999999994</v>
      </c>
      <c r="J76">
        <f>'6 - B1'!J76</f>
        <v>79.788544000000002</v>
      </c>
      <c r="K76">
        <f>'6 - B1'!K76</f>
        <v>64.008240000000001</v>
      </c>
      <c r="L76">
        <f>'6 - B1'!L76</f>
        <v>84.492064999999997</v>
      </c>
      <c r="M76">
        <f>'6 - B1'!M76</f>
        <v>89.922966000000002</v>
      </c>
      <c r="N76">
        <f>'6 - B1'!N76</f>
        <v>78.470153999999994</v>
      </c>
      <c r="O76">
        <f>'6 - B1'!O76</f>
        <v>79.788544000000002</v>
      </c>
      <c r="P76">
        <f>'6 - B1'!P76</f>
        <v>64.008240000000001</v>
      </c>
    </row>
    <row r="77" spans="1:16" x14ac:dyDescent="0.35">
      <c r="A77" s="93">
        <f>'6 - B1'!A77</f>
        <v>28</v>
      </c>
      <c r="B77">
        <f>'6 - B1'!B77</f>
        <v>61.064720000000001</v>
      </c>
      <c r="C77">
        <f>'6 - B1'!C77</f>
        <v>69.298430999999994</v>
      </c>
      <c r="D77">
        <f>'6 - B1'!D77</f>
        <v>60.678871000000001</v>
      </c>
      <c r="E77">
        <f>'6 - B1'!E77</f>
        <v>56.016734999999997</v>
      </c>
      <c r="F77">
        <f>'6 - B1'!F77</f>
        <v>47.064880000000002</v>
      </c>
      <c r="G77">
        <f>'6 - B1'!G77</f>
        <v>61.064720000000001</v>
      </c>
      <c r="H77">
        <f>'6 - B1'!H77</f>
        <v>69.298430999999994</v>
      </c>
      <c r="I77">
        <f>'6 - B1'!I77</f>
        <v>60.678871000000001</v>
      </c>
      <c r="J77">
        <f>'6 - B1'!J77</f>
        <v>56.016734999999997</v>
      </c>
      <c r="K77">
        <f>'6 - B1'!K77</f>
        <v>47.064880000000002</v>
      </c>
      <c r="L77">
        <f>'6 - B1'!L77</f>
        <v>61.064720000000001</v>
      </c>
      <c r="M77">
        <f>'6 - B1'!M77</f>
        <v>69.298430999999994</v>
      </c>
      <c r="N77">
        <f>'6 - B1'!N77</f>
        <v>60.678871000000001</v>
      </c>
      <c r="O77">
        <f>'6 - B1'!O77</f>
        <v>56.016734999999997</v>
      </c>
      <c r="P77">
        <f>'6 - B1'!P77</f>
        <v>47.064880000000002</v>
      </c>
    </row>
    <row r="78" spans="1:16" x14ac:dyDescent="0.35">
      <c r="A78" s="93">
        <f>'6 - B1'!A78</f>
        <v>29</v>
      </c>
      <c r="B78">
        <f>'6 - B1'!B78</f>
        <v>46.086582</v>
      </c>
      <c r="C78">
        <f>'6 - B1'!C78</f>
        <v>51.266697000000001</v>
      </c>
      <c r="D78">
        <f>'6 - B1'!D78</f>
        <v>42.769767999999999</v>
      </c>
      <c r="E78">
        <f>'6 - B1'!E78</f>
        <v>41.306457999999999</v>
      </c>
      <c r="F78">
        <f>'6 - B1'!F78</f>
        <v>32.121780000000001</v>
      </c>
      <c r="G78">
        <f>'6 - B1'!G78</f>
        <v>46.086582</v>
      </c>
      <c r="H78">
        <f>'6 - B1'!H78</f>
        <v>51.266697000000001</v>
      </c>
      <c r="I78">
        <f>'6 - B1'!I78</f>
        <v>42.769767999999999</v>
      </c>
      <c r="J78">
        <f>'6 - B1'!J78</f>
        <v>41.306457999999999</v>
      </c>
      <c r="K78">
        <f>'6 - B1'!K78</f>
        <v>32.121780000000001</v>
      </c>
      <c r="L78">
        <f>'6 - B1'!L78</f>
        <v>46.086582</v>
      </c>
      <c r="M78">
        <f>'6 - B1'!M78</f>
        <v>51.266697000000001</v>
      </c>
      <c r="N78">
        <f>'6 - B1'!N78</f>
        <v>42.769767999999999</v>
      </c>
      <c r="O78">
        <f>'6 - B1'!O78</f>
        <v>41.306457999999999</v>
      </c>
      <c r="P78">
        <f>'6 - B1'!P78</f>
        <v>32.121780000000001</v>
      </c>
    </row>
    <row r="79" spans="1:16" x14ac:dyDescent="0.35">
      <c r="A79" s="93">
        <f>'6 - B1'!A79</f>
        <v>30</v>
      </c>
      <c r="B79">
        <f>'6 - B1'!B79</f>
        <v>35.973137000000001</v>
      </c>
      <c r="C79">
        <f>'6 - B1'!C79</f>
        <v>37.006306000000002</v>
      </c>
      <c r="D79">
        <f>'6 - B1'!D79</f>
        <v>30.751816000000002</v>
      </c>
      <c r="E79">
        <f>'6 - B1'!E79</f>
        <v>28.832144</v>
      </c>
      <c r="F79">
        <f>'6 - B1'!F79</f>
        <v>20.943871999999999</v>
      </c>
      <c r="G79">
        <f>'6 - B1'!G79</f>
        <v>35.973137000000001</v>
      </c>
      <c r="H79">
        <f>'6 - B1'!H79</f>
        <v>37.006306000000002</v>
      </c>
      <c r="I79">
        <f>'6 - B1'!I79</f>
        <v>30.751816000000002</v>
      </c>
      <c r="J79">
        <f>'6 - B1'!J79</f>
        <v>28.832144</v>
      </c>
      <c r="K79">
        <f>'6 - B1'!K79</f>
        <v>20.943871999999999</v>
      </c>
      <c r="L79">
        <f>'6 - B1'!L79</f>
        <v>35.973137000000001</v>
      </c>
      <c r="M79">
        <f>'6 - B1'!M79</f>
        <v>37.006306000000002</v>
      </c>
      <c r="N79">
        <f>'6 - B1'!N79</f>
        <v>30.751816000000002</v>
      </c>
      <c r="O79">
        <f>'6 - B1'!O79</f>
        <v>28.832144</v>
      </c>
      <c r="P79">
        <f>'6 - B1'!P79</f>
        <v>20.943871999999999</v>
      </c>
    </row>
    <row r="80" spans="1:16" x14ac:dyDescent="0.35">
      <c r="A80" s="93">
        <f>'6 - B1'!A80</f>
        <v>38</v>
      </c>
      <c r="B80">
        <f>'6 - B1'!B80</f>
        <v>25.731674000000002</v>
      </c>
      <c r="C80">
        <f>'6 - B1'!C80</f>
        <v>25.927983999999999</v>
      </c>
      <c r="D80">
        <f>'6 - B1'!D80</f>
        <v>21.090326000000001</v>
      </c>
      <c r="E80">
        <f>'6 - B1'!E80</f>
        <v>19.652930999999999</v>
      </c>
      <c r="F80">
        <f>'6 - B1'!F80</f>
        <v>14.707775</v>
      </c>
      <c r="G80">
        <f>'6 - B1'!G80</f>
        <v>25.731674000000002</v>
      </c>
      <c r="H80">
        <f>'6 - B1'!H80</f>
        <v>25.927983999999999</v>
      </c>
      <c r="I80">
        <f>'6 - B1'!I80</f>
        <v>21.090326000000001</v>
      </c>
      <c r="J80">
        <f>'6 - B1'!J80</f>
        <v>19.652930999999999</v>
      </c>
      <c r="K80">
        <f>'6 - B1'!K80</f>
        <v>14.707775</v>
      </c>
      <c r="L80">
        <f>'6 - B1'!L80</f>
        <v>25.731674000000002</v>
      </c>
      <c r="M80">
        <f>'6 - B1'!M80</f>
        <v>25.927983999999999</v>
      </c>
      <c r="N80">
        <f>'6 - B1'!N80</f>
        <v>21.090326000000001</v>
      </c>
      <c r="O80">
        <f>'6 - B1'!O80</f>
        <v>19.652930999999999</v>
      </c>
      <c r="P80">
        <f>'6 - B1'!P80</f>
        <v>14.707775</v>
      </c>
    </row>
    <row r="81" spans="1:16" x14ac:dyDescent="0.35">
      <c r="A81" s="93">
        <f>'6 - B1'!A81</f>
        <v>50</v>
      </c>
      <c r="B81">
        <f>'6 - B1'!B81</f>
        <v>17.282468999999999</v>
      </c>
      <c r="C81">
        <f>'6 - B1'!C81</f>
        <v>17.796026000000001</v>
      </c>
      <c r="D81">
        <f>'6 - B1'!D81</f>
        <v>13.903119999999999</v>
      </c>
      <c r="E81">
        <f>'6 - B1'!E81</f>
        <v>13.76882</v>
      </c>
      <c r="F81">
        <f>'6 - B1'!F81</f>
        <v>9.6483000000000008</v>
      </c>
      <c r="G81">
        <f>'6 - B1'!G81</f>
        <v>17.282468999999999</v>
      </c>
      <c r="H81">
        <f>'6 - B1'!H81</f>
        <v>17.796026000000001</v>
      </c>
      <c r="I81">
        <f>'6 - B1'!I81</f>
        <v>13.903119999999999</v>
      </c>
      <c r="J81">
        <f>'6 - B1'!J81</f>
        <v>13.76882</v>
      </c>
      <c r="K81">
        <f>'6 - B1'!K81</f>
        <v>9.6483000000000008</v>
      </c>
      <c r="L81">
        <f>'6 - B1'!L81</f>
        <v>17.282468999999999</v>
      </c>
      <c r="M81">
        <f>'6 - B1'!M81</f>
        <v>17.796026000000001</v>
      </c>
      <c r="N81">
        <f>'6 - B1'!N81</f>
        <v>13.903119999999999</v>
      </c>
      <c r="O81">
        <f>'6 - B1'!O81</f>
        <v>13.76882</v>
      </c>
      <c r="P81">
        <f>'6 - B1'!P81</f>
        <v>9.6483000000000008</v>
      </c>
    </row>
    <row r="82" spans="1:16" x14ac:dyDescent="0.35">
      <c r="A82" s="93">
        <f>'6 - B1'!A82</f>
        <v>70</v>
      </c>
      <c r="B82">
        <f>'6 - B1'!B82</f>
        <v>11.521646</v>
      </c>
      <c r="C82">
        <f>'6 - B1'!C82</f>
        <v>11.314030000000001</v>
      </c>
      <c r="D82">
        <f>'6 - B1'!D82</f>
        <v>9.8971359999999997</v>
      </c>
      <c r="E82">
        <f>'6 - B1'!E82</f>
        <v>10.826764000000001</v>
      </c>
      <c r="F82">
        <f>'6 - B1'!F82</f>
        <v>6.4714210000000003</v>
      </c>
      <c r="G82">
        <f>'6 - B1'!G82</f>
        <v>11.521646</v>
      </c>
      <c r="H82">
        <f>'6 - B1'!H82</f>
        <v>11.314030000000001</v>
      </c>
      <c r="I82">
        <f>'6 - B1'!I82</f>
        <v>9.8971359999999997</v>
      </c>
      <c r="J82">
        <f>'6 - B1'!J82</f>
        <v>10.826764000000001</v>
      </c>
      <c r="K82">
        <f>'6 - B1'!K82</f>
        <v>6.4714210000000003</v>
      </c>
      <c r="L82">
        <f>'6 - B1'!L82</f>
        <v>11.521646</v>
      </c>
      <c r="M82">
        <f>'6 - B1'!M82</f>
        <v>11.314030000000001</v>
      </c>
      <c r="N82">
        <f>'6 - B1'!N82</f>
        <v>9.8971359999999997</v>
      </c>
      <c r="O82">
        <f>'6 - B1'!O82</f>
        <v>10.826764000000001</v>
      </c>
      <c r="P82">
        <f>'6 - B1'!P82</f>
        <v>6.4714210000000003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topLeftCell="A4" zoomScale="70" zoomScaleNormal="70" workbookViewId="0">
      <selection activeCell="O31" sqref="O31"/>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183</v>
      </c>
      <c r="O2" s="75"/>
    </row>
    <row r="3" spans="1:49" ht="13.15" x14ac:dyDescent="0.4">
      <c r="A3" t="str">
        <f>'6 - B1'!$A$3</f>
        <v>Serial #</v>
      </c>
      <c r="B3" s="73" t="str">
        <f>'6 - B1'!$B$3</f>
        <v>11171-00009</v>
      </c>
    </row>
    <row r="4" spans="1:49" ht="17.100000000000001" customHeight="1" x14ac:dyDescent="1.05">
      <c r="A4" s="8" t="str">
        <f>'6 - B1'!$A$4</f>
        <v>Date</v>
      </c>
      <c r="B4" s="74">
        <f>'6 - B1'!$B$4</f>
        <v>46009</v>
      </c>
      <c r="O4" s="75"/>
    </row>
    <row r="5" spans="1:49" ht="13.15" x14ac:dyDescent="0.4">
      <c r="A5" s="8" t="str">
        <f>'6 - B1'!$A$5</f>
        <v>RM</v>
      </c>
      <c r="B5" s="90" t="str">
        <f>'6 - B1'!$B$5</f>
        <v>37D</v>
      </c>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380</v>
      </c>
      <c r="M7" s="65" t="s">
        <v>138</v>
      </c>
      <c r="O7" s="65"/>
    </row>
    <row r="8" spans="1:49" ht="13.15" x14ac:dyDescent="0.4">
      <c r="A8" s="68" t="s">
        <v>139</v>
      </c>
      <c r="B8" s="46">
        <f>L52</f>
        <v>7.8113840000000003</v>
      </c>
      <c r="C8" s="46">
        <f>M52</f>
        <v>8.4850410000000007</v>
      </c>
      <c r="D8" s="46">
        <f>N52</f>
        <v>8.487304</v>
      </c>
      <c r="E8" s="46">
        <f>O52</f>
        <v>8.4974600000000002</v>
      </c>
      <c r="F8" s="46">
        <f>P52</f>
        <v>8.4989059999999998</v>
      </c>
      <c r="G8" s="78">
        <f>AVERAGE(B$8:F$8)*5</f>
        <v>41.780095000000003</v>
      </c>
      <c r="I8" s="79"/>
      <c r="K8" s="79"/>
    </row>
    <row r="9" spans="1:49" x14ac:dyDescent="0.35">
      <c r="A9" s="68" t="s">
        <v>140</v>
      </c>
      <c r="B9" s="42">
        <f>L53</f>
        <v>12748.444336</v>
      </c>
      <c r="C9" s="42">
        <f t="shared" ref="C9:F9" si="0">M53</f>
        <v>12757.982421999999</v>
      </c>
      <c r="D9" s="42">
        <f t="shared" si="0"/>
        <v>12023.959961</v>
      </c>
      <c r="E9" s="42">
        <f t="shared" si="0"/>
        <v>12393.349609000001</v>
      </c>
      <c r="F9" s="42">
        <f t="shared" si="0"/>
        <v>12082.966796999999</v>
      </c>
      <c r="G9" s="43">
        <f t="shared" ref="G9:G38" si="1">AVERAGE(B9:F9)</f>
        <v>12401.340625000001</v>
      </c>
      <c r="H9" s="81">
        <f t="shared" ref="H9:H38" si="2">G9*G$8</f>
        <v>518129.18943985942</v>
      </c>
      <c r="I9" s="79">
        <f t="shared" ref="I9:I38" si="3">STDEVP(B9:F9)/G9</f>
        <v>2.5282226180954145E-2</v>
      </c>
      <c r="J9" s="79">
        <f t="shared" ref="J9:J38" si="4">IF(H9&gt;$A$43, $C$43, IF(H9&gt;$A$44, $C$44, IF(H9&gt;$A$45,$C$45,IF(H9&gt;$A$46,$C$46, IF(H9&gt;$A$47,$C$47,IF(H9&gt;$A$48,$C$48,$C$49))))))/100</f>
        <v>0.11</v>
      </c>
      <c r="K9" s="79">
        <f t="shared" ref="K9:K38" si="5">(MAX(B9:F9)-MIN(B9:F9))/G9</f>
        <v>5.9188960548368023E-2</v>
      </c>
      <c r="L9" s="42">
        <f>G9/'Clause 6'!$I$11</f>
        <v>12401.340625000001</v>
      </c>
      <c r="M9">
        <f t="shared" ref="M9:M38" si="6">COUNTA(B9:F9)</f>
        <v>5</v>
      </c>
      <c r="O9" s="42"/>
    </row>
    <row r="10" spans="1:49" x14ac:dyDescent="0.35">
      <c r="A10" s="68" t="s">
        <v>141</v>
      </c>
      <c r="B10" s="42">
        <f t="shared" ref="B10:F10" si="7">L54</f>
        <v>11296.333008</v>
      </c>
      <c r="C10" s="42">
        <f t="shared" si="7"/>
        <v>11251.212890999999</v>
      </c>
      <c r="D10" s="42">
        <f t="shared" si="7"/>
        <v>10640.127930000001</v>
      </c>
      <c r="E10" s="42">
        <f t="shared" si="7"/>
        <v>10945.741211</v>
      </c>
      <c r="F10" s="42">
        <f t="shared" si="7"/>
        <v>10661.842773</v>
      </c>
      <c r="G10" s="43">
        <f t="shared" si="1"/>
        <v>10959.051562600001</v>
      </c>
      <c r="H10" s="81">
        <f t="shared" si="2"/>
        <v>457870.21539532655</v>
      </c>
      <c r="I10" s="79">
        <f t="shared" si="3"/>
        <v>2.5462806924735296E-2</v>
      </c>
      <c r="J10" s="79">
        <f t="shared" si="4"/>
        <v>0.11</v>
      </c>
      <c r="K10" s="79">
        <f t="shared" si="5"/>
        <v>5.9877907705027385E-2</v>
      </c>
      <c r="L10" s="42">
        <f>G10/'Clause 6'!$I$11</f>
        <v>10959.051562600001</v>
      </c>
      <c r="M10">
        <f t="shared" si="6"/>
        <v>5</v>
      </c>
      <c r="O10" s="42"/>
    </row>
    <row r="11" spans="1:49" x14ac:dyDescent="0.35">
      <c r="A11" s="68" t="s">
        <v>142</v>
      </c>
      <c r="B11" s="42">
        <f t="shared" ref="B11:F11" si="8">L55</f>
        <v>9922.4414059999999</v>
      </c>
      <c r="C11" s="42">
        <f t="shared" si="8"/>
        <v>9850.6308590000008</v>
      </c>
      <c r="D11" s="42">
        <f t="shared" si="8"/>
        <v>9313.2050780000009</v>
      </c>
      <c r="E11" s="42">
        <f t="shared" si="8"/>
        <v>9592.7480469999991</v>
      </c>
      <c r="F11" s="42">
        <f t="shared" si="8"/>
        <v>9323.3173829999996</v>
      </c>
      <c r="G11" s="43">
        <f t="shared" si="1"/>
        <v>9600.4685546000001</v>
      </c>
      <c r="H11" s="81">
        <f t="shared" si="2"/>
        <v>401108.48825570074</v>
      </c>
      <c r="I11" s="79">
        <f t="shared" si="3"/>
        <v>2.6582247295754358E-2</v>
      </c>
      <c r="J11" s="79">
        <f t="shared" si="4"/>
        <v>0.11</v>
      </c>
      <c r="K11" s="79">
        <f t="shared" si="5"/>
        <v>6.3459020206684341E-2</v>
      </c>
      <c r="L11" s="42">
        <f>G11/'Clause 6'!$I$11</f>
        <v>9600.4685546000001</v>
      </c>
      <c r="M11">
        <f t="shared" si="6"/>
        <v>5</v>
      </c>
      <c r="O11" s="42"/>
    </row>
    <row r="12" spans="1:49" x14ac:dyDescent="0.35">
      <c r="A12" s="68" t="s">
        <v>143</v>
      </c>
      <c r="B12" s="42">
        <f t="shared" ref="B12:F12" si="9">L56</f>
        <v>8671.9589840000008</v>
      </c>
      <c r="C12" s="42">
        <f t="shared" si="9"/>
        <v>8575.4453119999998</v>
      </c>
      <c r="D12" s="42">
        <f t="shared" si="9"/>
        <v>8127.3159180000002</v>
      </c>
      <c r="E12" s="42">
        <f t="shared" si="9"/>
        <v>8358.9677730000003</v>
      </c>
      <c r="F12" s="42">
        <f t="shared" si="9"/>
        <v>8116.9267579999996</v>
      </c>
      <c r="G12" s="43">
        <f t="shared" si="1"/>
        <v>8370.1229490000005</v>
      </c>
      <c r="H12" s="81">
        <f t="shared" si="2"/>
        <v>349704.53197090019</v>
      </c>
      <c r="I12" s="79">
        <f t="shared" si="3"/>
        <v>2.7057317584417987E-2</v>
      </c>
      <c r="J12" s="79">
        <f t="shared" si="4"/>
        <v>0.11</v>
      </c>
      <c r="K12" s="79">
        <f t="shared" si="5"/>
        <v>6.6311119846371225E-2</v>
      </c>
      <c r="L12" s="42">
        <f>G12/'Clause 6'!$I$11</f>
        <v>8370.1229490000005</v>
      </c>
      <c r="M12">
        <f t="shared" si="6"/>
        <v>5</v>
      </c>
      <c r="O12" s="42"/>
    </row>
    <row r="13" spans="1:49" x14ac:dyDescent="0.35">
      <c r="A13" s="68" t="s">
        <v>144</v>
      </c>
      <c r="B13" s="42">
        <f t="shared" ref="B13:F13" si="10">L57</f>
        <v>7569.9770509999998</v>
      </c>
      <c r="C13" s="42">
        <f t="shared" si="10"/>
        <v>7458.7739259999998</v>
      </c>
      <c r="D13" s="42">
        <f t="shared" si="10"/>
        <v>7061.8422849999997</v>
      </c>
      <c r="E13" s="42">
        <f t="shared" si="10"/>
        <v>7278.4101559999999</v>
      </c>
      <c r="F13" s="42">
        <f t="shared" si="10"/>
        <v>7044.4360349999997</v>
      </c>
      <c r="G13" s="43">
        <f t="shared" si="1"/>
        <v>7282.6878906000002</v>
      </c>
      <c r="H13" s="81">
        <f t="shared" si="2"/>
        <v>304271.39192461764</v>
      </c>
      <c r="I13" s="79">
        <f t="shared" si="3"/>
        <v>2.8743582857902194E-2</v>
      </c>
      <c r="J13" s="79">
        <f t="shared" si="4"/>
        <v>0.11</v>
      </c>
      <c r="K13" s="79">
        <f t="shared" si="5"/>
        <v>7.2163056263654088E-2</v>
      </c>
      <c r="L13" s="42">
        <f>G13/'Clause 6'!$I$11</f>
        <v>7282.6878906000002</v>
      </c>
      <c r="M13">
        <f t="shared" si="6"/>
        <v>5</v>
      </c>
      <c r="O13" s="42"/>
    </row>
    <row r="14" spans="1:49" x14ac:dyDescent="0.35">
      <c r="A14" s="68" t="s">
        <v>145</v>
      </c>
      <c r="B14" s="42">
        <f t="shared" ref="B14:F14" si="11">L58</f>
        <v>6586.9248049999997</v>
      </c>
      <c r="C14" s="42">
        <f t="shared" si="11"/>
        <v>6473.6284180000002</v>
      </c>
      <c r="D14" s="42">
        <f t="shared" si="11"/>
        <v>6130.3330079999996</v>
      </c>
      <c r="E14" s="42">
        <f t="shared" si="11"/>
        <v>6320.7119140000004</v>
      </c>
      <c r="F14" s="42">
        <f t="shared" si="11"/>
        <v>6114.1987300000001</v>
      </c>
      <c r="G14" s="43">
        <f t="shared" si="1"/>
        <v>6325.1593749999993</v>
      </c>
      <c r="H14" s="81">
        <f t="shared" si="2"/>
        <v>264265.75957764062</v>
      </c>
      <c r="I14" s="79">
        <f t="shared" si="3"/>
        <v>2.9411956220666263E-2</v>
      </c>
      <c r="J14" s="79">
        <f t="shared" si="4"/>
        <v>0.11</v>
      </c>
      <c r="K14" s="79">
        <f t="shared" si="5"/>
        <v>7.4737417189586569E-2</v>
      </c>
      <c r="L14" s="42">
        <f>G14/'Clause 6'!$I$11</f>
        <v>6325.1593749999993</v>
      </c>
      <c r="M14">
        <f t="shared" si="6"/>
        <v>5</v>
      </c>
      <c r="O14" s="42"/>
    </row>
    <row r="15" spans="1:49" x14ac:dyDescent="0.35">
      <c r="A15" s="68" t="s">
        <v>146</v>
      </c>
      <c r="B15" s="42">
        <f t="shared" ref="B15:F15" si="12">L59</f>
        <v>5658.7919920000004</v>
      </c>
      <c r="C15" s="42">
        <f t="shared" si="12"/>
        <v>5542.578125</v>
      </c>
      <c r="D15" s="42">
        <f t="shared" si="12"/>
        <v>5241.3583980000003</v>
      </c>
      <c r="E15" s="42">
        <f t="shared" si="12"/>
        <v>5390.3164059999999</v>
      </c>
      <c r="F15" s="42">
        <f t="shared" si="12"/>
        <v>5217.0244140000004</v>
      </c>
      <c r="G15" s="43">
        <f t="shared" si="1"/>
        <v>5410.0138669999997</v>
      </c>
      <c r="H15" s="81">
        <f t="shared" si="2"/>
        <v>226030.89331457738</v>
      </c>
      <c r="I15" s="79">
        <f t="shared" si="3"/>
        <v>3.1536241277677492E-2</v>
      </c>
      <c r="J15" s="79">
        <f t="shared" si="4"/>
        <v>0.11</v>
      </c>
      <c r="K15" s="79">
        <f t="shared" si="5"/>
        <v>8.1657383670436345E-2</v>
      </c>
      <c r="L15" s="42">
        <f>G15/'Clause 6'!$I$11</f>
        <v>5410.0138669999997</v>
      </c>
      <c r="M15">
        <f t="shared" si="6"/>
        <v>5</v>
      </c>
      <c r="O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ref="B16:F16" si="13">L60</f>
        <v>4823.6010740000002</v>
      </c>
      <c r="C16" s="42">
        <f t="shared" si="13"/>
        <v>4705.1040039999998</v>
      </c>
      <c r="D16" s="42">
        <f t="shared" si="13"/>
        <v>4447.1132809999999</v>
      </c>
      <c r="E16" s="42">
        <f t="shared" si="13"/>
        <v>4590.4301759999998</v>
      </c>
      <c r="F16" s="42">
        <f t="shared" si="13"/>
        <v>4430.5703119999998</v>
      </c>
      <c r="G16" s="43">
        <f t="shared" si="1"/>
        <v>4599.3637693999999</v>
      </c>
      <c r="H16" s="81">
        <f t="shared" si="2"/>
        <v>192161.85522509011</v>
      </c>
      <c r="I16" s="79">
        <f t="shared" si="3"/>
        <v>3.2716624533865923E-2</v>
      </c>
      <c r="J16" s="79">
        <f t="shared" si="4"/>
        <v>0.11</v>
      </c>
      <c r="K16" s="79">
        <f t="shared" si="5"/>
        <v>8.545328912987292E-2</v>
      </c>
      <c r="L16" s="42">
        <f>G16/'Clause 6'!$I$11</f>
        <v>4599.3637693999999</v>
      </c>
      <c r="M16">
        <f t="shared" si="6"/>
        <v>5</v>
      </c>
      <c r="O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ref="B17:F17" si="14">L61</f>
        <v>4052.2907709999999</v>
      </c>
      <c r="C17" s="42">
        <f t="shared" si="14"/>
        <v>3942.4677729999999</v>
      </c>
      <c r="D17" s="42">
        <f t="shared" si="14"/>
        <v>3703.1784670000002</v>
      </c>
      <c r="E17" s="42">
        <f t="shared" si="14"/>
        <v>3827.2612300000001</v>
      </c>
      <c r="F17" s="42">
        <f t="shared" si="14"/>
        <v>3675.7670899999998</v>
      </c>
      <c r="G17" s="43">
        <f t="shared" si="1"/>
        <v>3840.1930662</v>
      </c>
      <c r="H17" s="81">
        <f t="shared" si="2"/>
        <v>160443.63112417731</v>
      </c>
      <c r="I17" s="79">
        <f t="shared" si="3"/>
        <v>3.7087482347580511E-2</v>
      </c>
      <c r="J17" s="79">
        <f t="shared" si="4"/>
        <v>0.11</v>
      </c>
      <c r="K17" s="79">
        <f t="shared" si="5"/>
        <v>9.8048112297797294E-2</v>
      </c>
      <c r="L17" s="42">
        <f>G17/'Clause 6'!$I$11</f>
        <v>3840.1930662</v>
      </c>
      <c r="M17">
        <f t="shared" si="6"/>
        <v>5</v>
      </c>
      <c r="O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ref="B18:F18" si="15">L62</f>
        <v>3367.008789</v>
      </c>
      <c r="C18" s="42">
        <f t="shared" si="15"/>
        <v>3259.1477049999999</v>
      </c>
      <c r="D18" s="42">
        <f t="shared" si="15"/>
        <v>3081.5439449999999</v>
      </c>
      <c r="E18" s="42">
        <f t="shared" si="15"/>
        <v>3162.474365</v>
      </c>
      <c r="F18" s="42">
        <f t="shared" si="15"/>
        <v>3043.8034670000002</v>
      </c>
      <c r="G18" s="43">
        <f t="shared" si="1"/>
        <v>3182.7956542000002</v>
      </c>
      <c r="H18" s="81">
        <f t="shared" si="2"/>
        <v>132977.50479806316</v>
      </c>
      <c r="I18" s="79">
        <f t="shared" si="3"/>
        <v>3.7108339181905411E-2</v>
      </c>
      <c r="J18" s="79">
        <f t="shared" si="4"/>
        <v>0.11</v>
      </c>
      <c r="K18" s="79">
        <f t="shared" si="5"/>
        <v>0.10154761948776063</v>
      </c>
      <c r="L18" s="42">
        <f>G18/'Clause 6'!$I$11</f>
        <v>3182.7956542000002</v>
      </c>
      <c r="M18">
        <f t="shared" si="6"/>
        <v>5</v>
      </c>
      <c r="O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ref="B19:F19" si="16">L63</f>
        <v>2748.0405270000001</v>
      </c>
      <c r="C19" s="42">
        <f t="shared" si="16"/>
        <v>2656.9111330000001</v>
      </c>
      <c r="D19" s="42">
        <f t="shared" si="16"/>
        <v>2502.679443</v>
      </c>
      <c r="E19" s="42">
        <f t="shared" si="16"/>
        <v>2571.0034179999998</v>
      </c>
      <c r="F19" s="42">
        <f t="shared" si="16"/>
        <v>2473.4948730000001</v>
      </c>
      <c r="G19" s="43">
        <f t="shared" si="1"/>
        <v>2590.4258787999997</v>
      </c>
      <c r="H19" s="81">
        <f t="shared" si="2"/>
        <v>108228.23930672248</v>
      </c>
      <c r="I19" s="79">
        <f t="shared" si="3"/>
        <v>3.899247794854941E-2</v>
      </c>
      <c r="J19" s="79">
        <f t="shared" si="4"/>
        <v>0.11</v>
      </c>
      <c r="K19" s="79">
        <f t="shared" si="5"/>
        <v>0.10598475572950257</v>
      </c>
      <c r="L19" s="42">
        <f>G19/'Clause 6'!$I$11</f>
        <v>2590.4258787999997</v>
      </c>
      <c r="M19">
        <f t="shared" si="6"/>
        <v>5</v>
      </c>
      <c r="O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ref="B20:F20" si="17">L64</f>
        <v>2193.0812989999999</v>
      </c>
      <c r="C20" s="42">
        <f t="shared" si="17"/>
        <v>2112.6591800000001</v>
      </c>
      <c r="D20" s="42">
        <f t="shared" si="17"/>
        <v>1992.976807</v>
      </c>
      <c r="E20" s="42">
        <f t="shared" si="17"/>
        <v>2039.6682129999999</v>
      </c>
      <c r="F20" s="42">
        <f t="shared" si="17"/>
        <v>1945.3092039999999</v>
      </c>
      <c r="G20" s="43">
        <f t="shared" si="1"/>
        <v>2056.7389405999998</v>
      </c>
      <c r="H20" s="81">
        <f t="shared" si="2"/>
        <v>85930.748328467351</v>
      </c>
      <c r="I20" s="79">
        <f t="shared" si="3"/>
        <v>4.2658867055217688E-2</v>
      </c>
      <c r="J20" s="79">
        <f t="shared" si="4"/>
        <v>0.11</v>
      </c>
      <c r="K20" s="79">
        <f t="shared" si="5"/>
        <v>0.12046842217501799</v>
      </c>
      <c r="L20" s="42">
        <f>G20/'Clause 6'!$I$11</f>
        <v>2056.7389405999998</v>
      </c>
      <c r="M20">
        <f t="shared" si="6"/>
        <v>5</v>
      </c>
      <c r="O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ref="B21:F21" si="18">L65</f>
        <v>1726.4545900000001</v>
      </c>
      <c r="C21" s="42">
        <f t="shared" si="18"/>
        <v>1663.1623540000001</v>
      </c>
      <c r="D21" s="42">
        <f t="shared" si="18"/>
        <v>1566.221802</v>
      </c>
      <c r="E21" s="42">
        <f t="shared" si="18"/>
        <v>1610.1281739999999</v>
      </c>
      <c r="F21" s="42">
        <f t="shared" si="18"/>
        <v>1525.2551269999999</v>
      </c>
      <c r="G21" s="43">
        <f t="shared" si="1"/>
        <v>1618.2444094000002</v>
      </c>
      <c r="H21" s="81">
        <f t="shared" si="2"/>
        <v>67610.405157950911</v>
      </c>
      <c r="I21" s="79">
        <f t="shared" si="3"/>
        <v>4.3823584650558849E-2</v>
      </c>
      <c r="J21" s="79">
        <f t="shared" si="4"/>
        <v>0.11</v>
      </c>
      <c r="K21" s="79">
        <f t="shared" si="5"/>
        <v>0.12433193764259583</v>
      </c>
      <c r="L21" s="42">
        <f>G21/'Clause 6'!$I$11</f>
        <v>1618.2444094000002</v>
      </c>
      <c r="M21">
        <f t="shared" si="6"/>
        <v>5</v>
      </c>
      <c r="O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153</v>
      </c>
      <c r="B22" s="42">
        <f t="shared" ref="B22:F22" si="19">L66</f>
        <v>1346.1123050000001</v>
      </c>
      <c r="C22" s="42">
        <f t="shared" si="19"/>
        <v>1285.7923579999999</v>
      </c>
      <c r="D22" s="42">
        <f t="shared" si="19"/>
        <v>1210.9853519999999</v>
      </c>
      <c r="E22" s="42">
        <f t="shared" si="19"/>
        <v>1246.7254640000001</v>
      </c>
      <c r="F22" s="42">
        <f t="shared" si="19"/>
        <v>1162.9731449999999</v>
      </c>
      <c r="G22" s="43">
        <f t="shared" si="1"/>
        <v>1250.5177248</v>
      </c>
      <c r="H22" s="81">
        <f t="shared" si="2"/>
        <v>52246.749341327857</v>
      </c>
      <c r="I22" s="79">
        <f t="shared" si="3"/>
        <v>5.0097659733793244E-2</v>
      </c>
      <c r="J22" s="79">
        <f t="shared" si="4"/>
        <v>0.11</v>
      </c>
      <c r="K22" s="79">
        <f t="shared" si="5"/>
        <v>0.14645067108448248</v>
      </c>
      <c r="L22" s="42">
        <f>G22/'Clause 6'!$I$11</f>
        <v>1250.5177248</v>
      </c>
      <c r="M22">
        <f t="shared" si="6"/>
        <v>5</v>
      </c>
      <c r="O22" s="42"/>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154</v>
      </c>
      <c r="B23" s="42">
        <f t="shared" ref="B23:F23" si="20">L67</f>
        <v>1032.8515620000001</v>
      </c>
      <c r="C23" s="42">
        <f t="shared" si="20"/>
        <v>978.30999799999995</v>
      </c>
      <c r="D23" s="42">
        <f t="shared" si="20"/>
        <v>925.97131300000001</v>
      </c>
      <c r="E23" s="42">
        <f t="shared" si="20"/>
        <v>954.40283199999999</v>
      </c>
      <c r="F23" s="42">
        <f t="shared" si="20"/>
        <v>880.58392300000003</v>
      </c>
      <c r="G23" s="43">
        <f t="shared" si="1"/>
        <v>954.42392560000008</v>
      </c>
      <c r="H23" s="81">
        <f t="shared" si="2"/>
        <v>39875.92228184094</v>
      </c>
      <c r="I23" s="79">
        <f t="shared" si="3"/>
        <v>5.3390849586401362E-2</v>
      </c>
      <c r="J23" s="79">
        <f t="shared" si="4"/>
        <v>0.11</v>
      </c>
      <c r="K23" s="79">
        <f t="shared" si="5"/>
        <v>0.15953879079914801</v>
      </c>
      <c r="L23" s="42">
        <f>G23/'Clause 6'!$I$11</f>
        <v>954.42392560000008</v>
      </c>
      <c r="M23">
        <f t="shared" si="6"/>
        <v>5</v>
      </c>
      <c r="O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155</v>
      </c>
      <c r="B24" s="42">
        <f t="shared" ref="B24:F24" si="21">L68</f>
        <v>797.80993699999999</v>
      </c>
      <c r="C24" s="42">
        <f t="shared" si="21"/>
        <v>751.08654799999999</v>
      </c>
      <c r="D24" s="42">
        <f t="shared" si="21"/>
        <v>709.76605199999995</v>
      </c>
      <c r="E24" s="42">
        <f t="shared" si="21"/>
        <v>727.98223900000005</v>
      </c>
      <c r="F24" s="42">
        <f t="shared" si="21"/>
        <v>665.37976100000003</v>
      </c>
      <c r="G24" s="43">
        <f t="shared" si="1"/>
        <v>730.40490740000007</v>
      </c>
      <c r="H24" s="81">
        <f t="shared" si="2"/>
        <v>30516.386419638209</v>
      </c>
      <c r="I24" s="79">
        <f t="shared" si="3"/>
        <v>6.0088738366929823E-2</v>
      </c>
      <c r="J24" s="79">
        <f t="shared" si="4"/>
        <v>0.11</v>
      </c>
      <c r="K24" s="79">
        <f t="shared" si="5"/>
        <v>0.18131063285350532</v>
      </c>
      <c r="L24" s="42">
        <f>G24/'Clause 6'!$I$11</f>
        <v>730.40490740000007</v>
      </c>
      <c r="M24">
        <f t="shared" si="6"/>
        <v>5</v>
      </c>
      <c r="O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156</v>
      </c>
      <c r="B25" s="42">
        <f t="shared" ref="B25:F25" si="22">L69</f>
        <v>610.519226</v>
      </c>
      <c r="C25" s="42">
        <f t="shared" si="22"/>
        <v>568.64782700000001</v>
      </c>
      <c r="D25" s="42">
        <f t="shared" si="22"/>
        <v>537.74438499999997</v>
      </c>
      <c r="E25" s="42">
        <f t="shared" si="22"/>
        <v>552.87109399999997</v>
      </c>
      <c r="F25" s="42">
        <f t="shared" si="22"/>
        <v>502.77056900000002</v>
      </c>
      <c r="G25" s="43">
        <f t="shared" si="1"/>
        <v>554.51062020000006</v>
      </c>
      <c r="H25" s="81">
        <f t="shared" si="2"/>
        <v>23167.506390464921</v>
      </c>
      <c r="I25" s="79">
        <f t="shared" si="3"/>
        <v>6.4002135227368542E-2</v>
      </c>
      <c r="J25" s="79">
        <f t="shared" si="4"/>
        <v>0.11</v>
      </c>
      <c r="K25" s="79">
        <f t="shared" si="5"/>
        <v>0.19431306286097344</v>
      </c>
      <c r="L25" s="42">
        <f>G25/'Clause 6'!$I$11</f>
        <v>554.51062020000006</v>
      </c>
      <c r="M25">
        <f t="shared" si="6"/>
        <v>5</v>
      </c>
      <c r="O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157</v>
      </c>
      <c r="B26" s="42">
        <f t="shared" ref="B26:F26" si="23">L70</f>
        <v>471.87539700000002</v>
      </c>
      <c r="C26" s="42">
        <f t="shared" si="23"/>
        <v>432.17236300000002</v>
      </c>
      <c r="D26" s="42">
        <f t="shared" si="23"/>
        <v>413.67672700000003</v>
      </c>
      <c r="E26" s="42">
        <f t="shared" si="23"/>
        <v>428.12792999999999</v>
      </c>
      <c r="F26" s="42">
        <f t="shared" si="23"/>
        <v>375.930725</v>
      </c>
      <c r="G26" s="43">
        <f t="shared" si="1"/>
        <v>424.35662840000003</v>
      </c>
      <c r="H26" s="81">
        <f t="shared" si="2"/>
        <v>17729.660248431701</v>
      </c>
      <c r="I26" s="79">
        <f t="shared" si="3"/>
        <v>7.2956454206185586E-2</v>
      </c>
      <c r="J26" s="79">
        <f t="shared" si="4"/>
        <v>0.11</v>
      </c>
      <c r="K26" s="79">
        <f t="shared" si="5"/>
        <v>0.22609443467809401</v>
      </c>
      <c r="L26" s="42">
        <f>G26/'Clause 6'!$I$11</f>
        <v>424.35662840000003</v>
      </c>
      <c r="M26">
        <f t="shared" si="6"/>
        <v>5</v>
      </c>
      <c r="O26" s="42"/>
    </row>
    <row r="27" spans="1:49" x14ac:dyDescent="0.35">
      <c r="A27" s="68" t="s">
        <v>158</v>
      </c>
      <c r="B27" s="42">
        <f t="shared" ref="B27:F27" si="24">L71</f>
        <v>362.67581200000001</v>
      </c>
      <c r="C27" s="42">
        <f t="shared" si="24"/>
        <v>338.124481</v>
      </c>
      <c r="D27" s="42">
        <f t="shared" si="24"/>
        <v>318.94699100000003</v>
      </c>
      <c r="E27" s="42">
        <f t="shared" si="24"/>
        <v>328.56875600000001</v>
      </c>
      <c r="F27" s="42">
        <f t="shared" si="24"/>
        <v>283.33056599999998</v>
      </c>
      <c r="G27" s="43">
        <f t="shared" si="1"/>
        <v>326.32932120000004</v>
      </c>
      <c r="H27" s="81">
        <f t="shared" si="2"/>
        <v>13634.070041021516</v>
      </c>
      <c r="I27" s="79">
        <f t="shared" si="3"/>
        <v>7.9539640305891515E-2</v>
      </c>
      <c r="J27" s="79">
        <f t="shared" si="4"/>
        <v>0.11</v>
      </c>
      <c r="K27" s="79">
        <f t="shared" si="5"/>
        <v>0.24314470335741323</v>
      </c>
      <c r="L27" s="42">
        <f>G27/'Clause 6'!$I$11</f>
        <v>326.32932120000004</v>
      </c>
      <c r="M27">
        <f t="shared" si="6"/>
        <v>5</v>
      </c>
      <c r="O27" s="42"/>
    </row>
    <row r="28" spans="1:49" x14ac:dyDescent="0.35">
      <c r="A28" s="68" t="s">
        <v>159</v>
      </c>
      <c r="B28" s="42">
        <f t="shared" ref="B28:F28" si="25">L72</f>
        <v>277.287598</v>
      </c>
      <c r="C28" s="42">
        <f t="shared" si="25"/>
        <v>260.81195100000002</v>
      </c>
      <c r="D28" s="42">
        <f t="shared" si="25"/>
        <v>240.123367</v>
      </c>
      <c r="E28" s="42">
        <f t="shared" si="25"/>
        <v>252.192993</v>
      </c>
      <c r="F28" s="42">
        <f t="shared" si="25"/>
        <v>213.43924000000001</v>
      </c>
      <c r="G28" s="43">
        <f t="shared" si="1"/>
        <v>248.77102980000001</v>
      </c>
      <c r="H28" s="81">
        <f t="shared" si="2"/>
        <v>10393.677258291833</v>
      </c>
      <c r="I28" s="79">
        <f t="shared" si="3"/>
        <v>8.6083073164871154E-2</v>
      </c>
      <c r="J28" s="79">
        <f t="shared" si="4"/>
        <v>0.11</v>
      </c>
      <c r="K28" s="79">
        <f t="shared" si="5"/>
        <v>0.25665511796663387</v>
      </c>
      <c r="L28" s="42">
        <f>G28/'Clause 6'!$I$11</f>
        <v>248.77102980000001</v>
      </c>
      <c r="M28">
        <f t="shared" si="6"/>
        <v>5</v>
      </c>
      <c r="O28" s="42"/>
    </row>
    <row r="29" spans="1:49" x14ac:dyDescent="0.35">
      <c r="A29" s="68" t="s">
        <v>160</v>
      </c>
      <c r="B29" s="42">
        <f t="shared" ref="B29:F29" si="26">L73</f>
        <v>211.998276</v>
      </c>
      <c r="C29" s="42">
        <f t="shared" si="26"/>
        <v>201.649002</v>
      </c>
      <c r="D29" s="42">
        <f t="shared" si="26"/>
        <v>181.447495</v>
      </c>
      <c r="E29" s="42">
        <f t="shared" si="26"/>
        <v>192.99884</v>
      </c>
      <c r="F29" s="42">
        <f t="shared" si="26"/>
        <v>157.43202199999999</v>
      </c>
      <c r="G29" s="43">
        <f t="shared" si="1"/>
        <v>189.10512699999998</v>
      </c>
      <c r="H29" s="81">
        <f t="shared" si="2"/>
        <v>7900.8301710470651</v>
      </c>
      <c r="I29" s="79">
        <f t="shared" si="3"/>
        <v>9.916864005134178E-2</v>
      </c>
      <c r="J29" s="79">
        <f t="shared" si="4"/>
        <v>0.113</v>
      </c>
      <c r="K29" s="79">
        <f t="shared" si="5"/>
        <v>0.28854983926480227</v>
      </c>
      <c r="L29" s="42">
        <f>G29/'Clause 6'!$I$11</f>
        <v>189.10512699999998</v>
      </c>
      <c r="M29">
        <f t="shared" si="6"/>
        <v>5</v>
      </c>
      <c r="O29" s="42"/>
    </row>
    <row r="30" spans="1:49" x14ac:dyDescent="0.35">
      <c r="A30" s="68" t="s">
        <v>161</v>
      </c>
      <c r="B30" s="42">
        <f t="shared" ref="B30:F30" si="27">L74</f>
        <v>154.39004499999999</v>
      </c>
      <c r="C30" s="42">
        <f t="shared" si="27"/>
        <v>156.98216199999999</v>
      </c>
      <c r="D30" s="42">
        <f t="shared" si="27"/>
        <v>137.97079500000001</v>
      </c>
      <c r="E30" s="42">
        <f t="shared" si="27"/>
        <v>146.04364000000001</v>
      </c>
      <c r="F30" s="42">
        <f t="shared" si="27"/>
        <v>117.42688</v>
      </c>
      <c r="G30" s="43">
        <f t="shared" si="1"/>
        <v>142.5627044</v>
      </c>
      <c r="H30" s="81">
        <f t="shared" si="2"/>
        <v>5956.2833332889186</v>
      </c>
      <c r="I30" s="79">
        <f t="shared" si="3"/>
        <v>9.9833197949531341E-2</v>
      </c>
      <c r="J30" s="79">
        <f t="shared" si="4"/>
        <v>0.113</v>
      </c>
      <c r="K30" s="79">
        <f t="shared" si="5"/>
        <v>0.27745883586086062</v>
      </c>
      <c r="L30" s="42">
        <f>G30/'Clause 6'!$I$11</f>
        <v>142.5627044</v>
      </c>
      <c r="M30">
        <f t="shared" si="6"/>
        <v>5</v>
      </c>
      <c r="O30" s="42"/>
    </row>
    <row r="31" spans="1:49" x14ac:dyDescent="0.35">
      <c r="A31" s="68" t="s">
        <v>162</v>
      </c>
      <c r="B31" s="42">
        <f t="shared" ref="B31:F31" si="28">L75</f>
        <v>116.752678</v>
      </c>
      <c r="C31" s="42">
        <f t="shared" si="28"/>
        <v>118.915161</v>
      </c>
      <c r="D31" s="42">
        <f t="shared" si="28"/>
        <v>107.925911</v>
      </c>
      <c r="E31" s="42">
        <f t="shared" si="28"/>
        <v>109.915192</v>
      </c>
      <c r="F31" s="42">
        <f t="shared" si="28"/>
        <v>87.893660999999994</v>
      </c>
      <c r="G31" s="43">
        <f t="shared" si="1"/>
        <v>108.2805206</v>
      </c>
      <c r="H31" s="81">
        <f t="shared" si="2"/>
        <v>4523.9704373174573</v>
      </c>
      <c r="I31" s="79">
        <f t="shared" si="3"/>
        <v>0.10144473570460699</v>
      </c>
      <c r="J31" s="79">
        <f t="shared" si="4"/>
        <v>0.11900000000000001</v>
      </c>
      <c r="K31" s="79">
        <f t="shared" si="5"/>
        <v>0.28649197314627617</v>
      </c>
      <c r="L31" s="42">
        <f>G31/'Clause 6'!$I$11</f>
        <v>108.2805206</v>
      </c>
      <c r="M31">
        <f t="shared" si="6"/>
        <v>5</v>
      </c>
      <c r="O31" s="42"/>
    </row>
    <row r="32" spans="1:49" x14ac:dyDescent="0.35">
      <c r="A32" s="68" t="s">
        <v>163</v>
      </c>
      <c r="B32" s="42">
        <f t="shared" ref="B32:F32" si="29">L76</f>
        <v>84.492064999999997</v>
      </c>
      <c r="C32" s="42">
        <f t="shared" si="29"/>
        <v>89.922966000000002</v>
      </c>
      <c r="D32" s="42">
        <f t="shared" si="29"/>
        <v>78.470153999999994</v>
      </c>
      <c r="E32" s="42">
        <f t="shared" si="29"/>
        <v>79.788544000000002</v>
      </c>
      <c r="F32" s="42">
        <f t="shared" si="29"/>
        <v>64.008240000000001</v>
      </c>
      <c r="G32" s="43">
        <f t="shared" si="1"/>
        <v>79.336393799999996</v>
      </c>
      <c r="H32" s="81">
        <f t="shared" si="2"/>
        <v>3314.6820699214109</v>
      </c>
      <c r="I32" s="79">
        <f t="shared" si="3"/>
        <v>0.10909511583649507</v>
      </c>
      <c r="J32" s="79">
        <f t="shared" si="4"/>
        <v>0.11900000000000001</v>
      </c>
      <c r="K32" s="79">
        <f t="shared" si="5"/>
        <v>0.32664360905196582</v>
      </c>
      <c r="L32" s="42">
        <f>G32/'Clause 6'!$I$11</f>
        <v>79.336393799999996</v>
      </c>
      <c r="M32">
        <f t="shared" si="6"/>
        <v>5</v>
      </c>
      <c r="O32" s="42"/>
    </row>
    <row r="33" spans="1:15" x14ac:dyDescent="0.35">
      <c r="A33" s="68" t="s">
        <v>164</v>
      </c>
      <c r="B33" s="42">
        <f t="shared" ref="B33:F33" si="30">L77</f>
        <v>61.064720000000001</v>
      </c>
      <c r="C33" s="42">
        <f t="shared" si="30"/>
        <v>69.298430999999994</v>
      </c>
      <c r="D33" s="42">
        <f t="shared" si="30"/>
        <v>60.678871000000001</v>
      </c>
      <c r="E33" s="42">
        <f t="shared" si="30"/>
        <v>56.016734999999997</v>
      </c>
      <c r="F33" s="42">
        <f t="shared" si="30"/>
        <v>47.064880000000002</v>
      </c>
      <c r="G33" s="43">
        <f t="shared" si="1"/>
        <v>58.824727399999993</v>
      </c>
      <c r="H33" s="81">
        <f t="shared" si="2"/>
        <v>2457.7026991211028</v>
      </c>
      <c r="I33" s="79">
        <f t="shared" si="3"/>
        <v>0.12360343283891964</v>
      </c>
      <c r="J33" s="79">
        <f t="shared" si="4"/>
        <v>0.11900000000000001</v>
      </c>
      <c r="K33" s="79">
        <f t="shared" si="5"/>
        <v>0.37796266948786567</v>
      </c>
      <c r="L33" s="42">
        <f>G33/'Clause 6'!$I$11</f>
        <v>58.824727399999993</v>
      </c>
      <c r="M33">
        <f t="shared" si="6"/>
        <v>5</v>
      </c>
      <c r="O33" s="42"/>
    </row>
    <row r="34" spans="1:15" x14ac:dyDescent="0.35">
      <c r="A34" s="68" t="s">
        <v>165</v>
      </c>
      <c r="B34" s="42">
        <f t="shared" ref="B34:F34" si="31">L78</f>
        <v>46.086582</v>
      </c>
      <c r="C34" s="42">
        <f t="shared" si="31"/>
        <v>51.266697000000001</v>
      </c>
      <c r="D34" s="42">
        <f t="shared" si="31"/>
        <v>42.769767999999999</v>
      </c>
      <c r="E34" s="42">
        <f t="shared" si="31"/>
        <v>41.306457999999999</v>
      </c>
      <c r="F34" s="42">
        <f t="shared" si="31"/>
        <v>32.121780000000001</v>
      </c>
      <c r="G34" s="43">
        <f t="shared" si="1"/>
        <v>42.710256999999999</v>
      </c>
      <c r="H34" s="81">
        <f t="shared" si="2"/>
        <v>1784.4385949344151</v>
      </c>
      <c r="I34" s="79">
        <f t="shared" si="3"/>
        <v>0.14759927768561243</v>
      </c>
      <c r="J34" s="79">
        <f t="shared" si="4"/>
        <v>0.13400000000000001</v>
      </c>
      <c r="K34" s="79">
        <f t="shared" si="5"/>
        <v>0.44825103721572079</v>
      </c>
      <c r="L34" s="42">
        <f>G34/'Clause 6'!$I$11</f>
        <v>42.710256999999999</v>
      </c>
      <c r="M34">
        <f t="shared" si="6"/>
        <v>5</v>
      </c>
      <c r="O34" s="42"/>
    </row>
    <row r="35" spans="1:15" x14ac:dyDescent="0.35">
      <c r="A35" s="68" t="s">
        <v>166</v>
      </c>
      <c r="B35" s="42">
        <f t="shared" ref="B35:F35" si="32">L79</f>
        <v>35.973137000000001</v>
      </c>
      <c r="C35" s="42">
        <f t="shared" si="32"/>
        <v>37.006306000000002</v>
      </c>
      <c r="D35" s="42">
        <f t="shared" si="32"/>
        <v>30.751816000000002</v>
      </c>
      <c r="E35" s="42">
        <f t="shared" si="32"/>
        <v>28.832144</v>
      </c>
      <c r="F35" s="42">
        <f t="shared" si="32"/>
        <v>20.943871999999999</v>
      </c>
      <c r="G35" s="43">
        <f t="shared" si="1"/>
        <v>30.701454999999999</v>
      </c>
      <c r="H35" s="81">
        <f t="shared" si="2"/>
        <v>1282.709706538225</v>
      </c>
      <c r="I35" s="79">
        <f t="shared" si="3"/>
        <v>0.18781732166121251</v>
      </c>
      <c r="J35" s="79">
        <f t="shared" si="4"/>
        <v>0.13400000000000001</v>
      </c>
      <c r="K35" s="79">
        <f t="shared" si="5"/>
        <v>0.5231815234815419</v>
      </c>
      <c r="L35" s="42">
        <f>G35/'Clause 6'!$I$11</f>
        <v>30.701454999999999</v>
      </c>
      <c r="M35">
        <f t="shared" si="6"/>
        <v>5</v>
      </c>
      <c r="O35" s="42"/>
    </row>
    <row r="36" spans="1:15" x14ac:dyDescent="0.35">
      <c r="A36" s="68" t="s">
        <v>167</v>
      </c>
      <c r="B36" s="42">
        <f t="shared" ref="B36:F36" si="33">L80</f>
        <v>25.731674000000002</v>
      </c>
      <c r="C36" s="42">
        <f t="shared" si="33"/>
        <v>25.927983999999999</v>
      </c>
      <c r="D36" s="42">
        <f t="shared" si="33"/>
        <v>21.090326000000001</v>
      </c>
      <c r="E36" s="42">
        <f t="shared" si="33"/>
        <v>19.652930999999999</v>
      </c>
      <c r="F36" s="42">
        <f t="shared" si="33"/>
        <v>14.707775</v>
      </c>
      <c r="G36" s="43">
        <f t="shared" si="1"/>
        <v>21.422137999999997</v>
      </c>
      <c r="H36" s="81">
        <f t="shared" si="2"/>
        <v>895.01896074310991</v>
      </c>
      <c r="I36" s="79">
        <f t="shared" si="3"/>
        <v>0.1949415794356589</v>
      </c>
      <c r="J36" s="79">
        <f t="shared" si="4"/>
        <v>0.156</v>
      </c>
      <c r="K36" s="79">
        <f t="shared" si="5"/>
        <v>0.52376700215450023</v>
      </c>
      <c r="L36" s="42">
        <f>G36/'Clause 6'!$I$11</f>
        <v>21.422137999999997</v>
      </c>
      <c r="M36">
        <f t="shared" si="6"/>
        <v>5</v>
      </c>
      <c r="O36" s="42"/>
    </row>
    <row r="37" spans="1:15" x14ac:dyDescent="0.35">
      <c r="A37" s="68" t="s">
        <v>168</v>
      </c>
      <c r="B37" s="42">
        <f t="shared" ref="B37:F37" si="34">L81</f>
        <v>17.282468999999999</v>
      </c>
      <c r="C37" s="42">
        <f t="shared" si="34"/>
        <v>17.796026000000001</v>
      </c>
      <c r="D37" s="42">
        <f t="shared" si="34"/>
        <v>13.903119999999999</v>
      </c>
      <c r="E37" s="42">
        <f t="shared" si="34"/>
        <v>13.76882</v>
      </c>
      <c r="F37" s="42">
        <f t="shared" si="34"/>
        <v>9.6483000000000008</v>
      </c>
      <c r="G37" s="43">
        <f t="shared" si="1"/>
        <v>14.479747</v>
      </c>
      <c r="H37" s="81">
        <f t="shared" si="2"/>
        <v>604.96520523596507</v>
      </c>
      <c r="I37" s="79">
        <f t="shared" si="3"/>
        <v>0.20260895460121825</v>
      </c>
      <c r="J37" s="79">
        <f t="shared" si="4"/>
        <v>0.156</v>
      </c>
      <c r="K37" s="79">
        <f t="shared" si="5"/>
        <v>0.5626980913409606</v>
      </c>
      <c r="L37" s="42">
        <f>G37/'Clause 6'!$I$11</f>
        <v>14.479747</v>
      </c>
      <c r="M37">
        <f t="shared" si="6"/>
        <v>5</v>
      </c>
    </row>
    <row r="38" spans="1:15" x14ac:dyDescent="0.35">
      <c r="A38" s="68" t="s">
        <v>169</v>
      </c>
      <c r="B38" s="42">
        <f t="shared" ref="B38:F38" si="35">L82</f>
        <v>11.521646</v>
      </c>
      <c r="C38" s="42">
        <f t="shared" si="35"/>
        <v>11.314030000000001</v>
      </c>
      <c r="D38" s="42">
        <f t="shared" si="35"/>
        <v>9.8971359999999997</v>
      </c>
      <c r="E38" s="42">
        <f t="shared" si="35"/>
        <v>10.826764000000001</v>
      </c>
      <c r="F38" s="42">
        <f t="shared" si="35"/>
        <v>6.4714210000000003</v>
      </c>
      <c r="G38" s="43">
        <f t="shared" si="1"/>
        <v>10.006199399999998</v>
      </c>
      <c r="H38" s="81">
        <f t="shared" si="2"/>
        <v>418.05996152094292</v>
      </c>
      <c r="I38" s="79">
        <f t="shared" si="3"/>
        <v>0.18528674444433132</v>
      </c>
      <c r="J38" s="79">
        <f t="shared" si="4"/>
        <v>0.193</v>
      </c>
      <c r="K38" s="79">
        <f t="shared" si="5"/>
        <v>0.50470961032417572</v>
      </c>
      <c r="L38" s="42">
        <f>G38/'Clause 6'!$I$11</f>
        <v>10.006199399999998</v>
      </c>
      <c r="M38">
        <f t="shared" si="6"/>
        <v>5</v>
      </c>
    </row>
    <row r="40" spans="1:15" x14ac:dyDescent="0.35">
      <c r="A40" t="s">
        <v>170</v>
      </c>
    </row>
    <row r="41" spans="1:15" ht="15" x14ac:dyDescent="0.5">
      <c r="A41" s="35"/>
      <c r="B41" s="83" t="s">
        <v>171</v>
      </c>
      <c r="C41" s="35"/>
      <c r="D41" s="84" t="s">
        <v>172</v>
      </c>
      <c r="E41" s="36"/>
      <c r="F41" s="36"/>
      <c r="G41" s="36"/>
      <c r="H41" s="85"/>
    </row>
    <row r="42" spans="1:15" ht="15" x14ac:dyDescent="0.5">
      <c r="A42" s="86" t="s">
        <v>173</v>
      </c>
      <c r="B42" s="87" t="s">
        <v>174</v>
      </c>
      <c r="C42" s="86" t="s">
        <v>175</v>
      </c>
      <c r="D42" s="86" t="s">
        <v>176</v>
      </c>
      <c r="E42" s="87" t="s">
        <v>177</v>
      </c>
      <c r="F42" s="87" t="s">
        <v>178</v>
      </c>
      <c r="G42" s="87" t="s">
        <v>179</v>
      </c>
      <c r="H42" s="88" t="s">
        <v>180</v>
      </c>
    </row>
    <row r="43" spans="1:15" x14ac:dyDescent="0.35">
      <c r="A43" s="38">
        <v>10000</v>
      </c>
      <c r="C43" s="38">
        <v>11</v>
      </c>
      <c r="D43" s="38">
        <v>7.8</v>
      </c>
      <c r="E43">
        <v>5.3</v>
      </c>
      <c r="F43">
        <v>4</v>
      </c>
      <c r="G43">
        <v>2.7</v>
      </c>
      <c r="H43" s="45">
        <v>1.8</v>
      </c>
    </row>
    <row r="44" spans="1:15" x14ac:dyDescent="0.35">
      <c r="A44" s="38">
        <v>5000</v>
      </c>
      <c r="B44">
        <v>10000</v>
      </c>
      <c r="C44" s="38">
        <v>11.3</v>
      </c>
      <c r="D44" s="38">
        <v>7.8</v>
      </c>
      <c r="E44">
        <v>5.3</v>
      </c>
      <c r="F44">
        <v>4</v>
      </c>
      <c r="G44">
        <v>2.7</v>
      </c>
      <c r="H44" s="45">
        <v>1.9</v>
      </c>
    </row>
    <row r="45" spans="1:15" x14ac:dyDescent="0.35">
      <c r="A45" s="38">
        <v>2000</v>
      </c>
      <c r="B45">
        <v>5000</v>
      </c>
      <c r="C45" s="38">
        <v>11.9</v>
      </c>
      <c r="D45" s="38">
        <v>7.9</v>
      </c>
      <c r="E45">
        <v>5.4</v>
      </c>
      <c r="F45">
        <v>4.0999999999999996</v>
      </c>
      <c r="G45">
        <v>2.9</v>
      </c>
      <c r="H45" s="45">
        <v>2.1</v>
      </c>
    </row>
    <row r="46" spans="1:15" x14ac:dyDescent="0.35">
      <c r="A46" s="38">
        <v>1000</v>
      </c>
      <c r="B46">
        <v>2000</v>
      </c>
      <c r="C46" s="38">
        <v>13.4</v>
      </c>
      <c r="D46" s="38">
        <v>8</v>
      </c>
      <c r="E46">
        <v>5.6</v>
      </c>
      <c r="F46">
        <v>4.3</v>
      </c>
      <c r="G46">
        <v>3.1</v>
      </c>
      <c r="H46" s="45">
        <v>2.4</v>
      </c>
    </row>
    <row r="47" spans="1:15" x14ac:dyDescent="0.35">
      <c r="A47" s="38">
        <v>500</v>
      </c>
      <c r="B47">
        <v>1000</v>
      </c>
      <c r="C47" s="38">
        <v>15.6</v>
      </c>
      <c r="D47" s="38">
        <v>8.1999999999999993</v>
      </c>
      <c r="E47">
        <v>5.9</v>
      </c>
      <c r="F47">
        <v>4.7</v>
      </c>
      <c r="G47">
        <v>3.6</v>
      </c>
      <c r="H47" s="45">
        <v>2.9</v>
      </c>
    </row>
    <row r="48" spans="1:15"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1" t="str">
        <f>'6 - B1'!A52</f>
        <v>NAME\mL</v>
      </c>
      <c r="B52">
        <f>'6 - B1'!B52</f>
        <v>7.8113840000000003</v>
      </c>
      <c r="C52">
        <f>'6 - B1'!C52</f>
        <v>8.4850410000000007</v>
      </c>
      <c r="D52">
        <f>'6 - B1'!D52</f>
        <v>8.487304</v>
      </c>
      <c r="E52">
        <f>'6 - B1'!E52</f>
        <v>8.4974600000000002</v>
      </c>
      <c r="F52">
        <f>'6 - B1'!F52</f>
        <v>8.4989059999999998</v>
      </c>
      <c r="G52">
        <f>'6 - B1'!G52</f>
        <v>7.8113840000000003</v>
      </c>
      <c r="H52">
        <f>'6 - B1'!H52</f>
        <v>8.4850410000000007</v>
      </c>
      <c r="I52">
        <f>'6 - B1'!I52</f>
        <v>8.487304</v>
      </c>
      <c r="J52">
        <f>'6 - B1'!J52</f>
        <v>8.4974600000000002</v>
      </c>
      <c r="K52">
        <f>'6 - B1'!K52</f>
        <v>8.4989059999999998</v>
      </c>
      <c r="L52">
        <f>'6 - B1'!L52</f>
        <v>7.8113840000000003</v>
      </c>
      <c r="M52">
        <f>'6 - B1'!M52</f>
        <v>8.4850410000000007</v>
      </c>
      <c r="N52">
        <f>'6 - B1'!N52</f>
        <v>8.487304</v>
      </c>
      <c r="O52">
        <f>'6 - B1'!O52</f>
        <v>8.4974600000000002</v>
      </c>
      <c r="P52">
        <f>'6 - B1'!P52</f>
        <v>8.4989059999999998</v>
      </c>
    </row>
    <row r="53" spans="1:16" x14ac:dyDescent="0.35">
      <c r="A53" s="91">
        <f>'6 - B1'!A53</f>
        <v>4</v>
      </c>
      <c r="B53">
        <f>'6 - B1'!B53</f>
        <v>12748.444336</v>
      </c>
      <c r="C53">
        <f>'6 - B1'!C53</f>
        <v>12757.982421999999</v>
      </c>
      <c r="D53">
        <f>'6 - B1'!D53</f>
        <v>12023.959961</v>
      </c>
      <c r="E53">
        <f>'6 - B1'!E53</f>
        <v>12393.349609000001</v>
      </c>
      <c r="F53">
        <f>'6 - B1'!F53</f>
        <v>12082.966796999999</v>
      </c>
      <c r="G53">
        <f>'6 - B1'!G53</f>
        <v>12748.444336</v>
      </c>
      <c r="H53">
        <f>'6 - B1'!H53</f>
        <v>12757.982421999999</v>
      </c>
      <c r="I53">
        <f>'6 - B1'!I53</f>
        <v>12023.959961</v>
      </c>
      <c r="J53">
        <f>'6 - B1'!J53</f>
        <v>12393.349609000001</v>
      </c>
      <c r="K53">
        <f>'6 - B1'!K53</f>
        <v>12082.966796999999</v>
      </c>
      <c r="L53">
        <f>'6 - B1'!L53</f>
        <v>12748.444336</v>
      </c>
      <c r="M53">
        <f>'6 - B1'!M53</f>
        <v>12757.982421999999</v>
      </c>
      <c r="N53">
        <f>'6 - B1'!N53</f>
        <v>12023.959961</v>
      </c>
      <c r="O53">
        <f>'6 - B1'!O53</f>
        <v>12393.349609000001</v>
      </c>
      <c r="P53">
        <f>'6 - B1'!P53</f>
        <v>12082.966796999999</v>
      </c>
    </row>
    <row r="54" spans="1:16" x14ac:dyDescent="0.35">
      <c r="A54" s="91">
        <f>'6 - B1'!A54</f>
        <v>5</v>
      </c>
      <c r="B54">
        <f>'6 - B1'!B54</f>
        <v>11296.333008</v>
      </c>
      <c r="C54">
        <f>'6 - B1'!C54</f>
        <v>11251.212890999999</v>
      </c>
      <c r="D54">
        <f>'6 - B1'!D54</f>
        <v>10640.127930000001</v>
      </c>
      <c r="E54">
        <f>'6 - B1'!E54</f>
        <v>10945.741211</v>
      </c>
      <c r="F54">
        <f>'6 - B1'!F54</f>
        <v>10661.842773</v>
      </c>
      <c r="G54">
        <f>'6 - B1'!G54</f>
        <v>11296.333008</v>
      </c>
      <c r="H54">
        <f>'6 - B1'!H54</f>
        <v>11251.212890999999</v>
      </c>
      <c r="I54">
        <f>'6 - B1'!I54</f>
        <v>10640.127930000001</v>
      </c>
      <c r="J54">
        <f>'6 - B1'!J54</f>
        <v>10945.741211</v>
      </c>
      <c r="K54">
        <f>'6 - B1'!K54</f>
        <v>10661.842773</v>
      </c>
      <c r="L54">
        <f>'6 - B1'!L54</f>
        <v>11296.333008</v>
      </c>
      <c r="M54">
        <f>'6 - B1'!M54</f>
        <v>11251.212890999999</v>
      </c>
      <c r="N54">
        <f>'6 - B1'!N54</f>
        <v>10640.127930000001</v>
      </c>
      <c r="O54">
        <f>'6 - B1'!O54</f>
        <v>10945.741211</v>
      </c>
      <c r="P54">
        <f>'6 - B1'!P54</f>
        <v>10661.842773</v>
      </c>
    </row>
    <row r="55" spans="1:16" x14ac:dyDescent="0.35">
      <c r="A55" s="91">
        <f>'6 - B1'!A55</f>
        <v>6</v>
      </c>
      <c r="B55">
        <f>'6 - B1'!B55</f>
        <v>9922.4414059999999</v>
      </c>
      <c r="C55">
        <f>'6 - B1'!C55</f>
        <v>9850.6308590000008</v>
      </c>
      <c r="D55">
        <f>'6 - B1'!D55</f>
        <v>9313.2050780000009</v>
      </c>
      <c r="E55">
        <f>'6 - B1'!E55</f>
        <v>9592.7480469999991</v>
      </c>
      <c r="F55">
        <f>'6 - B1'!F55</f>
        <v>9323.3173829999996</v>
      </c>
      <c r="G55">
        <f>'6 - B1'!G55</f>
        <v>9922.4414059999999</v>
      </c>
      <c r="H55">
        <f>'6 - B1'!H55</f>
        <v>9850.6308590000008</v>
      </c>
      <c r="I55">
        <f>'6 - B1'!I55</f>
        <v>9313.2050780000009</v>
      </c>
      <c r="J55">
        <f>'6 - B1'!J55</f>
        <v>9592.7480469999991</v>
      </c>
      <c r="K55">
        <f>'6 - B1'!K55</f>
        <v>9323.3173829999996</v>
      </c>
      <c r="L55">
        <f>'6 - B1'!L55</f>
        <v>9922.4414059999999</v>
      </c>
      <c r="M55">
        <f>'6 - B1'!M55</f>
        <v>9850.6308590000008</v>
      </c>
      <c r="N55">
        <f>'6 - B1'!N55</f>
        <v>9313.2050780000009</v>
      </c>
      <c r="O55">
        <f>'6 - B1'!O55</f>
        <v>9592.7480469999991</v>
      </c>
      <c r="P55">
        <f>'6 - B1'!P55</f>
        <v>9323.3173829999996</v>
      </c>
    </row>
    <row r="56" spans="1:16" x14ac:dyDescent="0.35">
      <c r="A56" s="91">
        <f>'6 - B1'!A56</f>
        <v>7</v>
      </c>
      <c r="B56">
        <f>'6 - B1'!B56</f>
        <v>8671.9589840000008</v>
      </c>
      <c r="C56">
        <f>'6 - B1'!C56</f>
        <v>8575.4453119999998</v>
      </c>
      <c r="D56">
        <f>'6 - B1'!D56</f>
        <v>8127.3159180000002</v>
      </c>
      <c r="E56">
        <f>'6 - B1'!E56</f>
        <v>8358.9677730000003</v>
      </c>
      <c r="F56">
        <f>'6 - B1'!F56</f>
        <v>8116.9267579999996</v>
      </c>
      <c r="G56">
        <f>'6 - B1'!G56</f>
        <v>8671.9589840000008</v>
      </c>
      <c r="H56">
        <f>'6 - B1'!H56</f>
        <v>8575.4453119999998</v>
      </c>
      <c r="I56">
        <f>'6 - B1'!I56</f>
        <v>8127.3159180000002</v>
      </c>
      <c r="J56">
        <f>'6 - B1'!J56</f>
        <v>8358.9677730000003</v>
      </c>
      <c r="K56">
        <f>'6 - B1'!K56</f>
        <v>8116.9267579999996</v>
      </c>
      <c r="L56">
        <f>'6 - B1'!L56</f>
        <v>8671.9589840000008</v>
      </c>
      <c r="M56">
        <f>'6 - B1'!M56</f>
        <v>8575.4453119999998</v>
      </c>
      <c r="N56">
        <f>'6 - B1'!N56</f>
        <v>8127.3159180000002</v>
      </c>
      <c r="O56">
        <f>'6 - B1'!O56</f>
        <v>8358.9677730000003</v>
      </c>
      <c r="P56">
        <f>'6 - B1'!P56</f>
        <v>8116.9267579999996</v>
      </c>
    </row>
    <row r="57" spans="1:16" x14ac:dyDescent="0.35">
      <c r="A57" s="91">
        <f>'6 - B1'!A57</f>
        <v>8</v>
      </c>
      <c r="B57">
        <f>'6 - B1'!B57</f>
        <v>7569.9770509999998</v>
      </c>
      <c r="C57">
        <f>'6 - B1'!C57</f>
        <v>7458.7739259999998</v>
      </c>
      <c r="D57">
        <f>'6 - B1'!D57</f>
        <v>7061.8422849999997</v>
      </c>
      <c r="E57">
        <f>'6 - B1'!E57</f>
        <v>7278.4101559999999</v>
      </c>
      <c r="F57">
        <f>'6 - B1'!F57</f>
        <v>7044.4360349999997</v>
      </c>
      <c r="G57">
        <f>'6 - B1'!G57</f>
        <v>7569.9770509999998</v>
      </c>
      <c r="H57">
        <f>'6 - B1'!H57</f>
        <v>7458.7739259999998</v>
      </c>
      <c r="I57">
        <f>'6 - B1'!I57</f>
        <v>7061.8422849999997</v>
      </c>
      <c r="J57">
        <f>'6 - B1'!J57</f>
        <v>7278.4101559999999</v>
      </c>
      <c r="K57">
        <f>'6 - B1'!K57</f>
        <v>7044.4360349999997</v>
      </c>
      <c r="L57">
        <f>'6 - B1'!L57</f>
        <v>7569.9770509999998</v>
      </c>
      <c r="M57">
        <f>'6 - B1'!M57</f>
        <v>7458.7739259999998</v>
      </c>
      <c r="N57">
        <f>'6 - B1'!N57</f>
        <v>7061.8422849999997</v>
      </c>
      <c r="O57">
        <f>'6 - B1'!O57</f>
        <v>7278.4101559999999</v>
      </c>
      <c r="P57">
        <f>'6 - B1'!P57</f>
        <v>7044.4360349999997</v>
      </c>
    </row>
    <row r="58" spans="1:16" x14ac:dyDescent="0.35">
      <c r="A58" s="91">
        <f>'6 - B1'!A58</f>
        <v>9</v>
      </c>
      <c r="B58">
        <f>'6 - B1'!B58</f>
        <v>6586.9248049999997</v>
      </c>
      <c r="C58">
        <f>'6 - B1'!C58</f>
        <v>6473.6284180000002</v>
      </c>
      <c r="D58">
        <f>'6 - B1'!D58</f>
        <v>6130.3330079999996</v>
      </c>
      <c r="E58">
        <f>'6 - B1'!E58</f>
        <v>6320.7119140000004</v>
      </c>
      <c r="F58">
        <f>'6 - B1'!F58</f>
        <v>6114.1987300000001</v>
      </c>
      <c r="G58">
        <f>'6 - B1'!G58</f>
        <v>6586.9248049999997</v>
      </c>
      <c r="H58">
        <f>'6 - B1'!H58</f>
        <v>6473.6284180000002</v>
      </c>
      <c r="I58">
        <f>'6 - B1'!I58</f>
        <v>6130.3330079999996</v>
      </c>
      <c r="J58">
        <f>'6 - B1'!J58</f>
        <v>6320.7119140000004</v>
      </c>
      <c r="K58">
        <f>'6 - B1'!K58</f>
        <v>6114.1987300000001</v>
      </c>
      <c r="L58">
        <f>'6 - B1'!L58</f>
        <v>6586.9248049999997</v>
      </c>
      <c r="M58">
        <f>'6 - B1'!M58</f>
        <v>6473.6284180000002</v>
      </c>
      <c r="N58">
        <f>'6 - B1'!N58</f>
        <v>6130.3330079999996</v>
      </c>
      <c r="O58">
        <f>'6 - B1'!O58</f>
        <v>6320.7119140000004</v>
      </c>
      <c r="P58">
        <f>'6 - B1'!P58</f>
        <v>6114.1987300000001</v>
      </c>
    </row>
    <row r="59" spans="1:16" x14ac:dyDescent="0.35">
      <c r="A59" s="91">
        <f>'6 - B1'!A59</f>
        <v>10</v>
      </c>
      <c r="B59">
        <f>'6 - B1'!B59</f>
        <v>5658.7919920000004</v>
      </c>
      <c r="C59">
        <f>'6 - B1'!C59</f>
        <v>5542.578125</v>
      </c>
      <c r="D59">
        <f>'6 - B1'!D59</f>
        <v>5241.3583980000003</v>
      </c>
      <c r="E59">
        <f>'6 - B1'!E59</f>
        <v>5390.3164059999999</v>
      </c>
      <c r="F59">
        <f>'6 - B1'!F59</f>
        <v>5217.0244140000004</v>
      </c>
      <c r="G59">
        <f>'6 - B1'!G59</f>
        <v>5658.7919920000004</v>
      </c>
      <c r="H59">
        <f>'6 - B1'!H59</f>
        <v>5542.578125</v>
      </c>
      <c r="I59">
        <f>'6 - B1'!I59</f>
        <v>5241.3583980000003</v>
      </c>
      <c r="J59">
        <f>'6 - B1'!J59</f>
        <v>5390.3164059999999</v>
      </c>
      <c r="K59">
        <f>'6 - B1'!K59</f>
        <v>5217.0244140000004</v>
      </c>
      <c r="L59">
        <f>'6 - B1'!L59</f>
        <v>5658.7919920000004</v>
      </c>
      <c r="M59">
        <f>'6 - B1'!M59</f>
        <v>5542.578125</v>
      </c>
      <c r="N59">
        <f>'6 - B1'!N59</f>
        <v>5241.3583980000003</v>
      </c>
      <c r="O59">
        <f>'6 - B1'!O59</f>
        <v>5390.3164059999999</v>
      </c>
      <c r="P59">
        <f>'6 - B1'!P59</f>
        <v>5217.0244140000004</v>
      </c>
    </row>
    <row r="60" spans="1:16" x14ac:dyDescent="0.35">
      <c r="A60" s="91">
        <f>'6 - B1'!A60</f>
        <v>11</v>
      </c>
      <c r="B60">
        <f>'6 - B1'!B60</f>
        <v>4823.6010740000002</v>
      </c>
      <c r="C60">
        <f>'6 - B1'!C60</f>
        <v>4705.1040039999998</v>
      </c>
      <c r="D60">
        <f>'6 - B1'!D60</f>
        <v>4447.1132809999999</v>
      </c>
      <c r="E60">
        <f>'6 - B1'!E60</f>
        <v>4590.4301759999998</v>
      </c>
      <c r="F60">
        <f>'6 - B1'!F60</f>
        <v>4430.5703119999998</v>
      </c>
      <c r="G60">
        <f>'6 - B1'!G60</f>
        <v>4823.6010740000002</v>
      </c>
      <c r="H60">
        <f>'6 - B1'!H60</f>
        <v>4705.1040039999998</v>
      </c>
      <c r="I60">
        <f>'6 - B1'!I60</f>
        <v>4447.1132809999999</v>
      </c>
      <c r="J60">
        <f>'6 - B1'!J60</f>
        <v>4590.4301759999998</v>
      </c>
      <c r="K60">
        <f>'6 - B1'!K60</f>
        <v>4430.5703119999998</v>
      </c>
      <c r="L60">
        <f>'6 - B1'!L60</f>
        <v>4823.6010740000002</v>
      </c>
      <c r="M60">
        <f>'6 - B1'!M60</f>
        <v>4705.1040039999998</v>
      </c>
      <c r="N60">
        <f>'6 - B1'!N60</f>
        <v>4447.1132809999999</v>
      </c>
      <c r="O60">
        <f>'6 - B1'!O60</f>
        <v>4590.4301759999998</v>
      </c>
      <c r="P60">
        <f>'6 - B1'!P60</f>
        <v>4430.5703119999998</v>
      </c>
    </row>
    <row r="61" spans="1:16" x14ac:dyDescent="0.35">
      <c r="A61" s="91">
        <f>'6 - B1'!A61</f>
        <v>12</v>
      </c>
      <c r="B61">
        <f>'6 - B1'!B61</f>
        <v>4052.2907709999999</v>
      </c>
      <c r="C61">
        <f>'6 - B1'!C61</f>
        <v>3942.4677729999999</v>
      </c>
      <c r="D61">
        <f>'6 - B1'!D61</f>
        <v>3703.1784670000002</v>
      </c>
      <c r="E61">
        <f>'6 - B1'!E61</f>
        <v>3827.2612300000001</v>
      </c>
      <c r="F61">
        <f>'6 - B1'!F61</f>
        <v>3675.7670899999998</v>
      </c>
      <c r="G61">
        <f>'6 - B1'!G61</f>
        <v>4052.2907709999999</v>
      </c>
      <c r="H61">
        <f>'6 - B1'!H61</f>
        <v>3942.4677729999999</v>
      </c>
      <c r="I61">
        <f>'6 - B1'!I61</f>
        <v>3703.1784670000002</v>
      </c>
      <c r="J61">
        <f>'6 - B1'!J61</f>
        <v>3827.2612300000001</v>
      </c>
      <c r="K61">
        <f>'6 - B1'!K61</f>
        <v>3675.7670899999998</v>
      </c>
      <c r="L61">
        <f>'6 - B1'!L61</f>
        <v>4052.2907709999999</v>
      </c>
      <c r="M61">
        <f>'6 - B1'!M61</f>
        <v>3942.4677729999999</v>
      </c>
      <c r="N61">
        <f>'6 - B1'!N61</f>
        <v>3703.1784670000002</v>
      </c>
      <c r="O61">
        <f>'6 - B1'!O61</f>
        <v>3827.2612300000001</v>
      </c>
      <c r="P61">
        <f>'6 - B1'!P61</f>
        <v>3675.7670899999998</v>
      </c>
    </row>
    <row r="62" spans="1:16" x14ac:dyDescent="0.35">
      <c r="A62" s="91">
        <f>'6 - B1'!A62</f>
        <v>13</v>
      </c>
      <c r="B62">
        <f>'6 - B1'!B62</f>
        <v>3367.008789</v>
      </c>
      <c r="C62">
        <f>'6 - B1'!C62</f>
        <v>3259.1477049999999</v>
      </c>
      <c r="D62">
        <f>'6 - B1'!D62</f>
        <v>3081.5439449999999</v>
      </c>
      <c r="E62">
        <f>'6 - B1'!E62</f>
        <v>3162.474365</v>
      </c>
      <c r="F62">
        <f>'6 - B1'!F62</f>
        <v>3043.8034670000002</v>
      </c>
      <c r="G62">
        <f>'6 - B1'!G62</f>
        <v>3367.008789</v>
      </c>
      <c r="H62">
        <f>'6 - B1'!H62</f>
        <v>3259.1477049999999</v>
      </c>
      <c r="I62">
        <f>'6 - B1'!I62</f>
        <v>3081.5439449999999</v>
      </c>
      <c r="J62">
        <f>'6 - B1'!J62</f>
        <v>3162.474365</v>
      </c>
      <c r="K62">
        <f>'6 - B1'!K62</f>
        <v>3043.8034670000002</v>
      </c>
      <c r="L62">
        <f>'6 - B1'!L62</f>
        <v>3367.008789</v>
      </c>
      <c r="M62">
        <f>'6 - B1'!M62</f>
        <v>3259.1477049999999</v>
      </c>
      <c r="N62">
        <f>'6 - B1'!N62</f>
        <v>3081.5439449999999</v>
      </c>
      <c r="O62">
        <f>'6 - B1'!O62</f>
        <v>3162.474365</v>
      </c>
      <c r="P62">
        <f>'6 - B1'!P62</f>
        <v>3043.8034670000002</v>
      </c>
    </row>
    <row r="63" spans="1:16" x14ac:dyDescent="0.35">
      <c r="A63" s="91">
        <f>'6 - B1'!A63</f>
        <v>14</v>
      </c>
      <c r="B63">
        <f>'6 - B1'!B63</f>
        <v>2748.0405270000001</v>
      </c>
      <c r="C63">
        <f>'6 - B1'!C63</f>
        <v>2656.9111330000001</v>
      </c>
      <c r="D63">
        <f>'6 - B1'!D63</f>
        <v>2502.679443</v>
      </c>
      <c r="E63">
        <f>'6 - B1'!E63</f>
        <v>2571.0034179999998</v>
      </c>
      <c r="F63">
        <f>'6 - B1'!F63</f>
        <v>2473.4948730000001</v>
      </c>
      <c r="G63">
        <f>'6 - B1'!G63</f>
        <v>2748.0405270000001</v>
      </c>
      <c r="H63">
        <f>'6 - B1'!H63</f>
        <v>2656.9111330000001</v>
      </c>
      <c r="I63">
        <f>'6 - B1'!I63</f>
        <v>2502.679443</v>
      </c>
      <c r="J63">
        <f>'6 - B1'!J63</f>
        <v>2571.0034179999998</v>
      </c>
      <c r="K63">
        <f>'6 - B1'!K63</f>
        <v>2473.4948730000001</v>
      </c>
      <c r="L63">
        <f>'6 - B1'!L63</f>
        <v>2748.0405270000001</v>
      </c>
      <c r="M63">
        <f>'6 - B1'!M63</f>
        <v>2656.9111330000001</v>
      </c>
      <c r="N63">
        <f>'6 - B1'!N63</f>
        <v>2502.679443</v>
      </c>
      <c r="O63">
        <f>'6 - B1'!O63</f>
        <v>2571.0034179999998</v>
      </c>
      <c r="P63">
        <f>'6 - B1'!P63</f>
        <v>2473.4948730000001</v>
      </c>
    </row>
    <row r="64" spans="1:16" x14ac:dyDescent="0.35">
      <c r="A64" s="91">
        <f>'6 - B1'!A64</f>
        <v>15</v>
      </c>
      <c r="B64">
        <f>'6 - B1'!B64</f>
        <v>2193.0812989999999</v>
      </c>
      <c r="C64">
        <f>'6 - B1'!C64</f>
        <v>2112.6591800000001</v>
      </c>
      <c r="D64">
        <f>'6 - B1'!D64</f>
        <v>1992.976807</v>
      </c>
      <c r="E64">
        <f>'6 - B1'!E64</f>
        <v>2039.6682129999999</v>
      </c>
      <c r="F64">
        <f>'6 - B1'!F64</f>
        <v>1945.3092039999999</v>
      </c>
      <c r="G64">
        <f>'6 - B1'!G64</f>
        <v>2193.0812989999999</v>
      </c>
      <c r="H64">
        <f>'6 - B1'!H64</f>
        <v>2112.6591800000001</v>
      </c>
      <c r="I64">
        <f>'6 - B1'!I64</f>
        <v>1992.976807</v>
      </c>
      <c r="J64">
        <f>'6 - B1'!J64</f>
        <v>2039.6682129999999</v>
      </c>
      <c r="K64">
        <f>'6 - B1'!K64</f>
        <v>1945.3092039999999</v>
      </c>
      <c r="L64">
        <f>'6 - B1'!L64</f>
        <v>2193.0812989999999</v>
      </c>
      <c r="M64">
        <f>'6 - B1'!M64</f>
        <v>2112.6591800000001</v>
      </c>
      <c r="N64">
        <f>'6 - B1'!N64</f>
        <v>1992.976807</v>
      </c>
      <c r="O64">
        <f>'6 - B1'!O64</f>
        <v>2039.6682129999999</v>
      </c>
      <c r="P64">
        <f>'6 - B1'!P64</f>
        <v>1945.3092039999999</v>
      </c>
    </row>
    <row r="65" spans="1:16" x14ac:dyDescent="0.35">
      <c r="A65" s="91">
        <f>'6 - B1'!A65</f>
        <v>16</v>
      </c>
      <c r="B65">
        <f>'6 - B1'!B65</f>
        <v>1726.4545900000001</v>
      </c>
      <c r="C65">
        <f>'6 - B1'!C65</f>
        <v>1663.1623540000001</v>
      </c>
      <c r="D65">
        <f>'6 - B1'!D65</f>
        <v>1566.221802</v>
      </c>
      <c r="E65">
        <f>'6 - B1'!E65</f>
        <v>1610.1281739999999</v>
      </c>
      <c r="F65">
        <f>'6 - B1'!F65</f>
        <v>1525.2551269999999</v>
      </c>
      <c r="G65">
        <f>'6 - B1'!G65</f>
        <v>1726.4545900000001</v>
      </c>
      <c r="H65">
        <f>'6 - B1'!H65</f>
        <v>1663.1623540000001</v>
      </c>
      <c r="I65">
        <f>'6 - B1'!I65</f>
        <v>1566.221802</v>
      </c>
      <c r="J65">
        <f>'6 - B1'!J65</f>
        <v>1610.1281739999999</v>
      </c>
      <c r="K65">
        <f>'6 - B1'!K65</f>
        <v>1525.2551269999999</v>
      </c>
      <c r="L65">
        <f>'6 - B1'!L65</f>
        <v>1726.4545900000001</v>
      </c>
      <c r="M65">
        <f>'6 - B1'!M65</f>
        <v>1663.1623540000001</v>
      </c>
      <c r="N65">
        <f>'6 - B1'!N65</f>
        <v>1566.221802</v>
      </c>
      <c r="O65">
        <f>'6 - B1'!O65</f>
        <v>1610.1281739999999</v>
      </c>
      <c r="P65">
        <f>'6 - B1'!P65</f>
        <v>1525.2551269999999</v>
      </c>
    </row>
    <row r="66" spans="1:16" x14ac:dyDescent="0.35">
      <c r="A66" s="91">
        <f>'6 - B1'!A66</f>
        <v>17</v>
      </c>
      <c r="B66">
        <f>'6 - B1'!B66</f>
        <v>1346.1123050000001</v>
      </c>
      <c r="C66">
        <f>'6 - B1'!C66</f>
        <v>1285.7923579999999</v>
      </c>
      <c r="D66">
        <f>'6 - B1'!D66</f>
        <v>1210.9853519999999</v>
      </c>
      <c r="E66">
        <f>'6 - B1'!E66</f>
        <v>1246.7254640000001</v>
      </c>
      <c r="F66">
        <f>'6 - B1'!F66</f>
        <v>1162.9731449999999</v>
      </c>
      <c r="G66">
        <f>'6 - B1'!G66</f>
        <v>1346.1123050000001</v>
      </c>
      <c r="H66">
        <f>'6 - B1'!H66</f>
        <v>1285.7923579999999</v>
      </c>
      <c r="I66">
        <f>'6 - B1'!I66</f>
        <v>1210.9853519999999</v>
      </c>
      <c r="J66">
        <f>'6 - B1'!J66</f>
        <v>1246.7254640000001</v>
      </c>
      <c r="K66">
        <f>'6 - B1'!K66</f>
        <v>1162.9731449999999</v>
      </c>
      <c r="L66">
        <f>'6 - B1'!L66</f>
        <v>1346.1123050000001</v>
      </c>
      <c r="M66">
        <f>'6 - B1'!M66</f>
        <v>1285.7923579999999</v>
      </c>
      <c r="N66">
        <f>'6 - B1'!N66</f>
        <v>1210.9853519999999</v>
      </c>
      <c r="O66">
        <f>'6 - B1'!O66</f>
        <v>1246.7254640000001</v>
      </c>
      <c r="P66">
        <f>'6 - B1'!P66</f>
        <v>1162.9731449999999</v>
      </c>
    </row>
    <row r="67" spans="1:16" x14ac:dyDescent="0.35">
      <c r="A67" s="91">
        <f>'6 - B1'!A67</f>
        <v>18</v>
      </c>
      <c r="B67">
        <f>'6 - B1'!B67</f>
        <v>1032.8515620000001</v>
      </c>
      <c r="C67">
        <f>'6 - B1'!C67</f>
        <v>978.30999799999995</v>
      </c>
      <c r="D67">
        <f>'6 - B1'!D67</f>
        <v>925.97131300000001</v>
      </c>
      <c r="E67">
        <f>'6 - B1'!E67</f>
        <v>954.40283199999999</v>
      </c>
      <c r="F67">
        <f>'6 - B1'!F67</f>
        <v>880.58392300000003</v>
      </c>
      <c r="G67">
        <f>'6 - B1'!G67</f>
        <v>1032.8515620000001</v>
      </c>
      <c r="H67">
        <f>'6 - B1'!H67</f>
        <v>978.30999799999995</v>
      </c>
      <c r="I67">
        <f>'6 - B1'!I67</f>
        <v>925.97131300000001</v>
      </c>
      <c r="J67">
        <f>'6 - B1'!J67</f>
        <v>954.40283199999999</v>
      </c>
      <c r="K67">
        <f>'6 - B1'!K67</f>
        <v>880.58392300000003</v>
      </c>
      <c r="L67">
        <f>'6 - B1'!L67</f>
        <v>1032.8515620000001</v>
      </c>
      <c r="M67">
        <f>'6 - B1'!M67</f>
        <v>978.30999799999995</v>
      </c>
      <c r="N67">
        <f>'6 - B1'!N67</f>
        <v>925.97131300000001</v>
      </c>
      <c r="O67">
        <f>'6 - B1'!O67</f>
        <v>954.40283199999999</v>
      </c>
      <c r="P67">
        <f>'6 - B1'!P67</f>
        <v>880.58392300000003</v>
      </c>
    </row>
    <row r="68" spans="1:16" x14ac:dyDescent="0.35">
      <c r="A68" s="91">
        <f>'6 - B1'!A68</f>
        <v>19</v>
      </c>
      <c r="B68">
        <f>'6 - B1'!B68</f>
        <v>797.80993699999999</v>
      </c>
      <c r="C68">
        <f>'6 - B1'!C68</f>
        <v>751.08654799999999</v>
      </c>
      <c r="D68">
        <f>'6 - B1'!D68</f>
        <v>709.76605199999995</v>
      </c>
      <c r="E68">
        <f>'6 - B1'!E68</f>
        <v>727.98223900000005</v>
      </c>
      <c r="F68">
        <f>'6 - B1'!F68</f>
        <v>665.37976100000003</v>
      </c>
      <c r="G68">
        <f>'6 - B1'!G68</f>
        <v>797.80993699999999</v>
      </c>
      <c r="H68">
        <f>'6 - B1'!H68</f>
        <v>751.08654799999999</v>
      </c>
      <c r="I68">
        <f>'6 - B1'!I68</f>
        <v>709.76605199999995</v>
      </c>
      <c r="J68">
        <f>'6 - B1'!J68</f>
        <v>727.98223900000005</v>
      </c>
      <c r="K68">
        <f>'6 - B1'!K68</f>
        <v>665.37976100000003</v>
      </c>
      <c r="L68">
        <f>'6 - B1'!L68</f>
        <v>797.80993699999999</v>
      </c>
      <c r="M68">
        <f>'6 - B1'!M68</f>
        <v>751.08654799999999</v>
      </c>
      <c r="N68">
        <f>'6 - B1'!N68</f>
        <v>709.76605199999995</v>
      </c>
      <c r="O68">
        <f>'6 - B1'!O68</f>
        <v>727.98223900000005</v>
      </c>
      <c r="P68">
        <f>'6 - B1'!P68</f>
        <v>665.37976100000003</v>
      </c>
    </row>
    <row r="69" spans="1:16" x14ac:dyDescent="0.35">
      <c r="A69" s="91">
        <f>'6 - B1'!A69</f>
        <v>20</v>
      </c>
      <c r="B69">
        <f>'6 - B1'!B69</f>
        <v>610.519226</v>
      </c>
      <c r="C69">
        <f>'6 - B1'!C69</f>
        <v>568.64782700000001</v>
      </c>
      <c r="D69">
        <f>'6 - B1'!D69</f>
        <v>537.74438499999997</v>
      </c>
      <c r="E69">
        <f>'6 - B1'!E69</f>
        <v>552.87109399999997</v>
      </c>
      <c r="F69">
        <f>'6 - B1'!F69</f>
        <v>502.77056900000002</v>
      </c>
      <c r="G69">
        <f>'6 - B1'!G69</f>
        <v>610.519226</v>
      </c>
      <c r="H69">
        <f>'6 - B1'!H69</f>
        <v>568.64782700000001</v>
      </c>
      <c r="I69">
        <f>'6 - B1'!I69</f>
        <v>537.74438499999997</v>
      </c>
      <c r="J69">
        <f>'6 - B1'!J69</f>
        <v>552.87109399999997</v>
      </c>
      <c r="K69">
        <f>'6 - B1'!K69</f>
        <v>502.77056900000002</v>
      </c>
      <c r="L69">
        <f>'6 - B1'!L69</f>
        <v>610.519226</v>
      </c>
      <c r="M69">
        <f>'6 - B1'!M69</f>
        <v>568.64782700000001</v>
      </c>
      <c r="N69">
        <f>'6 - B1'!N69</f>
        <v>537.74438499999997</v>
      </c>
      <c r="O69">
        <f>'6 - B1'!O69</f>
        <v>552.87109399999997</v>
      </c>
      <c r="P69">
        <f>'6 - B1'!P69</f>
        <v>502.77056900000002</v>
      </c>
    </row>
    <row r="70" spans="1:16" x14ac:dyDescent="0.35">
      <c r="A70" s="91">
        <f>'6 - B1'!A70</f>
        <v>21</v>
      </c>
      <c r="B70">
        <f>'6 - B1'!B70</f>
        <v>471.87539700000002</v>
      </c>
      <c r="C70">
        <f>'6 - B1'!C70</f>
        <v>432.17236300000002</v>
      </c>
      <c r="D70">
        <f>'6 - B1'!D70</f>
        <v>413.67672700000003</v>
      </c>
      <c r="E70">
        <f>'6 - B1'!E70</f>
        <v>428.12792999999999</v>
      </c>
      <c r="F70">
        <f>'6 - B1'!F70</f>
        <v>375.930725</v>
      </c>
      <c r="G70">
        <f>'6 - B1'!G70</f>
        <v>471.87539700000002</v>
      </c>
      <c r="H70">
        <f>'6 - B1'!H70</f>
        <v>432.17236300000002</v>
      </c>
      <c r="I70">
        <f>'6 - B1'!I70</f>
        <v>413.67672700000003</v>
      </c>
      <c r="J70">
        <f>'6 - B1'!J70</f>
        <v>428.12792999999999</v>
      </c>
      <c r="K70">
        <f>'6 - B1'!K70</f>
        <v>375.930725</v>
      </c>
      <c r="L70">
        <f>'6 - B1'!L70</f>
        <v>471.87539700000002</v>
      </c>
      <c r="M70">
        <f>'6 - B1'!M70</f>
        <v>432.17236300000002</v>
      </c>
      <c r="N70">
        <f>'6 - B1'!N70</f>
        <v>413.67672700000003</v>
      </c>
      <c r="O70">
        <f>'6 - B1'!O70</f>
        <v>428.12792999999999</v>
      </c>
      <c r="P70">
        <f>'6 - B1'!P70</f>
        <v>375.930725</v>
      </c>
    </row>
    <row r="71" spans="1:16" x14ac:dyDescent="0.35">
      <c r="A71" s="91">
        <f>'6 - B1'!A71</f>
        <v>22</v>
      </c>
      <c r="B71">
        <f>'6 - B1'!B71</f>
        <v>362.67581200000001</v>
      </c>
      <c r="C71">
        <f>'6 - B1'!C71</f>
        <v>338.124481</v>
      </c>
      <c r="D71">
        <f>'6 - B1'!D71</f>
        <v>318.94699100000003</v>
      </c>
      <c r="E71">
        <f>'6 - B1'!E71</f>
        <v>328.56875600000001</v>
      </c>
      <c r="F71">
        <f>'6 - B1'!F71</f>
        <v>283.33056599999998</v>
      </c>
      <c r="G71">
        <f>'6 - B1'!G71</f>
        <v>362.67581200000001</v>
      </c>
      <c r="H71">
        <f>'6 - B1'!H71</f>
        <v>338.124481</v>
      </c>
      <c r="I71">
        <f>'6 - B1'!I71</f>
        <v>318.94699100000003</v>
      </c>
      <c r="J71">
        <f>'6 - B1'!J71</f>
        <v>328.56875600000001</v>
      </c>
      <c r="K71">
        <f>'6 - B1'!K71</f>
        <v>283.33056599999998</v>
      </c>
      <c r="L71">
        <f>'6 - B1'!L71</f>
        <v>362.67581200000001</v>
      </c>
      <c r="M71">
        <f>'6 - B1'!M71</f>
        <v>338.124481</v>
      </c>
      <c r="N71">
        <f>'6 - B1'!N71</f>
        <v>318.94699100000003</v>
      </c>
      <c r="O71">
        <f>'6 - B1'!O71</f>
        <v>328.56875600000001</v>
      </c>
      <c r="P71">
        <f>'6 - B1'!P71</f>
        <v>283.33056599999998</v>
      </c>
    </row>
    <row r="72" spans="1:16" x14ac:dyDescent="0.35">
      <c r="A72" s="91">
        <f>'6 - B1'!A72</f>
        <v>23</v>
      </c>
      <c r="B72">
        <f>'6 - B1'!B72</f>
        <v>277.287598</v>
      </c>
      <c r="C72">
        <f>'6 - B1'!C72</f>
        <v>260.81195100000002</v>
      </c>
      <c r="D72">
        <f>'6 - B1'!D72</f>
        <v>240.123367</v>
      </c>
      <c r="E72">
        <f>'6 - B1'!E72</f>
        <v>252.192993</v>
      </c>
      <c r="F72">
        <f>'6 - B1'!F72</f>
        <v>213.43924000000001</v>
      </c>
      <c r="G72">
        <f>'6 - B1'!G72</f>
        <v>277.287598</v>
      </c>
      <c r="H72">
        <f>'6 - B1'!H72</f>
        <v>260.81195100000002</v>
      </c>
      <c r="I72">
        <f>'6 - B1'!I72</f>
        <v>240.123367</v>
      </c>
      <c r="J72">
        <f>'6 - B1'!J72</f>
        <v>252.192993</v>
      </c>
      <c r="K72">
        <f>'6 - B1'!K72</f>
        <v>213.43924000000001</v>
      </c>
      <c r="L72">
        <f>'6 - B1'!L72</f>
        <v>277.287598</v>
      </c>
      <c r="M72">
        <f>'6 - B1'!M72</f>
        <v>260.81195100000002</v>
      </c>
      <c r="N72">
        <f>'6 - B1'!N72</f>
        <v>240.123367</v>
      </c>
      <c r="O72">
        <f>'6 - B1'!O72</f>
        <v>252.192993</v>
      </c>
      <c r="P72">
        <f>'6 - B1'!P72</f>
        <v>213.43924000000001</v>
      </c>
    </row>
    <row r="73" spans="1:16" x14ac:dyDescent="0.35">
      <c r="A73" s="91">
        <f>'6 - B1'!A73</f>
        <v>24</v>
      </c>
      <c r="B73">
        <f>'6 - B1'!B73</f>
        <v>211.998276</v>
      </c>
      <c r="C73">
        <f>'6 - B1'!C73</f>
        <v>201.649002</v>
      </c>
      <c r="D73">
        <f>'6 - B1'!D73</f>
        <v>181.447495</v>
      </c>
      <c r="E73">
        <f>'6 - B1'!E73</f>
        <v>192.99884</v>
      </c>
      <c r="F73">
        <f>'6 - B1'!F73</f>
        <v>157.43202199999999</v>
      </c>
      <c r="G73">
        <f>'6 - B1'!G73</f>
        <v>211.998276</v>
      </c>
      <c r="H73">
        <f>'6 - B1'!H73</f>
        <v>201.649002</v>
      </c>
      <c r="I73">
        <f>'6 - B1'!I73</f>
        <v>181.447495</v>
      </c>
      <c r="J73">
        <f>'6 - B1'!J73</f>
        <v>192.99884</v>
      </c>
      <c r="K73">
        <f>'6 - B1'!K73</f>
        <v>157.43202199999999</v>
      </c>
      <c r="L73">
        <f>'6 - B1'!L73</f>
        <v>211.998276</v>
      </c>
      <c r="M73">
        <f>'6 - B1'!M73</f>
        <v>201.649002</v>
      </c>
      <c r="N73">
        <f>'6 - B1'!N73</f>
        <v>181.447495</v>
      </c>
      <c r="O73">
        <f>'6 - B1'!O73</f>
        <v>192.99884</v>
      </c>
      <c r="P73">
        <f>'6 - B1'!P73</f>
        <v>157.43202199999999</v>
      </c>
    </row>
    <row r="74" spans="1:16" x14ac:dyDescent="0.35">
      <c r="A74" s="91">
        <f>'6 - B1'!A74</f>
        <v>25</v>
      </c>
      <c r="B74">
        <f>'6 - B1'!B74</f>
        <v>154.39004499999999</v>
      </c>
      <c r="C74">
        <f>'6 - B1'!C74</f>
        <v>156.98216199999999</v>
      </c>
      <c r="D74">
        <f>'6 - B1'!D74</f>
        <v>137.97079500000001</v>
      </c>
      <c r="E74">
        <f>'6 - B1'!E74</f>
        <v>146.04364000000001</v>
      </c>
      <c r="F74">
        <f>'6 - B1'!F74</f>
        <v>117.42688</v>
      </c>
      <c r="G74">
        <f>'6 - B1'!G74</f>
        <v>154.39004499999999</v>
      </c>
      <c r="H74">
        <f>'6 - B1'!H74</f>
        <v>156.98216199999999</v>
      </c>
      <c r="I74">
        <f>'6 - B1'!I74</f>
        <v>137.97079500000001</v>
      </c>
      <c r="J74">
        <f>'6 - B1'!J74</f>
        <v>146.04364000000001</v>
      </c>
      <c r="K74">
        <f>'6 - B1'!K74</f>
        <v>117.42688</v>
      </c>
      <c r="L74">
        <f>'6 - B1'!L74</f>
        <v>154.39004499999999</v>
      </c>
      <c r="M74">
        <f>'6 - B1'!M74</f>
        <v>156.98216199999999</v>
      </c>
      <c r="N74">
        <f>'6 - B1'!N74</f>
        <v>137.97079500000001</v>
      </c>
      <c r="O74">
        <f>'6 - B1'!O74</f>
        <v>146.04364000000001</v>
      </c>
      <c r="P74">
        <f>'6 - B1'!P74</f>
        <v>117.42688</v>
      </c>
    </row>
    <row r="75" spans="1:16" x14ac:dyDescent="0.35">
      <c r="A75" s="91">
        <f>'6 - B1'!A75</f>
        <v>26</v>
      </c>
      <c r="B75">
        <f>'6 - B1'!B75</f>
        <v>116.752678</v>
      </c>
      <c r="C75">
        <f>'6 - B1'!C75</f>
        <v>118.915161</v>
      </c>
      <c r="D75">
        <f>'6 - B1'!D75</f>
        <v>107.925911</v>
      </c>
      <c r="E75">
        <f>'6 - B1'!E75</f>
        <v>109.915192</v>
      </c>
      <c r="F75">
        <f>'6 - B1'!F75</f>
        <v>87.893660999999994</v>
      </c>
      <c r="G75">
        <f>'6 - B1'!G75</f>
        <v>116.752678</v>
      </c>
      <c r="H75">
        <f>'6 - B1'!H75</f>
        <v>118.915161</v>
      </c>
      <c r="I75">
        <f>'6 - B1'!I75</f>
        <v>107.925911</v>
      </c>
      <c r="J75">
        <f>'6 - B1'!J75</f>
        <v>109.915192</v>
      </c>
      <c r="K75">
        <f>'6 - B1'!K75</f>
        <v>87.893660999999994</v>
      </c>
      <c r="L75">
        <f>'6 - B1'!L75</f>
        <v>116.752678</v>
      </c>
      <c r="M75">
        <f>'6 - B1'!M75</f>
        <v>118.915161</v>
      </c>
      <c r="N75">
        <f>'6 - B1'!N75</f>
        <v>107.925911</v>
      </c>
      <c r="O75">
        <f>'6 - B1'!O75</f>
        <v>109.915192</v>
      </c>
      <c r="P75">
        <f>'6 - B1'!P75</f>
        <v>87.893660999999994</v>
      </c>
    </row>
    <row r="76" spans="1:16" x14ac:dyDescent="0.35">
      <c r="A76" s="91">
        <f>'6 - B1'!A76</f>
        <v>27</v>
      </c>
      <c r="B76">
        <f>'6 - B1'!B76</f>
        <v>84.492064999999997</v>
      </c>
      <c r="C76">
        <f>'6 - B1'!C76</f>
        <v>89.922966000000002</v>
      </c>
      <c r="D76">
        <f>'6 - B1'!D76</f>
        <v>78.470153999999994</v>
      </c>
      <c r="E76">
        <f>'6 - B1'!E76</f>
        <v>79.788544000000002</v>
      </c>
      <c r="F76">
        <f>'6 - B1'!F76</f>
        <v>64.008240000000001</v>
      </c>
      <c r="G76">
        <f>'6 - B1'!G76</f>
        <v>84.492064999999997</v>
      </c>
      <c r="H76">
        <f>'6 - B1'!H76</f>
        <v>89.922966000000002</v>
      </c>
      <c r="I76">
        <f>'6 - B1'!I76</f>
        <v>78.470153999999994</v>
      </c>
      <c r="J76">
        <f>'6 - B1'!J76</f>
        <v>79.788544000000002</v>
      </c>
      <c r="K76">
        <f>'6 - B1'!K76</f>
        <v>64.008240000000001</v>
      </c>
      <c r="L76">
        <f>'6 - B1'!L76</f>
        <v>84.492064999999997</v>
      </c>
      <c r="M76">
        <f>'6 - B1'!M76</f>
        <v>89.922966000000002</v>
      </c>
      <c r="N76">
        <f>'6 - B1'!N76</f>
        <v>78.470153999999994</v>
      </c>
      <c r="O76">
        <f>'6 - B1'!O76</f>
        <v>79.788544000000002</v>
      </c>
      <c r="P76">
        <f>'6 - B1'!P76</f>
        <v>64.008240000000001</v>
      </c>
    </row>
    <row r="77" spans="1:16" x14ac:dyDescent="0.35">
      <c r="A77" s="91">
        <f>'6 - B1'!A77</f>
        <v>28</v>
      </c>
      <c r="B77">
        <f>'6 - B1'!B77</f>
        <v>61.064720000000001</v>
      </c>
      <c r="C77">
        <f>'6 - B1'!C77</f>
        <v>69.298430999999994</v>
      </c>
      <c r="D77">
        <f>'6 - B1'!D77</f>
        <v>60.678871000000001</v>
      </c>
      <c r="E77">
        <f>'6 - B1'!E77</f>
        <v>56.016734999999997</v>
      </c>
      <c r="F77">
        <f>'6 - B1'!F77</f>
        <v>47.064880000000002</v>
      </c>
      <c r="G77">
        <f>'6 - B1'!G77</f>
        <v>61.064720000000001</v>
      </c>
      <c r="H77">
        <f>'6 - B1'!H77</f>
        <v>69.298430999999994</v>
      </c>
      <c r="I77">
        <f>'6 - B1'!I77</f>
        <v>60.678871000000001</v>
      </c>
      <c r="J77">
        <f>'6 - B1'!J77</f>
        <v>56.016734999999997</v>
      </c>
      <c r="K77">
        <f>'6 - B1'!K77</f>
        <v>47.064880000000002</v>
      </c>
      <c r="L77">
        <f>'6 - B1'!L77</f>
        <v>61.064720000000001</v>
      </c>
      <c r="M77">
        <f>'6 - B1'!M77</f>
        <v>69.298430999999994</v>
      </c>
      <c r="N77">
        <f>'6 - B1'!N77</f>
        <v>60.678871000000001</v>
      </c>
      <c r="O77">
        <f>'6 - B1'!O77</f>
        <v>56.016734999999997</v>
      </c>
      <c r="P77">
        <f>'6 - B1'!P77</f>
        <v>47.064880000000002</v>
      </c>
    </row>
    <row r="78" spans="1:16" x14ac:dyDescent="0.35">
      <c r="A78" s="91">
        <f>'6 - B1'!A78</f>
        <v>29</v>
      </c>
      <c r="B78">
        <f>'6 - B1'!B78</f>
        <v>46.086582</v>
      </c>
      <c r="C78">
        <f>'6 - B1'!C78</f>
        <v>51.266697000000001</v>
      </c>
      <c r="D78">
        <f>'6 - B1'!D78</f>
        <v>42.769767999999999</v>
      </c>
      <c r="E78">
        <f>'6 - B1'!E78</f>
        <v>41.306457999999999</v>
      </c>
      <c r="F78">
        <f>'6 - B1'!F78</f>
        <v>32.121780000000001</v>
      </c>
      <c r="G78">
        <f>'6 - B1'!G78</f>
        <v>46.086582</v>
      </c>
      <c r="H78">
        <f>'6 - B1'!H78</f>
        <v>51.266697000000001</v>
      </c>
      <c r="I78">
        <f>'6 - B1'!I78</f>
        <v>42.769767999999999</v>
      </c>
      <c r="J78">
        <f>'6 - B1'!J78</f>
        <v>41.306457999999999</v>
      </c>
      <c r="K78">
        <f>'6 - B1'!K78</f>
        <v>32.121780000000001</v>
      </c>
      <c r="L78">
        <f>'6 - B1'!L78</f>
        <v>46.086582</v>
      </c>
      <c r="M78">
        <f>'6 - B1'!M78</f>
        <v>51.266697000000001</v>
      </c>
      <c r="N78">
        <f>'6 - B1'!N78</f>
        <v>42.769767999999999</v>
      </c>
      <c r="O78">
        <f>'6 - B1'!O78</f>
        <v>41.306457999999999</v>
      </c>
      <c r="P78">
        <f>'6 - B1'!P78</f>
        <v>32.121780000000001</v>
      </c>
    </row>
    <row r="79" spans="1:16" x14ac:dyDescent="0.35">
      <c r="A79" s="91">
        <f>'6 - B1'!A79</f>
        <v>30</v>
      </c>
      <c r="B79">
        <f>'6 - B1'!B79</f>
        <v>35.973137000000001</v>
      </c>
      <c r="C79">
        <f>'6 - B1'!C79</f>
        <v>37.006306000000002</v>
      </c>
      <c r="D79">
        <f>'6 - B1'!D79</f>
        <v>30.751816000000002</v>
      </c>
      <c r="E79">
        <f>'6 - B1'!E79</f>
        <v>28.832144</v>
      </c>
      <c r="F79">
        <f>'6 - B1'!F79</f>
        <v>20.943871999999999</v>
      </c>
      <c r="G79">
        <f>'6 - B1'!G79</f>
        <v>35.973137000000001</v>
      </c>
      <c r="H79">
        <f>'6 - B1'!H79</f>
        <v>37.006306000000002</v>
      </c>
      <c r="I79">
        <f>'6 - B1'!I79</f>
        <v>30.751816000000002</v>
      </c>
      <c r="J79">
        <f>'6 - B1'!J79</f>
        <v>28.832144</v>
      </c>
      <c r="K79">
        <f>'6 - B1'!K79</f>
        <v>20.943871999999999</v>
      </c>
      <c r="L79">
        <f>'6 - B1'!L79</f>
        <v>35.973137000000001</v>
      </c>
      <c r="M79">
        <f>'6 - B1'!M79</f>
        <v>37.006306000000002</v>
      </c>
      <c r="N79">
        <f>'6 - B1'!N79</f>
        <v>30.751816000000002</v>
      </c>
      <c r="O79">
        <f>'6 - B1'!O79</f>
        <v>28.832144</v>
      </c>
      <c r="P79">
        <f>'6 - B1'!P79</f>
        <v>20.943871999999999</v>
      </c>
    </row>
    <row r="80" spans="1:16" x14ac:dyDescent="0.35">
      <c r="A80" s="91">
        <f>'6 - B1'!A80</f>
        <v>38</v>
      </c>
      <c r="B80">
        <f>'6 - B1'!B80</f>
        <v>25.731674000000002</v>
      </c>
      <c r="C80">
        <f>'6 - B1'!C80</f>
        <v>25.927983999999999</v>
      </c>
      <c r="D80">
        <f>'6 - B1'!D80</f>
        <v>21.090326000000001</v>
      </c>
      <c r="E80">
        <f>'6 - B1'!E80</f>
        <v>19.652930999999999</v>
      </c>
      <c r="F80">
        <f>'6 - B1'!F80</f>
        <v>14.707775</v>
      </c>
      <c r="G80">
        <f>'6 - B1'!G80</f>
        <v>25.731674000000002</v>
      </c>
      <c r="H80">
        <f>'6 - B1'!H80</f>
        <v>25.927983999999999</v>
      </c>
      <c r="I80">
        <f>'6 - B1'!I80</f>
        <v>21.090326000000001</v>
      </c>
      <c r="J80">
        <f>'6 - B1'!J80</f>
        <v>19.652930999999999</v>
      </c>
      <c r="K80">
        <f>'6 - B1'!K80</f>
        <v>14.707775</v>
      </c>
      <c r="L80">
        <f>'6 - B1'!L80</f>
        <v>25.731674000000002</v>
      </c>
      <c r="M80">
        <f>'6 - B1'!M80</f>
        <v>25.927983999999999</v>
      </c>
      <c r="N80">
        <f>'6 - B1'!N80</f>
        <v>21.090326000000001</v>
      </c>
      <c r="O80">
        <f>'6 - B1'!O80</f>
        <v>19.652930999999999</v>
      </c>
      <c r="P80">
        <f>'6 - B1'!P80</f>
        <v>14.707775</v>
      </c>
    </row>
    <row r="81" spans="1:16" x14ac:dyDescent="0.35">
      <c r="A81" s="91">
        <f>'6 - B1'!A81</f>
        <v>50</v>
      </c>
      <c r="B81">
        <f>'6 - B1'!B81</f>
        <v>17.282468999999999</v>
      </c>
      <c r="C81">
        <f>'6 - B1'!C81</f>
        <v>17.796026000000001</v>
      </c>
      <c r="D81">
        <f>'6 - B1'!D81</f>
        <v>13.903119999999999</v>
      </c>
      <c r="E81">
        <f>'6 - B1'!E81</f>
        <v>13.76882</v>
      </c>
      <c r="F81">
        <f>'6 - B1'!F81</f>
        <v>9.6483000000000008</v>
      </c>
      <c r="G81">
        <f>'6 - B1'!G81</f>
        <v>17.282468999999999</v>
      </c>
      <c r="H81">
        <f>'6 - B1'!H81</f>
        <v>17.796026000000001</v>
      </c>
      <c r="I81">
        <f>'6 - B1'!I81</f>
        <v>13.903119999999999</v>
      </c>
      <c r="J81">
        <f>'6 - B1'!J81</f>
        <v>13.76882</v>
      </c>
      <c r="K81">
        <f>'6 - B1'!K81</f>
        <v>9.6483000000000008</v>
      </c>
      <c r="L81">
        <f>'6 - B1'!L81</f>
        <v>17.282468999999999</v>
      </c>
      <c r="M81">
        <f>'6 - B1'!M81</f>
        <v>17.796026000000001</v>
      </c>
      <c r="N81">
        <f>'6 - B1'!N81</f>
        <v>13.903119999999999</v>
      </c>
      <c r="O81">
        <f>'6 - B1'!O81</f>
        <v>13.76882</v>
      </c>
      <c r="P81">
        <f>'6 - B1'!P81</f>
        <v>9.6483000000000008</v>
      </c>
    </row>
    <row r="82" spans="1:16" x14ac:dyDescent="0.35">
      <c r="A82" s="91">
        <f>'6 - B1'!A82</f>
        <v>70</v>
      </c>
      <c r="B82">
        <f>'6 - B1'!B82</f>
        <v>11.521646</v>
      </c>
      <c r="C82">
        <f>'6 - B1'!C82</f>
        <v>11.314030000000001</v>
      </c>
      <c r="D82">
        <f>'6 - B1'!D82</f>
        <v>9.8971359999999997</v>
      </c>
      <c r="E82">
        <f>'6 - B1'!E82</f>
        <v>10.826764000000001</v>
      </c>
      <c r="F82">
        <f>'6 - B1'!F82</f>
        <v>6.4714210000000003</v>
      </c>
      <c r="G82">
        <f>'6 - B1'!G82</f>
        <v>11.521646</v>
      </c>
      <c r="H82">
        <f>'6 - B1'!H82</f>
        <v>11.314030000000001</v>
      </c>
      <c r="I82">
        <f>'6 - B1'!I82</f>
        <v>9.8971359999999997</v>
      </c>
      <c r="J82">
        <f>'6 - B1'!J82</f>
        <v>10.826764000000001</v>
      </c>
      <c r="K82">
        <f>'6 - B1'!K82</f>
        <v>6.4714210000000003</v>
      </c>
      <c r="L82">
        <f>'6 - B1'!L82</f>
        <v>11.521646</v>
      </c>
      <c r="M82">
        <f>'6 - B1'!M82</f>
        <v>11.314030000000001</v>
      </c>
      <c r="N82">
        <f>'6 - B1'!N82</f>
        <v>9.8971359999999997</v>
      </c>
      <c r="O82">
        <f>'6 - B1'!O82</f>
        <v>10.826764000000001</v>
      </c>
      <c r="P82">
        <f>'6 - B1'!P82</f>
        <v>6.4714210000000003</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zoomScale="85" zoomScaleNormal="85" workbookViewId="0">
      <selection activeCell="F33" sqref="F33"/>
    </sheetView>
  </sheetViews>
  <sheetFormatPr defaultColWidth="11.53125" defaultRowHeight="12.75" x14ac:dyDescent="0.35"/>
  <cols>
    <col min="11" max="11" width="27.6640625" customWidth="1"/>
    <col min="12" max="12" width="15.3984375" customWidth="1"/>
  </cols>
  <sheetData>
    <row r="1" spans="1:16" ht="37.25" customHeight="1" x14ac:dyDescent="0.7">
      <c r="B1" s="217"/>
      <c r="K1" s="262"/>
      <c r="L1" s="262"/>
      <c r="M1" s="262"/>
      <c r="N1" s="262"/>
      <c r="O1" s="262"/>
    </row>
    <row r="2" spans="1:16" ht="52.15" x14ac:dyDescent="0.5">
      <c r="B2" s="218" t="s">
        <v>184</v>
      </c>
      <c r="C2" s="218" t="s">
        <v>185</v>
      </c>
      <c r="D2" s="218" t="s">
        <v>186</v>
      </c>
      <c r="E2" s="218" t="s">
        <v>379</v>
      </c>
      <c r="F2" s="219" t="s">
        <v>187</v>
      </c>
      <c r="G2" s="228" t="s">
        <v>138</v>
      </c>
      <c r="H2" s="229" t="s">
        <v>188</v>
      </c>
      <c r="K2" s="220" t="s">
        <v>189</v>
      </c>
      <c r="L2" s="221" t="s">
        <v>381</v>
      </c>
      <c r="M2" s="221" t="s">
        <v>190</v>
      </c>
      <c r="O2" s="68"/>
      <c r="P2" s="68"/>
    </row>
    <row r="3" spans="1:16" ht="26.25" x14ac:dyDescent="0.45">
      <c r="B3" s="219" t="s">
        <v>192</v>
      </c>
      <c r="C3" s="219" t="s">
        <v>192</v>
      </c>
      <c r="D3" s="219" t="s">
        <v>192</v>
      </c>
      <c r="E3" s="219" t="s">
        <v>192</v>
      </c>
      <c r="F3" s="219"/>
      <c r="G3" s="230" t="s">
        <v>194</v>
      </c>
      <c r="H3" s="230" t="s">
        <v>38</v>
      </c>
      <c r="K3" s="222" t="s">
        <v>195</v>
      </c>
      <c r="L3" s="221" t="str">
        <f>"/ml"</f>
        <v>/ml</v>
      </c>
      <c r="M3" s="221"/>
      <c r="O3" s="94"/>
      <c r="P3" s="216"/>
    </row>
    <row r="4" spans="1:16" ht="13.15" x14ac:dyDescent="0.4">
      <c r="A4">
        <v>30</v>
      </c>
      <c r="B4" s="43">
        <f>'6 - B1'!$L38</f>
        <v>10.006199399999998</v>
      </c>
      <c r="C4" s="43">
        <f>'6 - B2'!$L38</f>
        <v>10.006199399999998</v>
      </c>
      <c r="D4" s="43">
        <f>'6 - B3'!$L38</f>
        <v>10.006199399999998</v>
      </c>
      <c r="E4" s="227">
        <f t="shared" ref="E4:E33" si="0">AVERAGE(B4:D4)</f>
        <v>10.006199399999998</v>
      </c>
      <c r="F4" s="42">
        <f>'Clause 6'!D19</f>
        <v>6000.0000000000146</v>
      </c>
      <c r="G4">
        <f>'6 - B1'!$M38+'6 - B2'!$M38+'6 - B3'!$M38</f>
        <v>15</v>
      </c>
      <c r="H4" s="43">
        <f>STDEVP('6 - B1'!$B38:F38,'6 - B2'!B38:F38,'6 - B3'!B38:F38)/SQRT(G4)</f>
        <v>0.47870490145596445</v>
      </c>
      <c r="K4" s="225">
        <v>4</v>
      </c>
      <c r="L4" s="223">
        <v>10750.3</v>
      </c>
      <c r="M4" s="224">
        <f t="shared" ref="M4:M9" si="1">CubicSpline(L4,$E$4:$E$33,$F$4:$F$33)</f>
        <v>56.373774227433167</v>
      </c>
    </row>
    <row r="5" spans="1:16" ht="13.15" x14ac:dyDescent="0.4">
      <c r="A5">
        <v>29</v>
      </c>
      <c r="B5" s="43">
        <f>'6 - B1'!$L37</f>
        <v>14.479747</v>
      </c>
      <c r="C5" s="43">
        <f>'6 - B2'!$L37</f>
        <v>14.479747</v>
      </c>
      <c r="D5" s="43">
        <f>'6 - B3'!$L37</f>
        <v>14.479747</v>
      </c>
      <c r="E5" s="226">
        <f t="shared" si="0"/>
        <v>14.479746999999998</v>
      </c>
      <c r="F5" s="42">
        <f>'Clause 6'!D20</f>
        <v>5074.2113273781742</v>
      </c>
      <c r="G5">
        <f>'6 - B1'!$M37+'6 - B2'!$M37+'6 - B3'!$M37</f>
        <v>15</v>
      </c>
      <c r="H5" s="43">
        <f>STDEVP('6 - B1'!$B37:F37,'6 - B2'!B37:F37,'6 - B3'!B37:F37)/SQRT(G5)</f>
        <v>0.75748489996295632</v>
      </c>
      <c r="K5" s="225">
        <v>5</v>
      </c>
      <c r="L5" s="223">
        <v>7121.1</v>
      </c>
      <c r="M5" s="224">
        <f t="shared" si="1"/>
        <v>93.378383844046184</v>
      </c>
    </row>
    <row r="6" spans="1:16" ht="13.15" x14ac:dyDescent="0.4">
      <c r="A6">
        <v>28</v>
      </c>
      <c r="B6" s="43">
        <f>'6 - B1'!$L36</f>
        <v>21.422137999999997</v>
      </c>
      <c r="C6" s="43">
        <f>'6 - B2'!$L36</f>
        <v>21.422137999999997</v>
      </c>
      <c r="D6" s="43">
        <f>'6 - B3'!$L36</f>
        <v>21.422137999999997</v>
      </c>
      <c r="E6" s="226">
        <f t="shared" si="0"/>
        <v>21.422138</v>
      </c>
      <c r="F6" s="42">
        <f>'Clause 6'!D21</f>
        <v>4291.2700991488182</v>
      </c>
      <c r="G6">
        <f>'6 - B1'!$M36+'6 - B2'!$M36+'6 - B3'!$M36</f>
        <v>15</v>
      </c>
      <c r="H6" s="43">
        <f>STDEVP('6 - B1'!$B36:F36,'6 - B2'!B36:F36,'6 - B3'!B36:F36)/SQRT(G6)</f>
        <v>1.078255454079867</v>
      </c>
      <c r="K6" s="225">
        <v>6</v>
      </c>
      <c r="L6" s="223">
        <v>4729.1000000000004</v>
      </c>
      <c r="M6" s="224">
        <f t="shared" si="1"/>
        <v>146.20388070254049</v>
      </c>
    </row>
    <row r="7" spans="1:16" ht="13.15" x14ac:dyDescent="0.4">
      <c r="A7">
        <v>27</v>
      </c>
      <c r="B7" s="43">
        <f>'6 - B1'!$L35</f>
        <v>30.701454999999999</v>
      </c>
      <c r="C7" s="43">
        <f>'6 - B2'!$L35</f>
        <v>30.701454999999999</v>
      </c>
      <c r="D7" s="43">
        <f>'6 - B3'!$L35</f>
        <v>30.701454999999999</v>
      </c>
      <c r="E7" s="226">
        <f t="shared" si="0"/>
        <v>30.701454999999999</v>
      </c>
      <c r="F7" s="42">
        <f>'Clause 6'!D22</f>
        <v>3629.1352243233573</v>
      </c>
      <c r="G7">
        <f>'6 - B1'!$M35+'6 - B2'!$M35+'6 - B3'!$M35</f>
        <v>15</v>
      </c>
      <c r="H7" s="43">
        <f>STDEVP('6 - B1'!$B35:F35,'6 - B2'!B35:F35,'6 - B3'!B35:F35)/SQRT(G7)</f>
        <v>1.4888432336918633</v>
      </c>
      <c r="K7" s="225">
        <v>7</v>
      </c>
      <c r="L7" s="223">
        <v>3199.3</v>
      </c>
      <c r="M7" s="224">
        <f t="shared" si="1"/>
        <v>209.21288607751393</v>
      </c>
    </row>
    <row r="8" spans="1:16" ht="13.15" x14ac:dyDescent="0.4">
      <c r="A8">
        <v>26</v>
      </c>
      <c r="B8" s="43">
        <f>'6 - B1'!$L34</f>
        <v>42.710256999999999</v>
      </c>
      <c r="C8" s="43">
        <f>'6 - B2'!$L34</f>
        <v>42.710256999999999</v>
      </c>
      <c r="D8" s="43">
        <f>'6 - B3'!$L34</f>
        <v>42.710256999999999</v>
      </c>
      <c r="E8" s="226">
        <f t="shared" si="0"/>
        <v>42.710256999999991</v>
      </c>
      <c r="F8" s="42">
        <f>'Clause 6'!D23</f>
        <v>3069.1665106414443</v>
      </c>
      <c r="G8">
        <f>'6 - B1'!$M34+'6 - B2'!$M34+'6 - B3'!$M34</f>
        <v>15</v>
      </c>
      <c r="H8" s="43">
        <f>STDEVP('6 - B1'!$B34:F34,'6 - B2'!B34:F34,'6 - B3'!B34:F34)/SQRT(G8)</f>
        <v>1.6276865969847147</v>
      </c>
      <c r="K8" s="225">
        <v>8</v>
      </c>
      <c r="L8" s="223">
        <v>2280.6</v>
      </c>
      <c r="M8" s="224">
        <f t="shared" si="1"/>
        <v>273.51327940883499</v>
      </c>
    </row>
    <row r="9" spans="1:16" ht="13.15" x14ac:dyDescent="0.4">
      <c r="A9">
        <v>25</v>
      </c>
      <c r="B9" s="43">
        <f>'6 - B1'!$L33</f>
        <v>58.824727399999993</v>
      </c>
      <c r="C9" s="43">
        <f>'6 - B2'!$L33</f>
        <v>58.824727399999993</v>
      </c>
      <c r="D9" s="43">
        <f>'6 - B3'!$L33</f>
        <v>58.824727399999993</v>
      </c>
      <c r="E9" s="226">
        <f t="shared" si="0"/>
        <v>58.824727399999993</v>
      </c>
      <c r="F9" s="42">
        <f>'Clause 6'!D24</f>
        <v>2595.5999123177544</v>
      </c>
      <c r="G9">
        <f>'6 - B1'!$M33+'6 - B2'!$M33+'6 - B3'!$M33</f>
        <v>15</v>
      </c>
      <c r="H9" s="43">
        <f>STDEVP('6 - B1'!$B33:F33,'6 - B2'!B33:F33,'6 - B3'!B33:F33)/SQRT(G9)</f>
        <v>1.8773481816216882</v>
      </c>
      <c r="K9" s="225">
        <v>9</v>
      </c>
      <c r="L9" s="223">
        <v>1615</v>
      </c>
      <c r="M9" s="224">
        <f t="shared" si="1"/>
        <v>348.98971315768063</v>
      </c>
    </row>
    <row r="10" spans="1:16" ht="13.15" x14ac:dyDescent="0.4">
      <c r="A10">
        <v>24</v>
      </c>
      <c r="B10" s="43">
        <f>'6 - B1'!$L32</f>
        <v>79.336393799999996</v>
      </c>
      <c r="C10" s="43">
        <f>'6 - B2'!$L32</f>
        <v>79.336393799999996</v>
      </c>
      <c r="D10" s="43">
        <f>'6 - B3'!$L32</f>
        <v>79.336393799999996</v>
      </c>
      <c r="E10" s="226">
        <f t="shared" si="0"/>
        <v>79.336393799999996</v>
      </c>
      <c r="F10" s="42">
        <f>'Clause 6'!D25</f>
        <v>2195.1037460707521</v>
      </c>
      <c r="G10">
        <f>'6 - B1'!$M32+'6 - B2'!$M32+'6 - B3'!$M32</f>
        <v>15</v>
      </c>
      <c r="H10" s="43">
        <f>STDEVP('6 - B1'!$B32:F32,'6 - B2'!B32:F32,'6 - B3'!B32:F32)/SQRT(G10)</f>
        <v>2.2347664056279046</v>
      </c>
      <c r="K10" s="225">
        <v>10</v>
      </c>
      <c r="L10" s="223">
        <v>1130.5</v>
      </c>
      <c r="M10" s="224">
        <f t="shared" ref="M10:M30" si="2">CubicSpline(L10,$E$4:$E$33,$F$4:$F$33)</f>
        <v>439.28325476561287</v>
      </c>
    </row>
    <row r="11" spans="1:16" ht="13.15" x14ac:dyDescent="0.4">
      <c r="A11">
        <v>23</v>
      </c>
      <c r="B11" s="43">
        <f>'6 - B1'!$L31</f>
        <v>108.2805206</v>
      </c>
      <c r="C11" s="43">
        <f>'6 - B2'!$L31</f>
        <v>108.2805206</v>
      </c>
      <c r="D11" s="43">
        <f>'6 - B3'!$L31</f>
        <v>108.2805206</v>
      </c>
      <c r="E11" s="226">
        <f t="shared" si="0"/>
        <v>108.2805206</v>
      </c>
      <c r="F11" s="42">
        <f>'Clause 6'!D26</f>
        <v>1856.403382180408</v>
      </c>
      <c r="G11">
        <f>'6 - B1'!$M31+'6 - B2'!$M31+'6 - B3'!$M31</f>
        <v>15</v>
      </c>
      <c r="H11" s="43">
        <f>STDEVP('6 - B1'!$B31:F31,'6 - B2'!B31:F31,'6 - B3'!B31:F31)/SQRT(G11)</f>
        <v>2.836182811108765</v>
      </c>
      <c r="K11" s="225">
        <v>11</v>
      </c>
      <c r="L11" s="223">
        <v>816.2</v>
      </c>
      <c r="M11" s="224">
        <f t="shared" si="2"/>
        <v>536.93474276608219</v>
      </c>
    </row>
    <row r="12" spans="1:16" ht="13.15" x14ac:dyDescent="0.4">
      <c r="A12">
        <v>22</v>
      </c>
      <c r="B12" s="43">
        <f>'6 - B1'!$L30</f>
        <v>142.5627044</v>
      </c>
      <c r="C12" s="43">
        <f>'6 - B2'!$L30</f>
        <v>142.5627044</v>
      </c>
      <c r="D12" s="43">
        <f>'6 - B3'!$L30</f>
        <v>142.5627044</v>
      </c>
      <c r="E12" s="226">
        <f t="shared" si="0"/>
        <v>142.5627044</v>
      </c>
      <c r="F12" s="42">
        <f>'Clause 6'!D27</f>
        <v>1569.9638450071595</v>
      </c>
      <c r="G12">
        <f>'6 - B1'!$M30+'6 - B2'!$M30+'6 - B3'!$M30</f>
        <v>15</v>
      </c>
      <c r="H12" s="43">
        <f>STDEVP('6 - B1'!$B30:F30,'6 - B2'!B30:F30,'6 - B3'!B30:F30)/SQRT(G12)</f>
        <v>3.6748132941296419</v>
      </c>
      <c r="K12" s="225">
        <v>12</v>
      </c>
      <c r="L12" s="223">
        <v>618.6</v>
      </c>
      <c r="M12" s="224">
        <f t="shared" si="2"/>
        <v>635.53211445242005</v>
      </c>
    </row>
    <row r="13" spans="1:16" ht="13.15" x14ac:dyDescent="0.4">
      <c r="A13">
        <v>21</v>
      </c>
      <c r="B13" s="43">
        <f>'6 - B1'!$L29</f>
        <v>189.10512699999998</v>
      </c>
      <c r="C13" s="43">
        <f>'6 - B2'!$L29</f>
        <v>189.10512699999998</v>
      </c>
      <c r="D13" s="43">
        <f>'6 - B3'!$L29</f>
        <v>189.10512699999998</v>
      </c>
      <c r="E13" s="226">
        <f t="shared" si="0"/>
        <v>189.10512699999995</v>
      </c>
      <c r="F13" s="42">
        <f>'Clause 6'!D28</f>
        <v>1327.7213876515837</v>
      </c>
      <c r="G13">
        <f>'6 - B1'!$M29+'6 - B2'!$M29+'6 - B3'!$M29</f>
        <v>15</v>
      </c>
      <c r="H13" s="43">
        <f>STDEVP('6 - B1'!$B29:F29,'6 - B2'!B29:F29,'6 - B3'!B29:F29)/SQRT(G13)</f>
        <v>4.8420807927537997</v>
      </c>
      <c r="K13" s="225">
        <v>13</v>
      </c>
      <c r="L13" s="223">
        <v>481.9</v>
      </c>
      <c r="M13" s="224">
        <f t="shared" si="2"/>
        <v>741.4037911810334</v>
      </c>
    </row>
    <row r="14" spans="1:16" ht="13.15" x14ac:dyDescent="0.4">
      <c r="A14">
        <v>20</v>
      </c>
      <c r="B14" s="43">
        <f>'6 - B1'!$L28</f>
        <v>248.77102980000001</v>
      </c>
      <c r="C14" s="43">
        <f>'6 - B2'!$L28</f>
        <v>248.77102980000001</v>
      </c>
      <c r="D14" s="43">
        <f>'6 - B3'!$L28</f>
        <v>248.77102980000001</v>
      </c>
      <c r="E14" s="226">
        <f t="shared" si="0"/>
        <v>248.77102980000004</v>
      </c>
      <c r="F14" s="42">
        <f>'Clause 6'!D29</f>
        <v>1122.8564841373195</v>
      </c>
      <c r="G14">
        <f>'6 - B1'!$M28+'6 - B2'!$M28+'6 - B3'!$M28</f>
        <v>15</v>
      </c>
      <c r="H14" s="43">
        <f>STDEVP('6 - B1'!$B28:F28,'6 - B2'!B28:F28,'6 - B3'!B28:F28)/SQRT(G14)</f>
        <v>5.5293227068854183</v>
      </c>
      <c r="K14" s="225">
        <v>14</v>
      </c>
      <c r="L14" s="223">
        <v>384.7</v>
      </c>
      <c r="M14" s="224">
        <f t="shared" si="2"/>
        <v>854.86318962192786</v>
      </c>
    </row>
    <row r="15" spans="1:16" ht="13.15" x14ac:dyDescent="0.4">
      <c r="A15">
        <v>19</v>
      </c>
      <c r="B15" s="43">
        <f>'6 - B1'!$L27</f>
        <v>326.32932120000004</v>
      </c>
      <c r="C15" s="43">
        <f>'6 - B2'!$L27</f>
        <v>326.32932120000004</v>
      </c>
      <c r="D15" s="43">
        <f>'6 - B3'!$L27</f>
        <v>326.32932120000004</v>
      </c>
      <c r="E15" s="226">
        <f t="shared" si="0"/>
        <v>326.32932120000004</v>
      </c>
      <c r="F15" s="42">
        <f>'Clause 6'!D30</f>
        <v>949.60184847160065</v>
      </c>
      <c r="G15">
        <f>'6 - B1'!$M27+'6 - B2'!$M27+'6 - B3'!$M27</f>
        <v>15</v>
      </c>
      <c r="H15" s="43">
        <f>STDEVP('6 - B1'!$B27:F27,'6 - B2'!B27:F27,'6 - B3'!B27:F27)/SQRT(G15)</f>
        <v>6.701840547528052</v>
      </c>
      <c r="K15" s="225">
        <v>15</v>
      </c>
      <c r="L15" s="223">
        <v>314.60000000000002</v>
      </c>
      <c r="M15" s="224">
        <f t="shared" si="2"/>
        <v>971.34961616754276</v>
      </c>
    </row>
    <row r="16" spans="1:16" ht="13.15" x14ac:dyDescent="0.4">
      <c r="A16">
        <v>18</v>
      </c>
      <c r="B16" s="43">
        <f>'6 - B1'!$L26</f>
        <v>424.35662840000003</v>
      </c>
      <c r="C16" s="43">
        <f>'6 - B2'!$L26</f>
        <v>424.35662840000003</v>
      </c>
      <c r="D16" s="43">
        <f>'6 - B3'!$L26</f>
        <v>424.35662840000003</v>
      </c>
      <c r="E16" s="226">
        <f t="shared" si="0"/>
        <v>424.35662840000003</v>
      </c>
      <c r="F16" s="42">
        <f>'Clause 6'!D31</f>
        <v>803.08007600230621</v>
      </c>
      <c r="G16">
        <f>'6 - B1'!$M26+'6 - B2'!$M26+'6 - B3'!$M26</f>
        <v>15</v>
      </c>
      <c r="H16" s="43">
        <f>STDEVP('6 - B1'!$B26:F26,'6 - B2'!B26:F26,'6 - B3'!B26:F26)/SQRT(G16)</f>
        <v>7.9937227092062688</v>
      </c>
      <c r="K16" s="225">
        <v>16</v>
      </c>
      <c r="L16" s="223">
        <v>261.8</v>
      </c>
      <c r="M16" s="224">
        <f t="shared" si="2"/>
        <v>1088.6802599175317</v>
      </c>
    </row>
    <row r="17" spans="1:13" ht="13.15" x14ac:dyDescent="0.4">
      <c r="A17">
        <v>17</v>
      </c>
      <c r="B17" s="43">
        <f>'6 - B1'!$L25</f>
        <v>554.51062020000006</v>
      </c>
      <c r="C17" s="43">
        <f>'6 - B2'!$L25</f>
        <v>554.51062020000006</v>
      </c>
      <c r="D17" s="43">
        <f>'6 - B3'!$L25</f>
        <v>554.51062020000006</v>
      </c>
      <c r="E17" s="226">
        <f t="shared" si="0"/>
        <v>554.51062020000006</v>
      </c>
      <c r="F17" s="42">
        <f>'Clause 6'!D32</f>
        <v>679.1663364071029</v>
      </c>
      <c r="G17">
        <f>'6 - B1'!$M25+'6 - B2'!$M25+'6 - B3'!$M25</f>
        <v>15</v>
      </c>
      <c r="H17" s="43">
        <f>STDEVP('6 - B1'!$B25:F25,'6 - B2'!B25:F25,'6 - B3'!B25:F25)/SQRT(G17)</f>
        <v>9.1634434043734068</v>
      </c>
      <c r="K17" s="225">
        <v>17</v>
      </c>
      <c r="L17" s="223">
        <v>221.2</v>
      </c>
      <c r="M17" s="224">
        <f t="shared" si="2"/>
        <v>1206.8995893566339</v>
      </c>
    </row>
    <row r="18" spans="1:13" ht="13.15" x14ac:dyDescent="0.4">
      <c r="A18">
        <v>16</v>
      </c>
      <c r="B18" s="43">
        <f>'6 - B1'!$L24</f>
        <v>730.40490740000007</v>
      </c>
      <c r="C18" s="43">
        <f>'6 - B2'!$L24</f>
        <v>730.40490740000007</v>
      </c>
      <c r="D18" s="43">
        <f>'6 - B3'!$L24</f>
        <v>730.40490740000007</v>
      </c>
      <c r="E18" s="226">
        <f t="shared" si="0"/>
        <v>730.40490740000007</v>
      </c>
      <c r="F18" s="42">
        <f>'Clause 6'!D33</f>
        <v>574.37225289514151</v>
      </c>
      <c r="G18">
        <f>'6 - B1'!$M24+'6 - B2'!$M24+'6 - B3'!$M24</f>
        <v>15</v>
      </c>
      <c r="H18" s="43">
        <f>STDEVP('6 - B1'!$B24:F24,'6 - B2'!B24:F24,'6 - B3'!B24:F24)/SQRT(G18)</f>
        <v>11.332119314599742</v>
      </c>
      <c r="K18" s="225">
        <v>18</v>
      </c>
      <c r="L18" s="223">
        <v>188.7</v>
      </c>
      <c r="M18" s="224">
        <f t="shared" si="2"/>
        <v>1329.4008916497762</v>
      </c>
    </row>
    <row r="19" spans="1:13" ht="13.15" x14ac:dyDescent="0.4">
      <c r="A19">
        <v>15</v>
      </c>
      <c r="B19" s="43">
        <f>'6 - B1'!$L23</f>
        <v>972.88392625000006</v>
      </c>
      <c r="C19" s="43">
        <f>'6 - B2'!$L23</f>
        <v>954.42392560000008</v>
      </c>
      <c r="D19" s="43">
        <f>'6 - B3'!$L23</f>
        <v>954.42392560000008</v>
      </c>
      <c r="E19" s="226">
        <f t="shared" si="0"/>
        <v>960.57725915000003</v>
      </c>
      <c r="F19" s="42">
        <f>'Clause 6'!D34</f>
        <v>485.74769862870693</v>
      </c>
      <c r="G19">
        <f>'6 - B1'!$M23+'6 - B2'!$M23+'6 - B3'!$M23</f>
        <v>14</v>
      </c>
      <c r="H19" s="43">
        <f>STDEVP('6 - B1'!$B23:F23,'6 - B2'!B23:F23,'6 - B3'!B23:F23)/SQRT(G19)</f>
        <v>12.996900990010323</v>
      </c>
      <c r="K19" s="225">
        <v>19</v>
      </c>
      <c r="L19" s="223">
        <v>161</v>
      </c>
      <c r="M19" s="224">
        <f t="shared" si="2"/>
        <v>1461.1650125488522</v>
      </c>
    </row>
    <row r="20" spans="1:13" ht="13.15" x14ac:dyDescent="0.4">
      <c r="A20">
        <v>14</v>
      </c>
      <c r="B20" s="43">
        <f>'6 - B1'!$L22</f>
        <v>1272.40386975</v>
      </c>
      <c r="C20" s="43">
        <f>'6 - B2'!$L22</f>
        <v>1250.5177248</v>
      </c>
      <c r="D20" s="43">
        <f>'6 - B3'!$L22</f>
        <v>1250.5177248</v>
      </c>
      <c r="E20" s="226">
        <f t="shared" si="0"/>
        <v>1257.8131064500001</v>
      </c>
      <c r="F20" s="42">
        <f>'Clause 6'!D35</f>
        <v>410.79774577160975</v>
      </c>
      <c r="G20">
        <f>'6 - B1'!$M22+'6 - B2'!$M22+'6 - B3'!$M22</f>
        <v>14</v>
      </c>
      <c r="H20" s="43">
        <f>STDEVP('6 - B1'!$B22:F22,'6 - B2'!B22:F22,'6 - B3'!B22:F22)/SQRT(G20)</f>
        <v>16.077001299201864</v>
      </c>
      <c r="K20" s="225">
        <v>20</v>
      </c>
      <c r="L20" s="223">
        <v>136.4</v>
      </c>
      <c r="M20" s="224">
        <f t="shared" si="2"/>
        <v>1612.1396246428449</v>
      </c>
    </row>
    <row r="21" spans="1:13" ht="13.15" x14ac:dyDescent="0.4">
      <c r="A21">
        <v>13</v>
      </c>
      <c r="B21" s="43">
        <f>'6 - B1'!$L21</f>
        <v>1641.4917300000002</v>
      </c>
      <c r="C21" s="43">
        <f>'6 - B2'!$L21</f>
        <v>1618.2444094000002</v>
      </c>
      <c r="D21" s="43">
        <f>'6 - B3'!$L21</f>
        <v>1618.2444094000002</v>
      </c>
      <c r="E21" s="226">
        <f t="shared" si="0"/>
        <v>1625.9935162666668</v>
      </c>
      <c r="F21" s="42">
        <f>'Clause 6'!D36</f>
        <v>347.41242914261943</v>
      </c>
      <c r="G21">
        <f>'6 - B1'!$M21+'6 - B2'!$M21+'6 - B3'!$M21</f>
        <v>14</v>
      </c>
      <c r="H21" s="43">
        <f>STDEVP('6 - B1'!$B21:F21,'6 - B2'!B21:F21,'6 - B3'!B21:F21)/SQRT(G21)</f>
        <v>18.374538675594927</v>
      </c>
      <c r="K21" s="225">
        <v>21</v>
      </c>
      <c r="L21" s="223">
        <v>114.4</v>
      </c>
      <c r="M21" s="224">
        <f t="shared" si="2"/>
        <v>1797.7737378078166</v>
      </c>
    </row>
    <row r="22" spans="1:13" ht="13.15" x14ac:dyDescent="0.4">
      <c r="A22">
        <v>12</v>
      </c>
      <c r="B22" s="43">
        <f>'6 - B1'!$L20</f>
        <v>2084.59637475</v>
      </c>
      <c r="C22" s="43">
        <f>'6 - B2'!$L20</f>
        <v>2056.7389405999998</v>
      </c>
      <c r="D22" s="43">
        <f>'6 - B3'!$L20</f>
        <v>2056.7389405999998</v>
      </c>
      <c r="E22" s="226">
        <f t="shared" si="0"/>
        <v>2066.0247519833333</v>
      </c>
      <c r="F22" s="42">
        <f>'Clause 6'!D37</f>
        <v>293.80734720457377</v>
      </c>
      <c r="G22">
        <f>'6 - B1'!$M20+'6 - B2'!$M20+'6 - B3'!$M20</f>
        <v>14</v>
      </c>
      <c r="H22" s="43">
        <f>STDEVP('6 - B1'!$B20:F20,'6 - B2'!B20:F20,'6 - B3'!B20:F20)/SQRT(G22)</f>
        <v>22.831041710528822</v>
      </c>
      <c r="K22" s="225">
        <v>22</v>
      </c>
      <c r="L22" s="223">
        <v>95.3</v>
      </c>
      <c r="M22" s="224">
        <f t="shared" si="2"/>
        <v>1991.1778011423132</v>
      </c>
    </row>
    <row r="23" spans="1:13" ht="13.15" x14ac:dyDescent="0.4">
      <c r="A23">
        <v>11</v>
      </c>
      <c r="B23" s="43">
        <f>'6 - B1'!$L19</f>
        <v>2590.4258787999997</v>
      </c>
      <c r="C23" s="43">
        <f>'6 - B2'!$L19</f>
        <v>2590.4258787999997</v>
      </c>
      <c r="D23" s="43">
        <f>'6 - B3'!$L19</f>
        <v>2590.4258787999997</v>
      </c>
      <c r="E23" s="226">
        <f t="shared" si="0"/>
        <v>2590.4258787999997</v>
      </c>
      <c r="F23" s="42">
        <f>'Clause 6'!D38</f>
        <v>248.47342820872947</v>
      </c>
      <c r="G23">
        <f>'6 - B1'!$M19+'6 - B2'!$M19+'6 - B3'!$M19</f>
        <v>15</v>
      </c>
      <c r="H23" s="43">
        <f>STDEVP('6 - B1'!$B19:F19,'6 - B2'!B19:F19,'6 - B3'!B19:F19)/SQRT(G23)</f>
        <v>26.07992726211204</v>
      </c>
      <c r="K23" s="225">
        <v>23</v>
      </c>
      <c r="L23" s="223">
        <v>79</v>
      </c>
      <c r="M23" s="224">
        <f t="shared" si="2"/>
        <v>2200.058555676017</v>
      </c>
    </row>
    <row r="24" spans="1:13" ht="13.15" x14ac:dyDescent="0.4">
      <c r="A24">
        <v>10</v>
      </c>
      <c r="B24" s="43">
        <f>'6 - B1'!$L18</f>
        <v>3182.7956542000002</v>
      </c>
      <c r="C24" s="43">
        <f>'6 - B2'!$L18</f>
        <v>3182.7956542000002</v>
      </c>
      <c r="D24" s="43">
        <f>'6 - B3'!$L18</f>
        <v>3182.7956542000002</v>
      </c>
      <c r="E24" s="226">
        <f t="shared" si="0"/>
        <v>3182.7956542000006</v>
      </c>
      <c r="F24" s="42">
        <f>'Clause 6'!D39</f>
        <v>210.13444732820327</v>
      </c>
      <c r="G24">
        <f>'6 - B1'!$M18+'6 - B2'!$M18+'6 - B3'!$M18</f>
        <v>15</v>
      </c>
      <c r="H24" s="43">
        <f>STDEVP('6 - B1'!$B18:F18,'6 - B2'!B18:F18,'6 - B3'!B18:F18)/SQRT(G24)</f>
        <v>30.495421778253846</v>
      </c>
      <c r="K24" s="225">
        <v>24</v>
      </c>
      <c r="L24" s="223">
        <v>65.3</v>
      </c>
      <c r="M24" s="224">
        <f t="shared" si="2"/>
        <v>2450.3878526020017</v>
      </c>
    </row>
    <row r="25" spans="1:13" ht="13.15" x14ac:dyDescent="0.4">
      <c r="A25">
        <v>9</v>
      </c>
      <c r="B25" s="43">
        <f>'6 - B1'!$L17</f>
        <v>3840.1930662</v>
      </c>
      <c r="C25" s="43">
        <f>'6 - B2'!$L17</f>
        <v>3840.1930662</v>
      </c>
      <c r="D25" s="43">
        <f>'6 - B3'!$L17</f>
        <v>3840.1930662</v>
      </c>
      <c r="E25" s="226">
        <f t="shared" si="0"/>
        <v>3840.1930662</v>
      </c>
      <c r="F25" s="42">
        <f>'Clause 6'!D40</f>
        <v>177.7110988175198</v>
      </c>
      <c r="G25">
        <f>'6 - B1'!$M17+'6 - B2'!$M17+'6 - B3'!$M17</f>
        <v>15</v>
      </c>
      <c r="H25" s="43">
        <f>STDEVP('6 - B1'!$B17:F17,'6 - B2'!B17:F17,'6 - B3'!B17:F17)/SQRT(G25)</f>
        <v>36.773484371798318</v>
      </c>
      <c r="K25" s="225">
        <v>25</v>
      </c>
      <c r="L25" s="223">
        <v>53.8</v>
      </c>
      <c r="M25" s="224">
        <f t="shared" si="2"/>
        <v>2721.9768471918637</v>
      </c>
    </row>
    <row r="26" spans="1:13" ht="13.15" x14ac:dyDescent="0.4">
      <c r="A26">
        <v>8</v>
      </c>
      <c r="B26" s="43">
        <f>'6 - B1'!$L16</f>
        <v>4599.3637693999999</v>
      </c>
      <c r="C26" s="43">
        <f>'6 - B2'!$L16</f>
        <v>4599.3637693999999</v>
      </c>
      <c r="D26" s="43">
        <f>'6 - B3'!$L16</f>
        <v>4599.3637693999999</v>
      </c>
      <c r="E26" s="226">
        <f t="shared" si="0"/>
        <v>4599.3637693999999</v>
      </c>
      <c r="F26" s="42">
        <f>'Clause 6'!D41</f>
        <v>150.29061177011314</v>
      </c>
      <c r="G26">
        <f>'6 - B1'!$M16+'6 - B2'!$M16+'6 - B3'!$M16</f>
        <v>15</v>
      </c>
      <c r="H26" s="43">
        <f>STDEVP('6 - B1'!$B16:F16,'6 - B2'!B16:F16,'6 - B3'!B16:F16)/SQRT(G26)</f>
        <v>38.852647710318188</v>
      </c>
      <c r="K26" s="225">
        <v>26</v>
      </c>
      <c r="L26" s="223">
        <v>44.6</v>
      </c>
      <c r="M26" s="224">
        <f t="shared" si="2"/>
        <v>3002.6569572390667</v>
      </c>
    </row>
    <row r="27" spans="1:13" ht="13.15" x14ac:dyDescent="0.4">
      <c r="A27">
        <v>7</v>
      </c>
      <c r="B27" s="43">
        <f>'6 - B1'!$L15</f>
        <v>5410.0138669999997</v>
      </c>
      <c r="C27" s="43">
        <f>'6 - B2'!$L15</f>
        <v>5410.0138669999997</v>
      </c>
      <c r="D27" s="43">
        <f>'6 - B3'!$L15</f>
        <v>5410.0138669999997</v>
      </c>
      <c r="E27" s="226">
        <f t="shared" si="0"/>
        <v>5410.0138669999997</v>
      </c>
      <c r="F27" s="42">
        <f>'Clause 6'!D42</f>
        <v>127.10105410708364</v>
      </c>
      <c r="G27">
        <f>'6 - B1'!$M15+'6 - B2'!$M15+'6 - B3'!$M15</f>
        <v>15</v>
      </c>
      <c r="H27" s="43">
        <f>STDEVP('6 - B1'!$B15:F15,'6 - B2'!B15:F15,'6 - B3'!B15:F15)/SQRT(G27)</f>
        <v>44.051700555945523</v>
      </c>
      <c r="K27" s="225">
        <v>27</v>
      </c>
      <c r="L27" s="223">
        <v>37</v>
      </c>
      <c r="M27" s="224">
        <f t="shared" si="2"/>
        <v>3304.9038617650313</v>
      </c>
    </row>
    <row r="28" spans="1:13" ht="13.15" x14ac:dyDescent="0.4">
      <c r="A28">
        <v>6</v>
      </c>
      <c r="B28" s="43">
        <f>'6 - B1'!$L14</f>
        <v>6325.1593749999993</v>
      </c>
      <c r="C28" s="43">
        <f>'6 - B2'!$L14</f>
        <v>6325.1593749999993</v>
      </c>
      <c r="D28" s="43">
        <f>'6 - B3'!$L14</f>
        <v>6325.1593749999993</v>
      </c>
      <c r="E28" s="226">
        <f t="shared" si="0"/>
        <v>6325.1593749999993</v>
      </c>
      <c r="F28" s="42">
        <f>'Clause 6'!D43</f>
        <v>107.48960141197809</v>
      </c>
      <c r="G28">
        <f>'6 - B1'!$M14+'6 - B2'!$M14+'6 - B3'!$M14</f>
        <v>15</v>
      </c>
      <c r="H28" s="43">
        <f>STDEVP('6 - B1'!$B14:F14,'6 - B2'!B14:F14,'6 - B3'!B14:F14)/SQRT(G28)</f>
        <v>48.034110657462577</v>
      </c>
      <c r="K28" s="225">
        <v>28</v>
      </c>
      <c r="L28" s="223">
        <v>30.7</v>
      </c>
      <c r="M28" s="224">
        <f t="shared" si="2"/>
        <v>3629.2172924134661</v>
      </c>
    </row>
    <row r="29" spans="1:13" ht="13.15" x14ac:dyDescent="0.4">
      <c r="A29">
        <v>5</v>
      </c>
      <c r="B29" s="43">
        <f>'6 - B1'!$L13</f>
        <v>7282.6878906000002</v>
      </c>
      <c r="C29" s="43">
        <f>'6 - B2'!$L13</f>
        <v>7282.6878906000002</v>
      </c>
      <c r="D29" s="43">
        <f>'6 - B3'!$L13</f>
        <v>7282.6878906000002</v>
      </c>
      <c r="E29" s="226">
        <f t="shared" si="0"/>
        <v>7282.6878906000011</v>
      </c>
      <c r="F29" s="42">
        <f>'Clause 6'!D44</f>
        <v>90.904158843337143</v>
      </c>
      <c r="G29">
        <f>'6 - B1'!$M13+'6 - B2'!$M13+'6 - B3'!$M13</f>
        <v>15</v>
      </c>
      <c r="H29" s="43">
        <f>STDEVP('6 - B1'!$B13:F13,'6 - B2'!B13:F13,'6 - B3'!B13:F13)/SQRT(G29)</f>
        <v>54.048913744152053</v>
      </c>
      <c r="K29" s="225">
        <v>29</v>
      </c>
      <c r="L29" s="223">
        <v>25.2</v>
      </c>
      <c r="M29" s="224">
        <f t="shared" si="2"/>
        <v>3986.74565172232</v>
      </c>
    </row>
    <row r="30" spans="1:13" ht="13.15" x14ac:dyDescent="0.4">
      <c r="A30">
        <v>4</v>
      </c>
      <c r="B30" s="43">
        <f>'6 - B1'!$L12</f>
        <v>8370.1229490000005</v>
      </c>
      <c r="C30" s="43">
        <f>'6 - B2'!$L12</f>
        <v>8370.1229490000005</v>
      </c>
      <c r="D30" s="43">
        <f>'6 - B3'!$L12</f>
        <v>8370.1229490000005</v>
      </c>
      <c r="E30" s="226">
        <f t="shared" si="0"/>
        <v>8370.1229490000005</v>
      </c>
      <c r="F30" s="42">
        <f>'Clause 6'!D45</f>
        <v>76.877818751440842</v>
      </c>
      <c r="G30">
        <f>'6 - B1'!$M12+'6 - B2'!$M12+'6 - B3'!$M12</f>
        <v>15</v>
      </c>
      <c r="H30" s="43">
        <f>STDEVP('6 - B1'!$B12:F12,'6 - B2'!B12:F12,'6 - B3'!B12:F12)/SQRT(G30)</f>
        <v>58.475096484339367</v>
      </c>
      <c r="K30" s="225">
        <v>30</v>
      </c>
      <c r="L30" s="223">
        <v>20.100000000000001</v>
      </c>
      <c r="M30" s="224">
        <f t="shared" si="2"/>
        <v>4411.6231647171417</v>
      </c>
    </row>
    <row r="31" spans="1:13" x14ac:dyDescent="0.35">
      <c r="A31">
        <v>3</v>
      </c>
      <c r="B31" s="43">
        <f>'6 - B1'!$L11</f>
        <v>9600.4685546000001</v>
      </c>
      <c r="C31" s="43">
        <f>'6 - B2'!$L11</f>
        <v>9600.4685546000001</v>
      </c>
      <c r="D31" s="43">
        <f>'6 - B3'!$L11</f>
        <v>9600.4685546000001</v>
      </c>
      <c r="E31" s="226">
        <f t="shared" si="0"/>
        <v>9600.4685546000001</v>
      </c>
      <c r="F31" s="42">
        <f>'Clause 6'!D46</f>
        <v>65.01571645544773</v>
      </c>
      <c r="G31">
        <f>'6 - B1'!$M11+'6 - B2'!$M11+'6 - B3'!$M11</f>
        <v>15</v>
      </c>
      <c r="H31" s="43">
        <f>STDEVP('6 - B1'!$B11:F11,'6 - B2'!B11:F11,'6 - B3'!B11:F11)/SQRT(G31)</f>
        <v>65.892880619637779</v>
      </c>
    </row>
    <row r="32" spans="1:13" x14ac:dyDescent="0.35">
      <c r="A32">
        <v>2</v>
      </c>
      <c r="B32" s="43">
        <f>'6 - B1'!$L10</f>
        <v>10959.051562600001</v>
      </c>
      <c r="C32" s="43">
        <f>'6 - B2'!$L10</f>
        <v>10959.051562600001</v>
      </c>
      <c r="D32" s="43">
        <f>'6 - B3'!$L10</f>
        <v>10959.051562600001</v>
      </c>
      <c r="E32" s="226">
        <f t="shared" si="0"/>
        <v>10959.051562600003</v>
      </c>
      <c r="F32" s="42">
        <f>'Clause 6'!D47</f>
        <v>54.983914149306607</v>
      </c>
      <c r="G32">
        <f>'6 - B1'!$M10+'6 - B2'!$M10+'6 - B3'!$M10</f>
        <v>15</v>
      </c>
      <c r="H32" s="43">
        <f>STDEVP('6 - B1'!$B10:F10,'6 - B2'!B10:F10,'6 - B3'!B10:F10)/SQRT(G32)</f>
        <v>72.049939045040787</v>
      </c>
    </row>
    <row r="33" spans="1:40" x14ac:dyDescent="0.35">
      <c r="A33">
        <v>1</v>
      </c>
      <c r="B33" s="43">
        <f>'6 - B1'!$L9</f>
        <v>12401.340625000001</v>
      </c>
      <c r="C33" s="43">
        <f>'6 - B2'!$L9</f>
        <v>12401.340625000001</v>
      </c>
      <c r="D33" s="43">
        <f>'6 - B3'!$L9</f>
        <v>12401.340625000001</v>
      </c>
      <c r="E33" s="226">
        <f t="shared" si="0"/>
        <v>12401.340625000003</v>
      </c>
      <c r="F33" s="42">
        <f>'Clause 6'!D48</f>
        <v>46.5</v>
      </c>
      <c r="G33">
        <f>'6 - B1'!$M9+'6 - B2'!$M9+'6 - B3'!$M9</f>
        <v>15</v>
      </c>
      <c r="H33" s="43">
        <f>STDEVP('6 - B1'!$B9:F9,'6 - B2'!B9:F9,'6 - B3'!B9:F9)/SQRT(G33)</f>
        <v>80.954001244371469</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row>
    <row r="45" spans="1:40" x14ac:dyDescent="0.35">
      <c r="M45" s="95"/>
    </row>
    <row r="46" spans="1:40" x14ac:dyDescent="0.35">
      <c r="M46" s="95"/>
    </row>
    <row r="47" spans="1:40" x14ac:dyDescent="0.35">
      <c r="M47" s="95"/>
    </row>
    <row r="48" spans="1:40" x14ac:dyDescent="0.35">
      <c r="M48" s="95"/>
    </row>
    <row r="49" spans="13:13" x14ac:dyDescent="0.35">
      <c r="M49" s="95"/>
    </row>
    <row r="50" spans="13:13" x14ac:dyDescent="0.35">
      <c r="M50" s="95"/>
    </row>
    <row r="51" spans="13:13" x14ac:dyDescent="0.35">
      <c r="M51" s="95"/>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M25" sqref="M25"/>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22</v>
      </c>
      <c r="B1" s="10"/>
      <c r="C1" s="67"/>
      <c r="D1" s="14" t="s">
        <v>364</v>
      </c>
    </row>
    <row r="2" spans="1:17" ht="13.15" x14ac:dyDescent="0.4">
      <c r="A2" s="10" t="s">
        <v>24</v>
      </c>
      <c r="B2" s="10"/>
      <c r="C2" s="10"/>
      <c r="D2" s="10" t="s">
        <v>349</v>
      </c>
    </row>
    <row r="3" spans="1:17" ht="13.15" x14ac:dyDescent="0.4">
      <c r="A3" s="10" t="s">
        <v>28</v>
      </c>
      <c r="B3" s="10"/>
      <c r="C3" s="10"/>
      <c r="D3" s="96"/>
    </row>
    <row r="4" spans="1:17" ht="13.15" x14ac:dyDescent="0.4">
      <c r="A4" s="10" t="s">
        <v>27</v>
      </c>
      <c r="B4" s="10"/>
      <c r="C4" s="10"/>
      <c r="D4" s="10" t="s">
        <v>349</v>
      </c>
    </row>
    <row r="5" spans="1:17" ht="13.15" x14ac:dyDescent="0.4">
      <c r="A5" s="10" t="s">
        <v>26</v>
      </c>
      <c r="B5" s="10"/>
      <c r="C5" s="10"/>
      <c r="D5" s="14" t="s">
        <v>364</v>
      </c>
    </row>
    <row r="6" spans="1:17" ht="13.15" x14ac:dyDescent="0.4">
      <c r="A6" s="67" t="s">
        <v>117</v>
      </c>
      <c r="B6" s="10"/>
      <c r="C6" s="10"/>
      <c r="D6" s="12" t="s">
        <v>391</v>
      </c>
    </row>
    <row r="7" spans="1:17" ht="13.15" x14ac:dyDescent="0.4">
      <c r="A7" s="10" t="s">
        <v>29</v>
      </c>
      <c r="B7" s="10"/>
      <c r="C7" s="10"/>
      <c r="D7" s="13" t="s">
        <v>30</v>
      </c>
    </row>
    <row r="10" spans="1:17" x14ac:dyDescent="0.35">
      <c r="A10" s="26" t="s">
        <v>196</v>
      </c>
      <c r="B10" s="26"/>
      <c r="C10" s="26"/>
      <c r="D10" s="26"/>
    </row>
    <row r="11" spans="1:17" ht="13.15" x14ac:dyDescent="0.4">
      <c r="A11" s="26"/>
      <c r="B11" s="26"/>
      <c r="C11" s="26"/>
      <c r="D11" s="26"/>
      <c r="H11" s="8"/>
    </row>
    <row r="12" spans="1:17" ht="13.15" x14ac:dyDescent="0.4">
      <c r="A12" s="97">
        <v>49.4</v>
      </c>
      <c r="B12" s="98" t="s">
        <v>197</v>
      </c>
      <c r="C12" s="98" t="s">
        <v>198</v>
      </c>
      <c r="D12" s="99"/>
      <c r="F12" s="100">
        <v>39</v>
      </c>
      <c r="G12" s="98" t="s">
        <v>197</v>
      </c>
      <c r="H12" s="98" t="s">
        <v>198</v>
      </c>
      <c r="I12" s="36"/>
      <c r="J12" s="85"/>
      <c r="M12" s="97">
        <v>69.7</v>
      </c>
      <c r="N12" s="98" t="s">
        <v>197</v>
      </c>
      <c r="O12" s="98" t="s">
        <v>198</v>
      </c>
      <c r="P12" s="36"/>
      <c r="Q12" s="85"/>
    </row>
    <row r="13" spans="1:17" x14ac:dyDescent="0.35">
      <c r="A13" s="101">
        <f>(4/3)*(3.1415936)*((A12*0.000001/2)^3)</f>
        <v>6.3121832711697054E-14</v>
      </c>
      <c r="B13" s="26" t="s">
        <v>199</v>
      </c>
      <c r="C13" s="26" t="s">
        <v>200</v>
      </c>
      <c r="D13" s="102"/>
      <c r="F13" s="101">
        <f>(4/3)*(3.1415936)*((F12*0.000001/2)^3)</f>
        <v>3.1059365126399994E-14</v>
      </c>
      <c r="G13" s="26" t="s">
        <v>199</v>
      </c>
      <c r="H13" s="26" t="s">
        <v>200</v>
      </c>
      <c r="J13" s="45"/>
      <c r="M13" s="101">
        <f>(4/3)*(3.1415936)*((M12*0.000001/2)^3)</f>
        <v>1.7729524472000214E-13</v>
      </c>
      <c r="N13" s="26" t="s">
        <v>199</v>
      </c>
      <c r="O13" s="26" t="s">
        <v>200</v>
      </c>
      <c r="Q13" s="45"/>
    </row>
    <row r="14" spans="1:17" x14ac:dyDescent="0.35">
      <c r="A14" s="101">
        <f>A13*1.05*1000</f>
        <v>6.6277924347281912E-11</v>
      </c>
      <c r="B14" s="26" t="s">
        <v>201</v>
      </c>
      <c r="C14" s="26" t="s">
        <v>202</v>
      </c>
      <c r="D14" s="102"/>
      <c r="F14" s="101">
        <f>F13*1.05*1000</f>
        <v>3.2612333382719997E-11</v>
      </c>
      <c r="G14" s="26" t="s">
        <v>201</v>
      </c>
      <c r="H14" s="26" t="s">
        <v>202</v>
      </c>
      <c r="J14" s="45"/>
      <c r="M14" s="101">
        <f>M13*1.05*1000</f>
        <v>1.8616000695600225E-10</v>
      </c>
      <c r="N14" s="26" t="s">
        <v>201</v>
      </c>
      <c r="O14" s="26" t="s">
        <v>202</v>
      </c>
      <c r="Q14" s="45"/>
    </row>
    <row r="15" spans="1:17" x14ac:dyDescent="0.35">
      <c r="A15" s="101">
        <f>0.000001/A14</f>
        <v>15087.980045364991</v>
      </c>
      <c r="B15" s="26" t="s">
        <v>203</v>
      </c>
      <c r="C15" s="26" t="s">
        <v>204</v>
      </c>
      <c r="D15" s="102"/>
      <c r="F15" s="101">
        <f>0.000001/F14</f>
        <v>30663.245964787693</v>
      </c>
      <c r="G15" s="26" t="s">
        <v>203</v>
      </c>
      <c r="H15" s="26" t="s">
        <v>204</v>
      </c>
      <c r="J15" s="45"/>
      <c r="M15" s="101">
        <f>0.000001/M14</f>
        <v>5371.7230480999269</v>
      </c>
      <c r="N15" s="26" t="s">
        <v>203</v>
      </c>
      <c r="O15" s="26" t="s">
        <v>204</v>
      </c>
      <c r="Q15" s="45"/>
    </row>
    <row r="16" spans="1:17" ht="13.15" x14ac:dyDescent="0.4">
      <c r="A16" s="103">
        <v>5000</v>
      </c>
      <c r="B16" s="26"/>
      <c r="C16" s="26" t="s">
        <v>205</v>
      </c>
      <c r="D16" s="102"/>
      <c r="F16" s="103">
        <v>3000</v>
      </c>
      <c r="G16" s="26"/>
      <c r="H16" s="26" t="s">
        <v>205</v>
      </c>
      <c r="J16" s="45"/>
      <c r="M16" s="103">
        <v>2000</v>
      </c>
      <c r="N16" s="26"/>
      <c r="O16" s="26" t="s">
        <v>205</v>
      </c>
      <c r="Q16" s="45"/>
    </row>
    <row r="17" spans="1:17" x14ac:dyDescent="0.35">
      <c r="A17" s="104">
        <f>A16/A15*1000</f>
        <v>331.38962173640959</v>
      </c>
      <c r="B17" s="26" t="s">
        <v>71</v>
      </c>
      <c r="C17" s="26" t="s">
        <v>206</v>
      </c>
      <c r="D17" s="102"/>
      <c r="F17" s="104">
        <f>F16/F15*1000</f>
        <v>97.837000148159987</v>
      </c>
      <c r="G17" s="26" t="s">
        <v>71</v>
      </c>
      <c r="H17" s="26" t="s">
        <v>206</v>
      </c>
      <c r="J17" s="45"/>
      <c r="M17" s="104">
        <f>M16/M15*1000</f>
        <v>372.32001391200447</v>
      </c>
      <c r="N17" s="26" t="s">
        <v>71</v>
      </c>
      <c r="O17" s="26" t="s">
        <v>206</v>
      </c>
      <c r="Q17" s="45"/>
    </row>
    <row r="18" spans="1:17" ht="13.15" x14ac:dyDescent="0.4">
      <c r="A18" s="103">
        <v>0.20280000000000001</v>
      </c>
      <c r="B18" s="26" t="s">
        <v>207</v>
      </c>
      <c r="C18" s="26" t="s">
        <v>208</v>
      </c>
      <c r="D18" s="102"/>
      <c r="F18" s="103">
        <v>0.2</v>
      </c>
      <c r="G18" s="26" t="s">
        <v>207</v>
      </c>
      <c r="H18" s="26" t="s">
        <v>208</v>
      </c>
      <c r="J18" s="45"/>
      <c r="M18" s="103">
        <v>0.2</v>
      </c>
      <c r="N18" s="26" t="s">
        <v>207</v>
      </c>
      <c r="O18" s="26" t="s">
        <v>208</v>
      </c>
      <c r="Q18" s="45"/>
    </row>
    <row r="19" spans="1:17" x14ac:dyDescent="0.35">
      <c r="A19" s="104">
        <f>A18*A17</f>
        <v>67.205815288143867</v>
      </c>
      <c r="B19" s="26" t="s">
        <v>68</v>
      </c>
      <c r="C19" s="26" t="s">
        <v>209</v>
      </c>
      <c r="D19" s="102"/>
      <c r="F19" s="104">
        <f>F18*F17</f>
        <v>19.567400029631997</v>
      </c>
      <c r="G19" s="26" t="s">
        <v>68</v>
      </c>
      <c r="H19" s="26" t="s">
        <v>209</v>
      </c>
      <c r="J19" s="45"/>
      <c r="M19" s="104">
        <f>M18*M17</f>
        <v>74.464002782400897</v>
      </c>
      <c r="N19" s="26" t="s">
        <v>68</v>
      </c>
      <c r="O19" s="26" t="s">
        <v>209</v>
      </c>
      <c r="Q19" s="45"/>
    </row>
    <row r="20" spans="1:17" ht="13.15" x14ac:dyDescent="0.4">
      <c r="A20" s="103">
        <v>67.2</v>
      </c>
      <c r="B20" s="26" t="s">
        <v>68</v>
      </c>
      <c r="C20" s="26" t="s">
        <v>210</v>
      </c>
      <c r="D20" s="102"/>
      <c r="F20" s="103">
        <v>20.8</v>
      </c>
      <c r="G20" s="26" t="s">
        <v>68</v>
      </c>
      <c r="H20" s="26" t="s">
        <v>210</v>
      </c>
      <c r="J20" s="45"/>
      <c r="M20" s="103">
        <v>77.569999999999993</v>
      </c>
      <c r="N20" s="26" t="s">
        <v>68</v>
      </c>
      <c r="O20" s="26" t="s">
        <v>210</v>
      </c>
      <c r="Q20" s="45"/>
    </row>
    <row r="21" spans="1:17" ht="13.15" x14ac:dyDescent="0.4">
      <c r="A21" s="105">
        <f>A20/A19*A16</f>
        <v>4999.5673523102923</v>
      </c>
      <c r="B21" s="26" t="s">
        <v>211</v>
      </c>
      <c r="C21" s="26" t="s">
        <v>212</v>
      </c>
      <c r="D21" s="102"/>
      <c r="F21" s="243">
        <f>F20/F19*F16</f>
        <v>3188.9775803379202</v>
      </c>
      <c r="G21" s="26" t="s">
        <v>211</v>
      </c>
      <c r="H21" s="26" t="s">
        <v>212</v>
      </c>
      <c r="J21" s="45"/>
      <c r="M21" s="105">
        <f>M20/M19*M16</f>
        <v>2083.4227842055566</v>
      </c>
      <c r="N21" s="26" t="s">
        <v>211</v>
      </c>
      <c r="O21" s="26" t="s">
        <v>212</v>
      </c>
      <c r="Q21" s="45"/>
    </row>
    <row r="22" spans="1:17" x14ac:dyDescent="0.35">
      <c r="A22" s="38"/>
      <c r="D22" s="45"/>
      <c r="F22" s="106">
        <f>F20*F15</f>
        <v>637795.51606758405</v>
      </c>
      <c r="H22" t="s">
        <v>213</v>
      </c>
      <c r="J22" s="45"/>
      <c r="M22" s="106">
        <f>M20*M15</f>
        <v>416684.55684111128</v>
      </c>
      <c r="O22" t="s">
        <v>213</v>
      </c>
      <c r="Q22" s="45"/>
    </row>
    <row r="23" spans="1:17" x14ac:dyDescent="0.35">
      <c r="A23" s="38"/>
      <c r="D23" s="45"/>
      <c r="F23" s="106">
        <f>F21/F16*F18*1000</f>
        <v>212.59850535586136</v>
      </c>
      <c r="G23" t="s">
        <v>53</v>
      </c>
      <c r="H23" t="s">
        <v>214</v>
      </c>
      <c r="J23" s="45"/>
      <c r="M23" s="106">
        <f>M21/M16*M18*1000</f>
        <v>208.34227842055566</v>
      </c>
      <c r="N23" t="s">
        <v>53</v>
      </c>
      <c r="O23" t="s">
        <v>214</v>
      </c>
      <c r="Q23" s="45"/>
    </row>
    <row r="24" spans="1:17" x14ac:dyDescent="0.35">
      <c r="A24" s="38"/>
      <c r="D24" s="45"/>
      <c r="F24" s="106">
        <f>F23-F18*1000</f>
        <v>12.598505355861363</v>
      </c>
      <c r="G24" t="s">
        <v>53</v>
      </c>
      <c r="H24" t="s">
        <v>215</v>
      </c>
      <c r="J24" s="45"/>
      <c r="M24" s="106">
        <f>M23-M18*1000</f>
        <v>8.3422784205556582</v>
      </c>
      <c r="N24" t="s">
        <v>53</v>
      </c>
      <c r="O24" t="s">
        <v>215</v>
      </c>
      <c r="Q24" s="45"/>
    </row>
    <row r="25" spans="1:17" ht="13.15" x14ac:dyDescent="0.4">
      <c r="A25" s="38"/>
      <c r="D25" s="45"/>
      <c r="F25" s="244">
        <f>F22/(F23)</f>
        <v>3000</v>
      </c>
      <c r="H25" t="s">
        <v>315</v>
      </c>
      <c r="J25" s="45"/>
      <c r="M25" s="38">
        <f>M22/(M23)</f>
        <v>1999.9999999999998</v>
      </c>
      <c r="O25" t="s">
        <v>315</v>
      </c>
      <c r="Q25" s="45"/>
    </row>
    <row r="26" spans="1:17" x14ac:dyDescent="0.35">
      <c r="A26" s="38"/>
      <c r="D26" s="45"/>
      <c r="F26" s="38"/>
      <c r="J26" s="45"/>
      <c r="M26" s="38"/>
      <c r="Q26" s="45"/>
    </row>
    <row r="27" spans="1:17" x14ac:dyDescent="0.35">
      <c r="A27" s="38" t="s">
        <v>191</v>
      </c>
      <c r="D27" s="45"/>
      <c r="F27" s="38" t="s">
        <v>191</v>
      </c>
      <c r="J27" s="45"/>
      <c r="M27" s="38" t="s">
        <v>191</v>
      </c>
      <c r="Q27" s="45"/>
    </row>
    <row r="28" spans="1:17" x14ac:dyDescent="0.35">
      <c r="A28" s="38">
        <v>100</v>
      </c>
      <c r="B28" t="s">
        <v>53</v>
      </c>
      <c r="C28" t="s">
        <v>216</v>
      </c>
      <c r="D28" s="45"/>
      <c r="F28" s="38">
        <v>100</v>
      </c>
      <c r="G28" t="s">
        <v>53</v>
      </c>
      <c r="H28" t="s">
        <v>216</v>
      </c>
      <c r="J28" s="45"/>
      <c r="M28" s="38">
        <v>100</v>
      </c>
      <c r="N28" t="s">
        <v>53</v>
      </c>
      <c r="O28" t="s">
        <v>216</v>
      </c>
      <c r="Q28" s="45"/>
    </row>
    <row r="29" spans="1:17" x14ac:dyDescent="0.35">
      <c r="A29" s="38">
        <v>300</v>
      </c>
      <c r="B29" t="s">
        <v>38</v>
      </c>
      <c r="C29" t="s">
        <v>217</v>
      </c>
      <c r="D29" s="45"/>
      <c r="F29" s="38">
        <v>300</v>
      </c>
      <c r="G29" t="s">
        <v>38</v>
      </c>
      <c r="H29" t="s">
        <v>218</v>
      </c>
      <c r="J29" s="45"/>
      <c r="M29" s="38">
        <v>300</v>
      </c>
      <c r="N29" t="s">
        <v>38</v>
      </c>
      <c r="O29" t="s">
        <v>218</v>
      </c>
      <c r="Q29" s="45"/>
    </row>
    <row r="30" spans="1:17" x14ac:dyDescent="0.35">
      <c r="A30" s="38">
        <f>A28*A29</f>
        <v>30000</v>
      </c>
      <c r="B30" t="s">
        <v>219</v>
      </c>
      <c r="C30" t="s">
        <v>220</v>
      </c>
      <c r="D30" s="45"/>
      <c r="F30" s="38">
        <f>F28*F29</f>
        <v>30000</v>
      </c>
      <c r="G30" t="s">
        <v>219</v>
      </c>
      <c r="H30" t="s">
        <v>220</v>
      </c>
      <c r="J30" s="45"/>
      <c r="M30" s="38">
        <f>M28*M29</f>
        <v>30000</v>
      </c>
      <c r="N30" t="s">
        <v>219</v>
      </c>
      <c r="O30" t="s">
        <v>220</v>
      </c>
      <c r="Q30" s="45"/>
    </row>
    <row r="31" spans="1:17" x14ac:dyDescent="0.35">
      <c r="A31" s="106">
        <f>A30/A21</f>
        <v>6.0005192221557024</v>
      </c>
      <c r="B31" t="s">
        <v>53</v>
      </c>
      <c r="C31" t="s">
        <v>221</v>
      </c>
      <c r="D31" s="45"/>
      <c r="F31" s="106">
        <f>F30/F25</f>
        <v>10</v>
      </c>
      <c r="G31" t="s">
        <v>53</v>
      </c>
      <c r="H31" t="s">
        <v>221</v>
      </c>
      <c r="J31" s="45"/>
      <c r="M31" s="106">
        <f>M30/M25</f>
        <v>15.000000000000002</v>
      </c>
      <c r="N31" t="s">
        <v>53</v>
      </c>
      <c r="O31" t="s">
        <v>221</v>
      </c>
      <c r="Q31" s="45"/>
    </row>
    <row r="32" spans="1:17" x14ac:dyDescent="0.35">
      <c r="A32" s="106">
        <f>A28-A31</f>
        <v>93.999480777844298</v>
      </c>
      <c r="B32" t="s">
        <v>53</v>
      </c>
      <c r="C32" t="s">
        <v>222</v>
      </c>
      <c r="D32" s="45"/>
      <c r="F32" s="106">
        <f>F28-F31</f>
        <v>90</v>
      </c>
      <c r="G32" t="s">
        <v>53</v>
      </c>
      <c r="H32" t="s">
        <v>222</v>
      </c>
      <c r="J32" s="45"/>
      <c r="M32" s="106">
        <f>M28-M31</f>
        <v>85</v>
      </c>
      <c r="N32" t="s">
        <v>53</v>
      </c>
      <c r="O32" t="s">
        <v>222</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223</v>
      </c>
    </row>
    <row r="39" spans="1:17" x14ac:dyDescent="0.35">
      <c r="F39" s="29"/>
    </row>
    <row r="40" spans="1:17" ht="13.15" x14ac:dyDescent="0.4">
      <c r="A40" t="s">
        <v>224</v>
      </c>
      <c r="C40" s="8">
        <f>A12</f>
        <v>49.4</v>
      </c>
      <c r="D40" t="s">
        <v>225</v>
      </c>
      <c r="G40" s="8">
        <f>F12</f>
        <v>39</v>
      </c>
      <c r="H40" t="s">
        <v>225</v>
      </c>
      <c r="N40" s="8">
        <v>70</v>
      </c>
    </row>
    <row r="42" spans="1:17" ht="13.15" x14ac:dyDescent="0.4">
      <c r="A42" t="s">
        <v>226</v>
      </c>
      <c r="B42" s="107">
        <f>0.56*C42</f>
        <v>8736</v>
      </c>
      <c r="C42" s="108">
        <v>15600</v>
      </c>
      <c r="D42" s="109">
        <f>1.56*C42</f>
        <v>24336</v>
      </c>
      <c r="F42" s="107">
        <f>0.56*G42</f>
        <v>10248.000000000002</v>
      </c>
      <c r="G42" s="108">
        <v>18300</v>
      </c>
      <c r="H42" s="109">
        <f>1.56*G42</f>
        <v>28548</v>
      </c>
      <c r="M42" s="107">
        <f>0.56*N42</f>
        <v>14000.000000000002</v>
      </c>
      <c r="N42" s="108">
        <v>25000</v>
      </c>
      <c r="O42" s="109">
        <f>1.56*N42</f>
        <v>39000</v>
      </c>
    </row>
    <row r="43" spans="1:17" x14ac:dyDescent="0.35">
      <c r="A43" t="s">
        <v>227</v>
      </c>
      <c r="B43" s="47">
        <v>41252</v>
      </c>
      <c r="C43" s="48">
        <v>20600</v>
      </c>
      <c r="D43" s="89">
        <v>92</v>
      </c>
      <c r="F43" s="47">
        <v>43502</v>
      </c>
      <c r="G43" s="48"/>
      <c r="H43" s="89">
        <v>134</v>
      </c>
      <c r="M43" s="47">
        <v>20135</v>
      </c>
      <c r="N43" s="48">
        <v>10070</v>
      </c>
      <c r="O43" s="89">
        <v>0</v>
      </c>
    </row>
    <row r="44" spans="1:17" x14ac:dyDescent="0.35">
      <c r="A44" t="s">
        <v>228</v>
      </c>
      <c r="B44" s="110">
        <v>13047</v>
      </c>
      <c r="C44" s="110">
        <v>13354</v>
      </c>
      <c r="D44" s="110">
        <f>D43-L43</f>
        <v>92</v>
      </c>
      <c r="F44" s="110">
        <f>F43-G43</f>
        <v>43502</v>
      </c>
      <c r="G44" s="110">
        <f>G43-H43</f>
        <v>-134</v>
      </c>
      <c r="H44" s="110">
        <f>H43-P43</f>
        <v>134</v>
      </c>
      <c r="M44" s="110">
        <f>M43-N43</f>
        <v>10065</v>
      </c>
      <c r="N44" s="110">
        <f>N43-O43</f>
        <v>10070</v>
      </c>
      <c r="O44" s="110">
        <f>O43-B43</f>
        <v>-41252</v>
      </c>
    </row>
    <row r="46" spans="1:17" ht="13.15" x14ac:dyDescent="0.4">
      <c r="A46" t="s">
        <v>229</v>
      </c>
      <c r="B46" s="111">
        <f>(1-B44/C44)</f>
        <v>2.2989366481952933E-2</v>
      </c>
      <c r="F46" s="111">
        <f>(1-F44/G44)</f>
        <v>325.64179104477614</v>
      </c>
      <c r="M46" s="111">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topLeftCell="F1" zoomScale="70" zoomScaleNormal="70" workbookViewId="0">
      <selection activeCell="G23" sqref="G23:AJ23"/>
    </sheetView>
  </sheetViews>
  <sheetFormatPr defaultColWidth="11.53125" defaultRowHeight="12.75" x14ac:dyDescent="0.35"/>
  <sheetData>
    <row r="1" spans="1:4" ht="14.25" x14ac:dyDescent="0.45">
      <c r="A1" s="263" t="s">
        <v>230</v>
      </c>
      <c r="B1" s="263"/>
      <c r="C1" s="263" t="s">
        <v>231</v>
      </c>
      <c r="D1" s="263"/>
    </row>
    <row r="2" spans="1:4" ht="92.85" customHeight="1" x14ac:dyDescent="0.45">
      <c r="A2" s="264" t="s">
        <v>232</v>
      </c>
      <c r="B2" s="264"/>
      <c r="C2" s="264" t="s">
        <v>233</v>
      </c>
      <c r="D2" s="264"/>
    </row>
    <row r="3" spans="1:4" ht="57" x14ac:dyDescent="0.45">
      <c r="A3" s="112" t="s">
        <v>234</v>
      </c>
      <c r="B3" s="113" t="s">
        <v>235</v>
      </c>
      <c r="C3" s="112" t="s">
        <v>189</v>
      </c>
      <c r="D3" s="114" t="s">
        <v>190</v>
      </c>
    </row>
    <row r="4" spans="1:4" ht="14.25" x14ac:dyDescent="0.45">
      <c r="A4" s="1" t="s">
        <v>195</v>
      </c>
      <c r="B4" s="114" t="s">
        <v>193</v>
      </c>
      <c r="C4" s="1" t="s">
        <v>195</v>
      </c>
      <c r="D4" s="114" t="s">
        <v>193</v>
      </c>
    </row>
    <row r="5" spans="1:4" ht="13.15" x14ac:dyDescent="0.4">
      <c r="A5">
        <v>4</v>
      </c>
      <c r="B5" s="42">
        <f>'6 - Thresholds'!$M4</f>
        <v>56.373774227433167</v>
      </c>
      <c r="C5" s="8">
        <v>4</v>
      </c>
      <c r="D5" s="58">
        <f t="shared" ref="D5:D30" si="0">CubicSpline(C5,$A$5:$A$34,$B$5:$B$34)</f>
        <v>56.373774227433159</v>
      </c>
    </row>
    <row r="6" spans="1:4" ht="13.15" x14ac:dyDescent="0.4">
      <c r="A6">
        <v>5</v>
      </c>
      <c r="B6" s="42">
        <f>'6 - Thresholds'!$M5</f>
        <v>93.378383844046184</v>
      </c>
      <c r="C6">
        <v>5</v>
      </c>
      <c r="D6" s="58">
        <f t="shared" si="0"/>
        <v>93.378383844046169</v>
      </c>
    </row>
    <row r="7" spans="1:4" ht="13.15" x14ac:dyDescent="0.4">
      <c r="A7">
        <v>6</v>
      </c>
      <c r="B7" s="42">
        <f>'6 - Thresholds'!$M6</f>
        <v>146.20388070254049</v>
      </c>
      <c r="C7" s="8">
        <v>6</v>
      </c>
      <c r="D7" s="58">
        <f t="shared" si="0"/>
        <v>146.20388070254046</v>
      </c>
    </row>
    <row r="8" spans="1:4" ht="13.15" x14ac:dyDescent="0.4">
      <c r="A8">
        <v>7</v>
      </c>
      <c r="B8" s="42">
        <f>'6 - Thresholds'!$M7</f>
        <v>209.21288607751393</v>
      </c>
      <c r="C8">
        <v>7</v>
      </c>
      <c r="D8" s="58">
        <f t="shared" si="0"/>
        <v>209.21288607751393</v>
      </c>
    </row>
    <row r="9" spans="1:4" ht="13.15" x14ac:dyDescent="0.4">
      <c r="A9">
        <v>8</v>
      </c>
      <c r="B9" s="42">
        <f>'6 - Thresholds'!$M8</f>
        <v>273.51327940883499</v>
      </c>
      <c r="C9">
        <v>8</v>
      </c>
      <c r="D9" s="58">
        <f t="shared" si="0"/>
        <v>273.51327940883493</v>
      </c>
    </row>
    <row r="10" spans="1:4" ht="13.15" x14ac:dyDescent="0.4">
      <c r="A10">
        <v>9</v>
      </c>
      <c r="B10" s="42">
        <f>'6 - Thresholds'!$M9</f>
        <v>348.98971315768063</v>
      </c>
      <c r="C10">
        <v>9</v>
      </c>
      <c r="D10" s="58">
        <f t="shared" si="0"/>
        <v>348.98971315768063</v>
      </c>
    </row>
    <row r="11" spans="1:4" ht="13.15" x14ac:dyDescent="0.4">
      <c r="A11">
        <v>10</v>
      </c>
      <c r="B11" s="42">
        <f>'6 - Thresholds'!$M10</f>
        <v>439.28325476561287</v>
      </c>
      <c r="C11">
        <v>10</v>
      </c>
      <c r="D11" s="58">
        <f t="shared" si="0"/>
        <v>439.28325476561304</v>
      </c>
    </row>
    <row r="12" spans="1:4" ht="13.15" x14ac:dyDescent="0.4">
      <c r="A12">
        <v>11</v>
      </c>
      <c r="B12" s="42">
        <f>'6 - Thresholds'!$M11</f>
        <v>536.93474276608219</v>
      </c>
      <c r="C12">
        <v>11</v>
      </c>
      <c r="D12" s="58">
        <f t="shared" si="0"/>
        <v>536.93474276608208</v>
      </c>
    </row>
    <row r="13" spans="1:4" ht="13.15" x14ac:dyDescent="0.4">
      <c r="A13">
        <v>12</v>
      </c>
      <c r="B13" s="42">
        <f>'6 - Thresholds'!$M12</f>
        <v>635.53211445242005</v>
      </c>
      <c r="C13">
        <v>12</v>
      </c>
      <c r="D13" s="58">
        <f t="shared" si="0"/>
        <v>635.53211445242027</v>
      </c>
    </row>
    <row r="14" spans="1:4" ht="13.15" x14ac:dyDescent="0.4">
      <c r="A14">
        <v>13</v>
      </c>
      <c r="B14" s="42">
        <f>'6 - Thresholds'!$M13</f>
        <v>741.4037911810334</v>
      </c>
      <c r="C14">
        <v>13</v>
      </c>
      <c r="D14" s="58">
        <f t="shared" si="0"/>
        <v>741.4037911810334</v>
      </c>
    </row>
    <row r="15" spans="1:4" ht="13.15" x14ac:dyDescent="0.4">
      <c r="A15">
        <v>14</v>
      </c>
      <c r="B15" s="42">
        <f>'6 - Thresholds'!$M14</f>
        <v>854.86318962192786</v>
      </c>
      <c r="C15" s="8">
        <v>14</v>
      </c>
      <c r="D15" s="58">
        <f t="shared" si="0"/>
        <v>854.86318962192752</v>
      </c>
    </row>
    <row r="16" spans="1:4" ht="13.15" x14ac:dyDescent="0.4">
      <c r="A16">
        <v>15</v>
      </c>
      <c r="B16" s="42">
        <f>'6 - Thresholds'!$M15</f>
        <v>971.34961616754276</v>
      </c>
      <c r="C16">
        <v>15</v>
      </c>
      <c r="D16" s="58">
        <f t="shared" si="0"/>
        <v>971.34961616754288</v>
      </c>
    </row>
    <row r="17" spans="1:36" ht="13.15" x14ac:dyDescent="0.4">
      <c r="A17">
        <v>16</v>
      </c>
      <c r="B17" s="42">
        <f>'6 - Thresholds'!$M16</f>
        <v>1088.6802599175317</v>
      </c>
      <c r="C17">
        <v>16</v>
      </c>
      <c r="D17" s="58">
        <f t="shared" si="0"/>
        <v>1088.6802599175317</v>
      </c>
    </row>
    <row r="18" spans="1:36" ht="13.15" x14ac:dyDescent="0.4">
      <c r="A18">
        <v>17</v>
      </c>
      <c r="B18" s="42">
        <f>'6 - Thresholds'!$M17</f>
        <v>1206.8995893566339</v>
      </c>
      <c r="C18">
        <v>17</v>
      </c>
      <c r="D18" s="58">
        <f t="shared" si="0"/>
        <v>1206.8995893566339</v>
      </c>
    </row>
    <row r="19" spans="1:36" ht="13.15" x14ac:dyDescent="0.4">
      <c r="A19">
        <v>18</v>
      </c>
      <c r="B19" s="42">
        <f>'6 - Thresholds'!$M18</f>
        <v>1329.4008916497762</v>
      </c>
      <c r="C19">
        <v>18</v>
      </c>
      <c r="D19" s="58">
        <f t="shared" si="0"/>
        <v>1329.4008916497762</v>
      </c>
    </row>
    <row r="20" spans="1:36" ht="13.15" x14ac:dyDescent="0.4">
      <c r="A20">
        <v>19</v>
      </c>
      <c r="B20" s="42">
        <f>'6 - Thresholds'!$M19</f>
        <v>1461.1650125488522</v>
      </c>
      <c r="C20">
        <v>19</v>
      </c>
      <c r="D20" s="58">
        <f t="shared" si="0"/>
        <v>1461.1650125488532</v>
      </c>
    </row>
    <row r="21" spans="1:36" ht="13.15" x14ac:dyDescent="0.4">
      <c r="A21">
        <v>20</v>
      </c>
      <c r="B21" s="42">
        <f>'6 - Thresholds'!$M20</f>
        <v>1612.1396246428449</v>
      </c>
      <c r="C21">
        <v>20</v>
      </c>
      <c r="D21" s="58">
        <f t="shared" si="0"/>
        <v>1612.139624642843</v>
      </c>
      <c r="F21" t="s">
        <v>292</v>
      </c>
    </row>
    <row r="22" spans="1:36" ht="13.15" x14ac:dyDescent="0.4">
      <c r="A22">
        <v>21</v>
      </c>
      <c r="B22" s="42">
        <f>'6 - Thresholds'!$M21</f>
        <v>1797.7737378078166</v>
      </c>
      <c r="C22" s="8">
        <v>21</v>
      </c>
      <c r="D22" s="58">
        <f t="shared" si="0"/>
        <v>1797.7737378078068</v>
      </c>
      <c r="G22" s="42">
        <f>'6 - Curve'!$D$5</f>
        <v>56.373774227433159</v>
      </c>
      <c r="H22" s="42">
        <f>'6 - Curve'!$D$6</f>
        <v>93.378383844046169</v>
      </c>
      <c r="I22" s="42">
        <f>'6 - Curve'!$D$7</f>
        <v>146.20388070254046</v>
      </c>
      <c r="J22" s="42">
        <f>'6 - Curve'!$D$8</f>
        <v>209.21288607751393</v>
      </c>
      <c r="K22" s="42">
        <f>'6 - Curve'!$D$9</f>
        <v>273.51327940883493</v>
      </c>
      <c r="L22" s="42">
        <f>'6 - Curve'!$D$10</f>
        <v>348.98971315768063</v>
      </c>
      <c r="M22" s="42">
        <f>'6 - Curve'!$D$11</f>
        <v>439.28325476561304</v>
      </c>
      <c r="N22" s="42">
        <f>'6 - Curve'!$D$12</f>
        <v>536.93474276608208</v>
      </c>
      <c r="O22" s="42">
        <f>'6 - Curve'!$D$13</f>
        <v>635.53211445242027</v>
      </c>
      <c r="P22" s="42">
        <f>'6 - Curve'!$D$14</f>
        <v>741.4037911810334</v>
      </c>
      <c r="Q22" s="42">
        <f>'6 - Curve'!$D$15</f>
        <v>854.86318962192752</v>
      </c>
      <c r="R22" s="42">
        <f>'6 - Curve'!$D$16</f>
        <v>971.34961616754288</v>
      </c>
      <c r="S22" s="42">
        <f>'6 - Curve'!$D$17</f>
        <v>1088.6802599175317</v>
      </c>
      <c r="T22" s="42">
        <f>'6 - Curve'!$D$18</f>
        <v>1206.8995893566339</v>
      </c>
      <c r="U22" s="42">
        <f>'6 - Curve'!$D$19</f>
        <v>1329.4008916497762</v>
      </c>
      <c r="V22" s="42">
        <f>'6 - Curve'!$D$20</f>
        <v>1461.1650125488532</v>
      </c>
      <c r="W22" s="42">
        <f>'6 - Curve'!$D$21</f>
        <v>1612.139624642843</v>
      </c>
      <c r="X22" s="42">
        <f>'6 - Curve'!$D$22</f>
        <v>1797.7737378078068</v>
      </c>
      <c r="Y22" s="42">
        <f>'6 - Curve'!$D$23</f>
        <v>1991.1778011423148</v>
      </c>
      <c r="Z22" s="42">
        <f>'6 - Curve'!$D$24</f>
        <v>2200.058555676017</v>
      </c>
      <c r="AA22" s="42">
        <f>'6 - Curve'!$D$25</f>
        <v>2450.3878526020053</v>
      </c>
      <c r="AB22" s="42">
        <f>'6 - Curve'!$D$26</f>
        <v>2721.976847191856</v>
      </c>
      <c r="AC22" s="42">
        <f>'6 - Curve'!$D$27</f>
        <v>3002.6569572390699</v>
      </c>
      <c r="AD22" s="42">
        <f>'6 - Curve'!$D$28</f>
        <v>3304.9038617650303</v>
      </c>
      <c r="AE22" s="42">
        <f>'6 - Curve'!$D$29</f>
        <v>3629.2172924134729</v>
      </c>
      <c r="AF22" s="42">
        <f>'6 - Curve'!$D$30</f>
        <v>3986.7456517223354</v>
      </c>
      <c r="AG22" s="42">
        <f>'6 - Curve'!$D$31</f>
        <v>4411.6231647171353</v>
      </c>
      <c r="AH22" s="58">
        <f>'6 - Curve'!$D$32</f>
        <v>17889.525787712497</v>
      </c>
      <c r="AI22" s="58">
        <f>'6 - Curve'!$D$33</f>
        <v>15611.845410610362</v>
      </c>
      <c r="AJ22" s="58">
        <f>'6 - Curve'!$D$34</f>
        <v>25000.000000000018</v>
      </c>
    </row>
    <row r="23" spans="1:36" ht="13.15" x14ac:dyDescent="0.4">
      <c r="A23">
        <v>22</v>
      </c>
      <c r="B23" s="42">
        <f>'6 - Thresholds'!$M22</f>
        <v>1991.1778011423132</v>
      </c>
      <c r="C23">
        <v>22</v>
      </c>
      <c r="D23" s="58">
        <f t="shared" si="0"/>
        <v>1991.1778011423148</v>
      </c>
      <c r="F23" s="135" t="s">
        <v>236</v>
      </c>
      <c r="G23" s="135">
        <f t="shared" ref="G23:AJ23" si="1">INT(G22+0.5)</f>
        <v>56</v>
      </c>
      <c r="H23" s="135">
        <f t="shared" si="1"/>
        <v>93</v>
      </c>
      <c r="I23" s="135">
        <f t="shared" si="1"/>
        <v>146</v>
      </c>
      <c r="J23" s="135">
        <f t="shared" si="1"/>
        <v>209</v>
      </c>
      <c r="K23" s="135">
        <f t="shared" si="1"/>
        <v>274</v>
      </c>
      <c r="L23" s="135">
        <f t="shared" si="1"/>
        <v>349</v>
      </c>
      <c r="M23" s="135">
        <f t="shared" si="1"/>
        <v>439</v>
      </c>
      <c r="N23" s="135">
        <f t="shared" si="1"/>
        <v>537</v>
      </c>
      <c r="O23" s="135">
        <f t="shared" si="1"/>
        <v>636</v>
      </c>
      <c r="P23" s="135">
        <f t="shared" si="1"/>
        <v>741</v>
      </c>
      <c r="Q23" s="135">
        <f t="shared" si="1"/>
        <v>855</v>
      </c>
      <c r="R23" s="135">
        <f t="shared" si="1"/>
        <v>971</v>
      </c>
      <c r="S23" s="135">
        <f t="shared" si="1"/>
        <v>1089</v>
      </c>
      <c r="T23" s="135">
        <f t="shared" si="1"/>
        <v>1207</v>
      </c>
      <c r="U23" s="135">
        <f t="shared" si="1"/>
        <v>1329</v>
      </c>
      <c r="V23" s="135">
        <f t="shared" si="1"/>
        <v>1461</v>
      </c>
      <c r="W23" s="135">
        <f t="shared" si="1"/>
        <v>1612</v>
      </c>
      <c r="X23" s="135">
        <f t="shared" si="1"/>
        <v>1798</v>
      </c>
      <c r="Y23" s="135">
        <f t="shared" si="1"/>
        <v>1991</v>
      </c>
      <c r="Z23" s="135">
        <f t="shared" si="1"/>
        <v>2200</v>
      </c>
      <c r="AA23" s="135">
        <f t="shared" si="1"/>
        <v>2450</v>
      </c>
      <c r="AB23" s="135">
        <f t="shared" si="1"/>
        <v>2722</v>
      </c>
      <c r="AC23" s="135">
        <f t="shared" si="1"/>
        <v>3003</v>
      </c>
      <c r="AD23" s="135">
        <f t="shared" si="1"/>
        <v>3305</v>
      </c>
      <c r="AE23" s="135">
        <f t="shared" si="1"/>
        <v>3629</v>
      </c>
      <c r="AF23" s="135">
        <f t="shared" si="1"/>
        <v>3987</v>
      </c>
      <c r="AG23" s="135">
        <f t="shared" si="1"/>
        <v>4412</v>
      </c>
      <c r="AH23" s="241">
        <f t="shared" si="1"/>
        <v>17890</v>
      </c>
      <c r="AI23" s="241">
        <f t="shared" si="1"/>
        <v>15612</v>
      </c>
      <c r="AJ23" s="241">
        <f t="shared" si="1"/>
        <v>25000</v>
      </c>
    </row>
    <row r="24" spans="1:36" ht="13.15" x14ac:dyDescent="0.4">
      <c r="A24">
        <v>23</v>
      </c>
      <c r="B24" s="42">
        <f>'6 - Thresholds'!$M23</f>
        <v>2200.058555676017</v>
      </c>
      <c r="C24">
        <v>23</v>
      </c>
      <c r="D24" s="58">
        <f t="shared" si="0"/>
        <v>2200.058555676017</v>
      </c>
    </row>
    <row r="25" spans="1:36" ht="13.15" x14ac:dyDescent="0.4">
      <c r="A25">
        <v>24</v>
      </c>
      <c r="B25" s="42">
        <f>'6 - Thresholds'!$M24</f>
        <v>2450.3878526020017</v>
      </c>
      <c r="C25">
        <v>24</v>
      </c>
      <c r="D25" s="58">
        <f t="shared" si="0"/>
        <v>2450.3878526020053</v>
      </c>
    </row>
    <row r="26" spans="1:36" ht="13.15" x14ac:dyDescent="0.4">
      <c r="A26">
        <v>25</v>
      </c>
      <c r="B26" s="42">
        <f>'6 - Thresholds'!$M25</f>
        <v>2721.9768471918637</v>
      </c>
      <c r="C26" s="8">
        <v>25</v>
      </c>
      <c r="D26" s="58">
        <f t="shared" si="0"/>
        <v>2721.976847191856</v>
      </c>
    </row>
    <row r="27" spans="1:36" ht="13.15" x14ac:dyDescent="0.4">
      <c r="A27">
        <v>26</v>
      </c>
      <c r="B27" s="42">
        <f>'6 - Thresholds'!$M26</f>
        <v>3002.6569572390667</v>
      </c>
      <c r="C27">
        <v>26</v>
      </c>
      <c r="D27" s="58">
        <f t="shared" si="0"/>
        <v>3002.6569572390699</v>
      </c>
      <c r="F27" s="50">
        <v>10</v>
      </c>
      <c r="G27">
        <f>CubicSpline(F27, $A$5:$A$107, $B$5:$B$107)</f>
        <v>439.28325476561304</v>
      </c>
    </row>
    <row r="28" spans="1:36" ht="13.15" x14ac:dyDescent="0.4">
      <c r="A28">
        <v>27</v>
      </c>
      <c r="B28" s="42">
        <f>'6 - Thresholds'!$M27</f>
        <v>3304.9038617650313</v>
      </c>
      <c r="C28">
        <v>27</v>
      </c>
      <c r="D28" s="58">
        <f t="shared" si="0"/>
        <v>3304.9038617650303</v>
      </c>
      <c r="F28" s="50">
        <v>11</v>
      </c>
      <c r="G28">
        <f>CubicSpline(F28, $A$5:$A$107, $B$5:$B$107)</f>
        <v>536.93474276608208</v>
      </c>
    </row>
    <row r="29" spans="1:36" ht="13.15" x14ac:dyDescent="0.4">
      <c r="A29">
        <v>28</v>
      </c>
      <c r="B29" s="42">
        <f>'6 - Thresholds'!$M28</f>
        <v>3629.2172924134661</v>
      </c>
      <c r="C29">
        <v>28</v>
      </c>
      <c r="D29" s="58">
        <f t="shared" si="0"/>
        <v>3629.2172924134729</v>
      </c>
      <c r="F29">
        <v>9</v>
      </c>
      <c r="G29">
        <f>CubicSpline(F29, $A$5:$A$107, $B$5:$B$107)</f>
        <v>348.98971315768063</v>
      </c>
    </row>
    <row r="30" spans="1:36" ht="13.15" x14ac:dyDescent="0.4">
      <c r="A30">
        <v>29</v>
      </c>
      <c r="B30" s="42">
        <f>'6 - Thresholds'!$M29</f>
        <v>3986.74565172232</v>
      </c>
      <c r="C30">
        <v>29</v>
      </c>
      <c r="D30" s="58">
        <f t="shared" si="0"/>
        <v>3986.7456517223354</v>
      </c>
    </row>
    <row r="31" spans="1:36" ht="13.15" x14ac:dyDescent="0.4">
      <c r="A31">
        <v>30</v>
      </c>
      <c r="B31" s="42">
        <f>'6 - Thresholds'!$M30</f>
        <v>4411.6231647171417</v>
      </c>
      <c r="C31">
        <v>30</v>
      </c>
      <c r="D31" s="58">
        <f>CubicSpline(C31,$A$5:$A$34,$B$5:$B$34)</f>
        <v>4411.6231647171353</v>
      </c>
    </row>
    <row r="32" spans="1:36" ht="13.15" x14ac:dyDescent="0.4">
      <c r="A32">
        <f>'6 - Spheres'!$G$40</f>
        <v>39</v>
      </c>
      <c r="B32">
        <f>'6 - Spheres'!$G$42</f>
        <v>18300</v>
      </c>
      <c r="C32" s="8">
        <v>38</v>
      </c>
      <c r="D32" s="58">
        <f t="shared" ref="D32:D34" si="2">CubicSpline(C32,$A$5:$A$34,$B$5:$B$34)</f>
        <v>17889.525787712497</v>
      </c>
    </row>
    <row r="33" spans="1:4" ht="13.15" x14ac:dyDescent="0.4">
      <c r="A33">
        <f>'6 - Spheres'!$C$40</f>
        <v>49.4</v>
      </c>
      <c r="B33">
        <f>'6 - Spheres'!$C$42</f>
        <v>15600</v>
      </c>
      <c r="C33" s="8">
        <v>50</v>
      </c>
      <c r="D33" s="58">
        <f t="shared" si="2"/>
        <v>15611.845410610362</v>
      </c>
    </row>
    <row r="34" spans="1:4" ht="13.15" x14ac:dyDescent="0.4">
      <c r="A34">
        <f>'6 - Spheres'!$N$40</f>
        <v>70</v>
      </c>
      <c r="B34">
        <f>'6 - Spheres'!$N$42</f>
        <v>25000</v>
      </c>
      <c r="C34" s="8">
        <v>70</v>
      </c>
      <c r="D34" s="58">
        <f t="shared" si="2"/>
        <v>25000.000000000018</v>
      </c>
    </row>
    <row r="36" spans="1:4" ht="40.15" x14ac:dyDescent="0.35">
      <c r="A36" s="115" t="s">
        <v>237</v>
      </c>
    </row>
    <row r="39" spans="1:4" ht="13.15" x14ac:dyDescent="0.4">
      <c r="A39" t="s">
        <v>238</v>
      </c>
    </row>
    <row r="40" spans="1:4" ht="13.15" x14ac:dyDescent="0.4">
      <c r="A40" t="s">
        <v>239</v>
      </c>
    </row>
    <row r="41" spans="1:4" x14ac:dyDescent="0.35">
      <c r="A41" t="s">
        <v>240</v>
      </c>
    </row>
    <row r="42" spans="1:4" x14ac:dyDescent="0.35">
      <c r="A42" t="s">
        <v>241</v>
      </c>
    </row>
    <row r="44" spans="1:4" x14ac:dyDescent="0.35">
      <c r="A44" t="s">
        <v>242</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zoomScaleNormal="100" workbookViewId="0">
      <selection activeCell="A15" sqref="A15"/>
    </sheetView>
  </sheetViews>
  <sheetFormatPr defaultColWidth="11.53125" defaultRowHeight="12.75" x14ac:dyDescent="0.35"/>
  <cols>
    <col min="2" max="2" width="15.19921875" customWidth="1"/>
  </cols>
  <sheetData>
    <row r="1" spans="1:15" ht="27.75" x14ac:dyDescent="0.4">
      <c r="A1" s="265" t="s">
        <v>293</v>
      </c>
      <c r="B1" s="265"/>
      <c r="C1" s="265"/>
      <c r="D1" s="265"/>
      <c r="E1" s="265"/>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243</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117</v>
      </c>
      <c r="B5" s="10"/>
      <c r="C5" s="12" t="s">
        <v>244</v>
      </c>
      <c r="E5" s="10"/>
      <c r="K5" s="10"/>
      <c r="L5" s="10"/>
      <c r="M5" s="10"/>
      <c r="N5" s="10"/>
      <c r="O5" s="10"/>
    </row>
    <row r="6" spans="1:15" ht="13.15" x14ac:dyDescent="0.4">
      <c r="A6" s="10" t="s">
        <v>22</v>
      </c>
      <c r="B6" s="10"/>
      <c r="C6" s="12" t="s">
        <v>23</v>
      </c>
      <c r="E6" s="10"/>
      <c r="K6" s="10"/>
      <c r="L6" s="10"/>
      <c r="M6" s="10"/>
      <c r="N6" s="10"/>
      <c r="O6" s="10"/>
    </row>
    <row r="7" spans="1:15" ht="13.15" x14ac:dyDescent="0.4">
      <c r="A7" s="10" t="s">
        <v>24</v>
      </c>
      <c r="B7" s="10"/>
      <c r="C7" s="12" t="s">
        <v>25</v>
      </c>
      <c r="E7" s="10"/>
      <c r="K7" s="10"/>
      <c r="L7" s="10"/>
      <c r="M7" s="10"/>
      <c r="N7" s="10"/>
      <c r="O7" s="10"/>
    </row>
    <row r="8" spans="1:15" ht="13.15" x14ac:dyDescent="0.4">
      <c r="A8" s="10" t="s">
        <v>26</v>
      </c>
      <c r="B8" s="10"/>
      <c r="C8" s="12" t="s">
        <v>23</v>
      </c>
      <c r="E8" s="10"/>
      <c r="K8" s="10"/>
      <c r="L8" s="10"/>
      <c r="M8" s="10"/>
      <c r="N8" s="10"/>
      <c r="O8" s="10"/>
    </row>
    <row r="9" spans="1:15" ht="13.15" x14ac:dyDescent="0.4">
      <c r="A9" s="10" t="s">
        <v>27</v>
      </c>
      <c r="B9" s="10"/>
      <c r="C9" s="12" t="s">
        <v>25</v>
      </c>
      <c r="E9" s="10"/>
      <c r="K9" s="10"/>
      <c r="L9" s="10"/>
      <c r="M9" s="10"/>
      <c r="N9" s="10"/>
      <c r="O9" s="10"/>
    </row>
    <row r="10" spans="1:15" ht="13.15" x14ac:dyDescent="0.4">
      <c r="A10" s="10" t="s">
        <v>28</v>
      </c>
      <c r="B10" s="10"/>
      <c r="C10" s="96">
        <v>45820</v>
      </c>
      <c r="E10" s="10"/>
      <c r="K10" s="10"/>
      <c r="L10" s="10"/>
      <c r="M10" s="10"/>
      <c r="N10" s="10"/>
      <c r="O10" s="10"/>
    </row>
    <row r="11" spans="1:15" ht="13.15" x14ac:dyDescent="0.4">
      <c r="A11" s="10" t="s">
        <v>29</v>
      </c>
      <c r="B11" s="10"/>
      <c r="C11" s="13" t="s">
        <v>30</v>
      </c>
      <c r="E11" s="10"/>
      <c r="K11" s="10"/>
      <c r="L11" s="10"/>
      <c r="M11" s="10"/>
      <c r="N11" s="10"/>
      <c r="O11" s="10"/>
    </row>
    <row r="12" spans="1:15" ht="13.15" x14ac:dyDescent="0.4">
      <c r="A12" s="10" t="s">
        <v>31</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245</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246</v>
      </c>
      <c r="C18" s="12" t="s">
        <v>39</v>
      </c>
      <c r="E18" s="10"/>
      <c r="I18" s="10"/>
      <c r="M18" s="10"/>
      <c r="N18" s="16"/>
      <c r="O18" s="10"/>
    </row>
    <row r="19" spans="1:15" ht="13.15" x14ac:dyDescent="0.4">
      <c r="A19" s="10"/>
      <c r="B19" s="10"/>
      <c r="C19" s="10"/>
      <c r="F19" s="10"/>
      <c r="G19" s="10"/>
      <c r="H19" s="27"/>
      <c r="I19" s="26"/>
      <c r="J19" s="26"/>
    </row>
    <row r="20" spans="1:15" ht="13.15" x14ac:dyDescent="0.4">
      <c r="A20" s="10" t="s">
        <v>247</v>
      </c>
      <c r="B20" s="17">
        <v>9105</v>
      </c>
      <c r="C20" s="18">
        <f>(B20-$B$26)/$B$26</f>
        <v>-2.9347992728705483E-3</v>
      </c>
      <c r="F20" s="10"/>
      <c r="G20" s="10"/>
      <c r="H20" s="28"/>
      <c r="I20" s="26"/>
      <c r="J20" s="26"/>
    </row>
    <row r="21" spans="1:15" ht="13.15" x14ac:dyDescent="0.4">
      <c r="A21" s="10" t="s">
        <v>248</v>
      </c>
      <c r="B21" s="19">
        <v>9129</v>
      </c>
      <c r="C21" s="18">
        <f>(B21-$B$26)/$B$26</f>
        <v>-3.0662081955356804E-4</v>
      </c>
      <c r="E21" s="10"/>
      <c r="F21" s="10"/>
      <c r="G21" s="10"/>
      <c r="H21" s="27"/>
      <c r="I21" s="26"/>
      <c r="J21" s="26"/>
    </row>
    <row r="22" spans="1:15" ht="13.15" x14ac:dyDescent="0.4">
      <c r="A22" s="10" t="s">
        <v>249</v>
      </c>
      <c r="B22" s="19">
        <v>9164</v>
      </c>
      <c r="C22" s="18">
        <f>(B22-$B$26)/$B$26</f>
        <v>3.5261394248670285E-3</v>
      </c>
      <c r="E22" s="10"/>
      <c r="F22" s="10"/>
      <c r="G22" s="10"/>
      <c r="H22" s="28"/>
      <c r="I22" s="26"/>
      <c r="J22" s="26"/>
    </row>
    <row r="23" spans="1:15" ht="13.15" x14ac:dyDescent="0.4">
      <c r="A23" s="10" t="s">
        <v>250</v>
      </c>
      <c r="B23" s="19">
        <v>9170</v>
      </c>
      <c r="C23" s="18">
        <f>(B23-$B$26)/$B$26</f>
        <v>4.1831840381962738E-3</v>
      </c>
      <c r="E23" s="10"/>
      <c r="F23" s="10"/>
      <c r="G23" s="10"/>
      <c r="H23" s="27"/>
      <c r="I23" s="26"/>
      <c r="J23" s="26"/>
    </row>
    <row r="24" spans="1:15" ht="13.15" x14ac:dyDescent="0.4">
      <c r="A24" s="10" t="s">
        <v>251</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50</v>
      </c>
      <c r="B26" s="21">
        <f>AVERAGE(B20:B24)</f>
        <v>9131.7999999999993</v>
      </c>
      <c r="C26" s="10"/>
      <c r="E26" s="10"/>
      <c r="F26" s="10"/>
      <c r="G26" s="10"/>
      <c r="H26" s="10"/>
      <c r="I26" s="18"/>
    </row>
    <row r="27" spans="1:15" ht="13.15" x14ac:dyDescent="0.4">
      <c r="A27" s="10" t="s">
        <v>51</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58</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267</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140</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141</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142</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143</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144</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145</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146</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158</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159</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160</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161</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162</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163</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164</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165</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166</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167</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168</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169</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181</v>
      </c>
      <c r="B52" s="186">
        <v>9.4013469999999995</v>
      </c>
      <c r="C52" s="186">
        <v>9.8436819999999994</v>
      </c>
      <c r="D52" s="186">
        <v>9.7738219999999991</v>
      </c>
      <c r="E52" s="186">
        <v>9.8394490000000001</v>
      </c>
      <c r="F52" s="186">
        <v>9.8386399999999998</v>
      </c>
      <c r="G52" s="186">
        <v>9.3964200000000009</v>
      </c>
      <c r="H52" s="186">
        <v>9.8391719999999996</v>
      </c>
      <c r="I52" s="186">
        <v>9.7717980000000004</v>
      </c>
      <c r="J52" s="186">
        <v>9.8409580000000005</v>
      </c>
      <c r="K52" s="186">
        <v>9.8377719999999993</v>
      </c>
      <c r="L52" s="186">
        <v>9.4034879999999994</v>
      </c>
      <c r="M52" s="186">
        <v>9.8474179999999993</v>
      </c>
      <c r="N52" s="186">
        <v>9.7709329999999994</v>
      </c>
      <c r="O52" s="186">
        <v>9.8387840000000004</v>
      </c>
      <c r="P52" s="186">
        <v>9.8422610000000006</v>
      </c>
      <c r="Q52" s="186">
        <v>9.3969489999999993</v>
      </c>
      <c r="R52" s="186">
        <v>9.8371519999999997</v>
      </c>
      <c r="S52" s="186">
        <v>9.7742649999999998</v>
      </c>
      <c r="T52" s="186">
        <v>9.8321760000000005</v>
      </c>
      <c r="U52" s="186">
        <v>9.1000800000000002</v>
      </c>
      <c r="V52" s="186">
        <v>9.3977529999999998</v>
      </c>
      <c r="W52" s="186">
        <v>9.8388399999999994</v>
      </c>
      <c r="X52" s="186">
        <v>9.7722610000000003</v>
      </c>
      <c r="Y52" s="186">
        <v>9.8395860000000006</v>
      </c>
      <c r="Z52" s="186">
        <v>9.8540539999999996</v>
      </c>
      <c r="AA52" s="50"/>
      <c r="AB52" s="50"/>
      <c r="AC52" s="50"/>
      <c r="AD52" s="50"/>
      <c r="AE52" s="50"/>
    </row>
    <row r="53" spans="1:31" ht="13.15" x14ac:dyDescent="0.4">
      <c r="A53" s="8">
        <v>4</v>
      </c>
      <c r="B53" s="186">
        <v>1838.779053</v>
      </c>
      <c r="C53" s="186">
        <v>1741.0151370000001</v>
      </c>
      <c r="D53" s="186">
        <v>1871.9392089999999</v>
      </c>
      <c r="E53" s="186">
        <v>1865.043457</v>
      </c>
      <c r="F53" s="186">
        <v>1799.740601</v>
      </c>
      <c r="G53" s="186">
        <v>1826.3339840000001</v>
      </c>
      <c r="H53" s="186">
        <v>1807.367432</v>
      </c>
      <c r="I53" s="186">
        <v>1885.8350829999999</v>
      </c>
      <c r="J53" s="186">
        <v>1797.4876710000001</v>
      </c>
      <c r="K53" s="186">
        <v>1750.1929929999999</v>
      </c>
      <c r="L53" s="186">
        <v>1868.0302730000001</v>
      </c>
      <c r="M53" s="186">
        <v>1786.965942</v>
      </c>
      <c r="N53" s="186">
        <v>1832.9876710000001</v>
      </c>
      <c r="O53" s="186">
        <v>1774.2030030000001</v>
      </c>
      <c r="P53" s="186">
        <v>1677.1552730000001</v>
      </c>
      <c r="Q53" s="186">
        <v>1752.4837649999999</v>
      </c>
      <c r="R53" s="186">
        <v>1785.7811280000001</v>
      </c>
      <c r="S53" s="186">
        <v>1859.2701420000001</v>
      </c>
      <c r="T53" s="186">
        <v>1825.231689</v>
      </c>
      <c r="U53" s="186">
        <v>1559.5467530000001</v>
      </c>
      <c r="V53" s="186">
        <v>1852.6770019999999</v>
      </c>
      <c r="W53" s="186">
        <v>1816.169312</v>
      </c>
      <c r="X53" s="186">
        <v>1907.951538</v>
      </c>
      <c r="Y53" s="186">
        <v>1826.3979489999999</v>
      </c>
      <c r="Z53" s="186">
        <v>1571.3328859999999</v>
      </c>
      <c r="AA53" s="50"/>
      <c r="AB53" s="50"/>
      <c r="AC53" s="50"/>
      <c r="AD53" s="50"/>
      <c r="AE53" s="50"/>
    </row>
    <row r="54" spans="1:31" ht="13.15" x14ac:dyDescent="0.4">
      <c r="A54" s="8">
        <v>5</v>
      </c>
      <c r="B54" s="186">
        <v>1813.7825929999999</v>
      </c>
      <c r="C54" s="186">
        <v>1715.1102289999999</v>
      </c>
      <c r="D54" s="186">
        <v>1844.825928</v>
      </c>
      <c r="E54" s="186">
        <v>1840.3469239999999</v>
      </c>
      <c r="F54" s="186">
        <v>1776.6683350000001</v>
      </c>
      <c r="G54" s="186">
        <v>1803.772217</v>
      </c>
      <c r="H54" s="186">
        <v>1784.8045649999999</v>
      </c>
      <c r="I54" s="186">
        <v>1861.274658</v>
      </c>
      <c r="J54" s="186">
        <v>1776.6563719999999</v>
      </c>
      <c r="K54" s="186">
        <v>1730.0664059999999</v>
      </c>
      <c r="L54" s="186">
        <v>1845.4853519999999</v>
      </c>
      <c r="M54" s="186">
        <v>1766.757568</v>
      </c>
      <c r="N54" s="186">
        <v>1810.0625</v>
      </c>
      <c r="O54" s="186">
        <v>1753.2653809999999</v>
      </c>
      <c r="P54" s="186">
        <v>1657.3426509999999</v>
      </c>
      <c r="Q54" s="186">
        <v>1731.9451899999999</v>
      </c>
      <c r="R54" s="186">
        <v>1763.7219239999999</v>
      </c>
      <c r="S54" s="186">
        <v>1836.0458980000001</v>
      </c>
      <c r="T54" s="186">
        <v>1801.9407960000001</v>
      </c>
      <c r="U54" s="186">
        <v>1530.645996</v>
      </c>
      <c r="V54" s="186">
        <v>1829.905518</v>
      </c>
      <c r="W54" s="186">
        <v>1793.4023440000001</v>
      </c>
      <c r="X54" s="186">
        <v>1883.1876219999999</v>
      </c>
      <c r="Y54" s="186">
        <v>1804.4458010000001</v>
      </c>
      <c r="Z54" s="186">
        <v>1553.4722899999999</v>
      </c>
      <c r="AA54" s="50"/>
      <c r="AB54" s="50"/>
      <c r="AC54" s="50"/>
      <c r="AD54" s="50"/>
      <c r="AE54" s="50"/>
    </row>
    <row r="55" spans="1:31" ht="13.15" x14ac:dyDescent="0.4">
      <c r="A55" s="8">
        <v>6</v>
      </c>
      <c r="B55" s="186">
        <v>1798.5720209999999</v>
      </c>
      <c r="C55" s="186">
        <v>1700.684692</v>
      </c>
      <c r="D55" s="186">
        <v>1830.501953</v>
      </c>
      <c r="E55" s="186">
        <v>1827.134888</v>
      </c>
      <c r="F55" s="186">
        <v>1764.0649410000001</v>
      </c>
      <c r="G55" s="186">
        <v>1792.278442</v>
      </c>
      <c r="H55" s="186">
        <v>1771.8969729999999</v>
      </c>
      <c r="I55" s="186">
        <v>1847.254639</v>
      </c>
      <c r="J55" s="186">
        <v>1765.783447</v>
      </c>
      <c r="K55" s="186">
        <v>1720.511475</v>
      </c>
      <c r="L55" s="186">
        <v>1834.0002440000001</v>
      </c>
      <c r="M55" s="186">
        <v>1754.0638429999999</v>
      </c>
      <c r="N55" s="186">
        <v>1797.6788329999999</v>
      </c>
      <c r="O55" s="186">
        <v>1740.7639160000001</v>
      </c>
      <c r="P55" s="186">
        <v>1646.2680660000001</v>
      </c>
      <c r="Q55" s="186">
        <v>1722.899658</v>
      </c>
      <c r="R55" s="186">
        <v>1753.14978</v>
      </c>
      <c r="S55" s="186">
        <v>1824.4849850000001</v>
      </c>
      <c r="T55" s="186">
        <v>1790.142822</v>
      </c>
      <c r="U55" s="186">
        <v>1513.8328859999999</v>
      </c>
      <c r="V55" s="186">
        <v>1818.413452</v>
      </c>
      <c r="W55" s="186">
        <v>1782.4255370000001</v>
      </c>
      <c r="X55" s="186">
        <v>1872.1358640000001</v>
      </c>
      <c r="Y55" s="186">
        <v>1792.351807</v>
      </c>
      <c r="Z55" s="186">
        <v>1542.6137699999999</v>
      </c>
      <c r="AA55" s="50"/>
      <c r="AB55" s="50"/>
      <c r="AC55" s="50"/>
      <c r="AD55" s="50"/>
      <c r="AE55" s="50"/>
    </row>
    <row r="56" spans="1:31" ht="13.15" x14ac:dyDescent="0.4">
      <c r="A56" s="8">
        <v>7</v>
      </c>
      <c r="B56" s="186">
        <v>1788.041626</v>
      </c>
      <c r="C56" s="186">
        <v>1691.033813</v>
      </c>
      <c r="D56" s="186">
        <v>1820.5775149999999</v>
      </c>
      <c r="E56" s="186">
        <v>1818.5977780000001</v>
      </c>
      <c r="F56" s="186">
        <v>1754.7139890000001</v>
      </c>
      <c r="G56" s="186">
        <v>1785.8930660000001</v>
      </c>
      <c r="H56" s="186">
        <v>1764.7825929999999</v>
      </c>
      <c r="I56" s="186">
        <v>1840.1936040000001</v>
      </c>
      <c r="J56" s="186">
        <v>1759.4832759999999</v>
      </c>
      <c r="K56" s="186">
        <v>1716.1405030000001</v>
      </c>
      <c r="L56" s="186">
        <v>1827.194336</v>
      </c>
      <c r="M56" s="186">
        <v>1747.0570070000001</v>
      </c>
      <c r="N56" s="186">
        <v>1789.5936280000001</v>
      </c>
      <c r="O56" s="186">
        <v>1733.3442379999999</v>
      </c>
      <c r="P56" s="186">
        <v>1639.5622559999999</v>
      </c>
      <c r="Q56" s="186">
        <v>1716.7274170000001</v>
      </c>
      <c r="R56" s="186">
        <v>1747.4570309999999</v>
      </c>
      <c r="S56" s="186">
        <v>1818.4487300000001</v>
      </c>
      <c r="T56" s="186">
        <v>1784.345581</v>
      </c>
      <c r="U56" s="186">
        <v>1505.9208980000001</v>
      </c>
      <c r="V56" s="186">
        <v>1811.9224850000001</v>
      </c>
      <c r="W56" s="186">
        <v>1773.3797609999999</v>
      </c>
      <c r="X56" s="186">
        <v>1864.8704829999999</v>
      </c>
      <c r="Y56" s="186">
        <v>1784.7294919999999</v>
      </c>
      <c r="Z56" s="186">
        <v>1535.9160159999999</v>
      </c>
      <c r="AA56" s="50"/>
      <c r="AB56" s="50"/>
      <c r="AC56" s="50"/>
      <c r="AD56" s="50"/>
      <c r="AE56" s="50"/>
    </row>
    <row r="57" spans="1:31" ht="13.15" x14ac:dyDescent="0.4">
      <c r="A57" s="8">
        <v>8</v>
      </c>
      <c r="B57" s="186">
        <v>1782.4041749999999</v>
      </c>
      <c r="C57" s="186">
        <v>1685.2432859999999</v>
      </c>
      <c r="D57" s="186">
        <v>1814.3363039999999</v>
      </c>
      <c r="E57" s="186">
        <v>1812.9063719999999</v>
      </c>
      <c r="F57" s="186">
        <v>1749.5303960000001</v>
      </c>
      <c r="G57" s="186">
        <v>1781.3167719999999</v>
      </c>
      <c r="H57" s="186">
        <v>1760.107422</v>
      </c>
      <c r="I57" s="186">
        <v>1837.1235349999999</v>
      </c>
      <c r="J57" s="186">
        <v>1755.1137699999999</v>
      </c>
      <c r="K57" s="186">
        <v>1712.3795170000001</v>
      </c>
      <c r="L57" s="186">
        <v>1822.30249</v>
      </c>
      <c r="M57" s="186">
        <v>1743.299683</v>
      </c>
      <c r="N57" s="186">
        <v>1785.3975829999999</v>
      </c>
      <c r="O57" s="186">
        <v>1728.973755</v>
      </c>
      <c r="P57" s="186">
        <v>1634.58374</v>
      </c>
      <c r="Q57" s="186">
        <v>1712.470703</v>
      </c>
      <c r="R57" s="186">
        <v>1743.594116</v>
      </c>
      <c r="S57" s="186">
        <v>1813.8447269999999</v>
      </c>
      <c r="T57" s="186">
        <v>1779.7687989999999</v>
      </c>
      <c r="U57" s="186">
        <v>1501.7451169999999</v>
      </c>
      <c r="V57" s="186">
        <v>1805.8572999999999</v>
      </c>
      <c r="W57" s="186">
        <v>1771.0419919999999</v>
      </c>
      <c r="X57" s="186">
        <v>1858.6282960000001</v>
      </c>
      <c r="Y57" s="186">
        <v>1780.359375</v>
      </c>
      <c r="Z57" s="186">
        <v>1532.871582</v>
      </c>
      <c r="AA57" s="50"/>
      <c r="AB57" s="50"/>
      <c r="AC57" s="50"/>
      <c r="AD57" s="50"/>
      <c r="AE57" s="50"/>
    </row>
    <row r="58" spans="1:31" ht="13.15" x14ac:dyDescent="0.4">
      <c r="A58" s="8">
        <v>9</v>
      </c>
      <c r="B58" s="186">
        <v>1779.4257809999999</v>
      </c>
      <c r="C58" s="186">
        <v>1679.8591309999999</v>
      </c>
      <c r="D58" s="186">
        <v>1809.322876</v>
      </c>
      <c r="E58" s="186">
        <v>1808.536255</v>
      </c>
      <c r="F58" s="186">
        <v>1745.7696530000001</v>
      </c>
      <c r="G58" s="186">
        <v>1777.6983640000001</v>
      </c>
      <c r="H58" s="186">
        <v>1756.753418</v>
      </c>
      <c r="I58" s="186">
        <v>1833.030029</v>
      </c>
      <c r="J58" s="186">
        <v>1752.674927</v>
      </c>
      <c r="K58" s="186">
        <v>1709.1267089999999</v>
      </c>
      <c r="L58" s="186">
        <v>1817.623413</v>
      </c>
      <c r="M58" s="186">
        <v>1740.2531739999999</v>
      </c>
      <c r="N58" s="186">
        <v>1781.099121</v>
      </c>
      <c r="O58" s="186">
        <v>1725.213135</v>
      </c>
      <c r="P58" s="186">
        <v>1630.7227780000001</v>
      </c>
      <c r="Q58" s="186">
        <v>1709.278198</v>
      </c>
      <c r="R58" s="186">
        <v>1740.2395019999999</v>
      </c>
      <c r="S58" s="186">
        <v>1809.3431399999999</v>
      </c>
      <c r="T58" s="186">
        <v>1776.412476</v>
      </c>
      <c r="U58" s="186">
        <v>1496.8000489999999</v>
      </c>
      <c r="V58" s="186">
        <v>1802.5585940000001</v>
      </c>
      <c r="W58" s="186">
        <v>1767.7895510000001</v>
      </c>
      <c r="X58" s="186">
        <v>1854.944336</v>
      </c>
      <c r="Y58" s="186">
        <v>1776.9039310000001</v>
      </c>
      <c r="Z58" s="186">
        <v>1530.7404790000001</v>
      </c>
      <c r="AA58" s="50"/>
      <c r="AB58" s="50"/>
      <c r="AC58" s="50"/>
      <c r="AD58" s="50"/>
      <c r="AE58" s="50"/>
    </row>
    <row r="59" spans="1:31" ht="13.15" x14ac:dyDescent="0.4">
      <c r="A59" s="8">
        <v>10</v>
      </c>
      <c r="B59" s="186">
        <v>1771.2354740000001</v>
      </c>
      <c r="C59" s="186">
        <v>1670.411499</v>
      </c>
      <c r="D59" s="186">
        <v>1800.5239260000001</v>
      </c>
      <c r="E59" s="186">
        <v>1799.7958980000001</v>
      </c>
      <c r="F59" s="186">
        <v>1738.5532229999999</v>
      </c>
      <c r="G59" s="186">
        <v>1769.929443</v>
      </c>
      <c r="H59" s="186">
        <v>1749.8422849999999</v>
      </c>
      <c r="I59" s="186">
        <v>1823.205933</v>
      </c>
      <c r="J59" s="186">
        <v>1746.273193</v>
      </c>
      <c r="K59" s="186">
        <v>1700.791504</v>
      </c>
      <c r="L59" s="186">
        <v>1809.3286129999999</v>
      </c>
      <c r="M59" s="186">
        <v>1733.246216</v>
      </c>
      <c r="N59" s="186">
        <v>1771.9904790000001</v>
      </c>
      <c r="O59" s="186">
        <v>1718.0985109999999</v>
      </c>
      <c r="P59" s="186">
        <v>1623.3057859999999</v>
      </c>
      <c r="Q59" s="186">
        <v>1701.9354249999999</v>
      </c>
      <c r="R59" s="186">
        <v>1733.6319579999999</v>
      </c>
      <c r="S59" s="186">
        <v>1800.135254</v>
      </c>
      <c r="T59" s="186">
        <v>1759.122314</v>
      </c>
      <c r="U59" s="186">
        <v>1488.009033</v>
      </c>
      <c r="V59" s="186">
        <v>1796.3869629999999</v>
      </c>
      <c r="W59" s="186">
        <v>1760.8781739999999</v>
      </c>
      <c r="X59" s="186">
        <v>1845.7346190000001</v>
      </c>
      <c r="Y59" s="186">
        <v>1771.1110839999999</v>
      </c>
      <c r="Z59" s="186">
        <v>1524.347168</v>
      </c>
      <c r="AA59" s="50"/>
      <c r="AB59" s="50"/>
      <c r="AC59" s="50"/>
      <c r="AD59" s="50"/>
      <c r="AE59" s="50"/>
    </row>
    <row r="60" spans="1:31" ht="13.15" x14ac:dyDescent="0.4">
      <c r="A60" s="8">
        <v>11</v>
      </c>
      <c r="B60" s="186">
        <v>1627.107178</v>
      </c>
      <c r="C60" s="186">
        <v>1540.6835940000001</v>
      </c>
      <c r="D60" s="186">
        <v>1664.2414550000001</v>
      </c>
      <c r="E60" s="186">
        <v>1658.527832</v>
      </c>
      <c r="F60" s="186">
        <v>1624.20813</v>
      </c>
      <c r="G60" s="186">
        <v>1620.5108640000001</v>
      </c>
      <c r="H60" s="186">
        <v>1619.0385739999999</v>
      </c>
      <c r="I60" s="186">
        <v>1655.273682</v>
      </c>
      <c r="J60" s="186">
        <v>1625.2482910000001</v>
      </c>
      <c r="K60" s="186">
        <v>1551.1641850000001</v>
      </c>
      <c r="L60" s="186">
        <v>1661.085693</v>
      </c>
      <c r="M60" s="186">
        <v>1613.2147219999999</v>
      </c>
      <c r="N60" s="186">
        <v>1603.940918</v>
      </c>
      <c r="O60" s="186">
        <v>1591.3551030000001</v>
      </c>
      <c r="P60" s="186">
        <v>1493.6607670000001</v>
      </c>
      <c r="Q60" s="186">
        <v>1554.8664550000001</v>
      </c>
      <c r="R60" s="186">
        <v>1615.9149170000001</v>
      </c>
      <c r="S60" s="186">
        <v>1646.261841</v>
      </c>
      <c r="T60" s="186">
        <v>1572.2867429999999</v>
      </c>
      <c r="U60" s="186">
        <v>1395.8120120000001</v>
      </c>
      <c r="V60" s="186">
        <v>1669.7608640000001</v>
      </c>
      <c r="W60" s="186">
        <v>1644.4011230000001</v>
      </c>
      <c r="X60" s="186">
        <v>1686.099121</v>
      </c>
      <c r="Y60" s="186">
        <v>1650.5775149999999</v>
      </c>
      <c r="Z60" s="186">
        <v>1441.9445800000001</v>
      </c>
      <c r="AA60" s="50"/>
      <c r="AB60" s="50"/>
      <c r="AC60" s="50"/>
      <c r="AD60" s="50"/>
      <c r="AE60" s="50"/>
    </row>
    <row r="61" spans="1:31" ht="13.15" x14ac:dyDescent="0.4">
      <c r="A61" s="8">
        <v>12</v>
      </c>
      <c r="B61" s="186">
        <v>879.66119400000002</v>
      </c>
      <c r="C61" s="186">
        <v>868.88214100000005</v>
      </c>
      <c r="D61" s="186">
        <v>892.79303000000004</v>
      </c>
      <c r="E61" s="186">
        <v>902.99774200000002</v>
      </c>
      <c r="F61" s="186">
        <v>923.80651899999998</v>
      </c>
      <c r="G61" s="186">
        <v>860.540527</v>
      </c>
      <c r="H61" s="186">
        <v>883.509277</v>
      </c>
      <c r="I61" s="186">
        <v>879.77667199999996</v>
      </c>
      <c r="J61" s="186">
        <v>894.72997999999995</v>
      </c>
      <c r="K61" s="186">
        <v>854.563354</v>
      </c>
      <c r="L61" s="186">
        <v>897.64562999999998</v>
      </c>
      <c r="M61" s="186">
        <v>909.98474099999999</v>
      </c>
      <c r="N61" s="186">
        <v>836.97229000000004</v>
      </c>
      <c r="O61" s="186">
        <v>861.28527799999995</v>
      </c>
      <c r="P61" s="186">
        <v>845.84222399999999</v>
      </c>
      <c r="Q61" s="186">
        <v>836.228882</v>
      </c>
      <c r="R61" s="186">
        <v>888.671875</v>
      </c>
      <c r="S61" s="186">
        <v>878.42919900000004</v>
      </c>
      <c r="T61" s="186">
        <v>850.26953100000003</v>
      </c>
      <c r="U61" s="186">
        <v>911.31073000000004</v>
      </c>
      <c r="V61" s="186">
        <v>920.21997099999999</v>
      </c>
      <c r="W61" s="186">
        <v>902.03716999999995</v>
      </c>
      <c r="X61" s="186">
        <v>886.07952899999998</v>
      </c>
      <c r="Y61" s="186">
        <v>918.02642800000001</v>
      </c>
      <c r="Z61" s="186">
        <v>872.73718299999996</v>
      </c>
      <c r="AA61" s="50"/>
      <c r="AB61" s="50"/>
      <c r="AC61" s="50"/>
      <c r="AD61" s="50"/>
      <c r="AE61" s="50"/>
    </row>
    <row r="62" spans="1:31" ht="13.15" x14ac:dyDescent="0.4">
      <c r="A62" s="8">
        <v>13</v>
      </c>
      <c r="B62" s="186">
        <v>199.22676100000001</v>
      </c>
      <c r="C62" s="186">
        <v>212.217331</v>
      </c>
      <c r="D62" s="186">
        <v>212.81336999999999</v>
      </c>
      <c r="E62" s="186">
        <v>217.08532700000001</v>
      </c>
      <c r="F62" s="186">
        <v>215.37529000000001</v>
      </c>
      <c r="G62" s="186">
        <v>204.86526499999999</v>
      </c>
      <c r="H62" s="186">
        <v>205.403458</v>
      </c>
      <c r="I62" s="186">
        <v>205.79631000000001</v>
      </c>
      <c r="J62" s="186">
        <v>207.09367399999999</v>
      </c>
      <c r="K62" s="186">
        <v>193.641403</v>
      </c>
      <c r="L62" s="186">
        <v>213.32508899999999</v>
      </c>
      <c r="M62" s="186">
        <v>210.71513400000001</v>
      </c>
      <c r="N62" s="186">
        <v>201.51606799999999</v>
      </c>
      <c r="O62" s="186">
        <v>206.12303199999999</v>
      </c>
      <c r="P62" s="186">
        <v>193.34986900000001</v>
      </c>
      <c r="Q62" s="186">
        <v>185.16648900000001</v>
      </c>
      <c r="R62" s="186">
        <v>195.58506800000001</v>
      </c>
      <c r="S62" s="186">
        <v>204.312027</v>
      </c>
      <c r="T62" s="186">
        <v>207.27862500000001</v>
      </c>
      <c r="U62" s="186">
        <v>279.22833300000002</v>
      </c>
      <c r="V62" s="186">
        <v>213.24246199999999</v>
      </c>
      <c r="W62" s="186">
        <v>203.98745700000001</v>
      </c>
      <c r="X62" s="186">
        <v>202.30732699999999</v>
      </c>
      <c r="Y62" s="186">
        <v>211.18774400000001</v>
      </c>
      <c r="Z62" s="186">
        <v>199.61326600000001</v>
      </c>
      <c r="AA62" s="50"/>
      <c r="AB62" s="50"/>
      <c r="AC62" s="50"/>
      <c r="AD62" s="50"/>
      <c r="AE62" s="50"/>
    </row>
    <row r="63" spans="1:31" ht="13.15" x14ac:dyDescent="0.4">
      <c r="A63" s="8">
        <v>14</v>
      </c>
      <c r="B63" s="186">
        <v>79.456695999999994</v>
      </c>
      <c r="C63" s="186">
        <v>76.597351000000003</v>
      </c>
      <c r="D63" s="186">
        <v>78.167991999999998</v>
      </c>
      <c r="E63" s="186">
        <v>79.374367000000007</v>
      </c>
      <c r="F63" s="186">
        <v>80.702208999999996</v>
      </c>
      <c r="G63" s="186">
        <v>73.964340000000007</v>
      </c>
      <c r="H63" s="186">
        <v>69.416404999999997</v>
      </c>
      <c r="I63" s="186">
        <v>76.342140000000001</v>
      </c>
      <c r="J63" s="186">
        <v>70.724823000000001</v>
      </c>
      <c r="K63" s="186">
        <v>66.580116000000004</v>
      </c>
      <c r="L63" s="186">
        <v>82.522568000000007</v>
      </c>
      <c r="M63" s="186">
        <v>75.552802999999997</v>
      </c>
      <c r="N63" s="186">
        <v>76.962967000000006</v>
      </c>
      <c r="O63" s="186">
        <v>79.379729999999995</v>
      </c>
      <c r="P63" s="186">
        <v>61.977626999999998</v>
      </c>
      <c r="Q63" s="186">
        <v>63.105590999999997</v>
      </c>
      <c r="R63" s="186">
        <v>64.144585000000006</v>
      </c>
      <c r="S63" s="186">
        <v>73.560516000000007</v>
      </c>
      <c r="T63" s="186">
        <v>74.144317999999998</v>
      </c>
      <c r="U63" s="186">
        <v>136.04276999999999</v>
      </c>
      <c r="V63" s="186">
        <v>66.611671000000001</v>
      </c>
      <c r="W63" s="186">
        <v>70.638405000000006</v>
      </c>
      <c r="X63" s="186">
        <v>69.584716999999998</v>
      </c>
      <c r="Y63" s="186">
        <v>68.600448999999998</v>
      </c>
      <c r="Z63" s="186">
        <v>62.207897000000003</v>
      </c>
      <c r="AA63" s="50"/>
      <c r="AB63" s="50"/>
      <c r="AC63" s="50"/>
      <c r="AD63" s="50"/>
      <c r="AE63" s="50"/>
    </row>
    <row r="64" spans="1:31" ht="13.15" x14ac:dyDescent="0.4">
      <c r="A64" s="8">
        <v>15</v>
      </c>
      <c r="B64" s="186">
        <v>68.288086000000007</v>
      </c>
      <c r="C64" s="186">
        <v>64.508376999999996</v>
      </c>
      <c r="D64" s="186">
        <v>67.220375000000004</v>
      </c>
      <c r="E64" s="186">
        <v>66.873665000000003</v>
      </c>
      <c r="F64" s="186">
        <v>69.216881000000001</v>
      </c>
      <c r="G64" s="186">
        <v>61.299945999999998</v>
      </c>
      <c r="H64" s="186">
        <v>58.643143000000002</v>
      </c>
      <c r="I64" s="186">
        <v>64.471244999999996</v>
      </c>
      <c r="J64" s="186">
        <v>60.156745999999998</v>
      </c>
      <c r="K64" s="186">
        <v>55.093772999999999</v>
      </c>
      <c r="L64" s="186">
        <v>71.569182999999995</v>
      </c>
      <c r="M64" s="186">
        <v>63.366866999999999</v>
      </c>
      <c r="N64" s="186">
        <v>64.067573999999993</v>
      </c>
      <c r="O64" s="186">
        <v>65.963431999999997</v>
      </c>
      <c r="P64" s="186">
        <v>51.715758999999998</v>
      </c>
      <c r="Q64" s="186">
        <v>53.102345</v>
      </c>
      <c r="R64" s="186">
        <v>53.267451999999999</v>
      </c>
      <c r="S64" s="186">
        <v>62.511093000000002</v>
      </c>
      <c r="T64" s="186">
        <v>63.159973000000001</v>
      </c>
      <c r="U64" s="186">
        <v>121.97695899999999</v>
      </c>
      <c r="V64" s="186">
        <v>56.290053999999998</v>
      </c>
      <c r="W64" s="186">
        <v>58.645122999999998</v>
      </c>
      <c r="X64" s="186">
        <v>59.249339999999997</v>
      </c>
      <c r="Y64" s="186">
        <v>57.827632999999999</v>
      </c>
      <c r="Z64" s="186">
        <v>51.653866000000001</v>
      </c>
      <c r="AA64" s="50"/>
      <c r="AB64" s="50"/>
      <c r="AC64" s="50"/>
      <c r="AD64" s="50"/>
      <c r="AE64" s="50"/>
    </row>
    <row r="65" spans="1:31" ht="13.15" x14ac:dyDescent="0.4">
      <c r="A65" s="8">
        <v>16</v>
      </c>
      <c r="B65" s="186">
        <v>57.864047999999997</v>
      </c>
      <c r="C65" s="186">
        <v>54.654342999999997</v>
      </c>
      <c r="D65" s="186">
        <v>55.863509999999998</v>
      </c>
      <c r="E65" s="186">
        <v>57.421913000000004</v>
      </c>
      <c r="F65" s="186">
        <v>61.797156999999999</v>
      </c>
      <c r="G65" s="186">
        <v>51.402557000000002</v>
      </c>
      <c r="H65" s="186">
        <v>48.784592000000004</v>
      </c>
      <c r="I65" s="186">
        <v>54.135379999999998</v>
      </c>
      <c r="J65" s="186">
        <v>50.198368000000002</v>
      </c>
      <c r="K65" s="186">
        <v>46.453606000000001</v>
      </c>
      <c r="L65" s="186">
        <v>61.785583000000003</v>
      </c>
      <c r="M65" s="186">
        <v>52.704169999999998</v>
      </c>
      <c r="N65" s="186">
        <v>54.856583000000001</v>
      </c>
      <c r="O65" s="186">
        <v>54.986469</v>
      </c>
      <c r="P65" s="186">
        <v>43.689148000000003</v>
      </c>
      <c r="Q65" s="186">
        <v>44.588940000000001</v>
      </c>
      <c r="R65" s="186">
        <v>45.338329000000002</v>
      </c>
      <c r="S65" s="186">
        <v>51.666285999999999</v>
      </c>
      <c r="T65" s="186">
        <v>54.006354999999999</v>
      </c>
      <c r="U65" s="186">
        <v>112.41660299999999</v>
      </c>
      <c r="V65" s="186">
        <v>48.415829000000002</v>
      </c>
      <c r="W65" s="186">
        <v>49.904254999999999</v>
      </c>
      <c r="X65" s="186">
        <v>50.960571000000002</v>
      </c>
      <c r="Y65" s="186">
        <v>48.579276999999998</v>
      </c>
      <c r="Z65" s="186">
        <v>43.230938000000002</v>
      </c>
      <c r="AA65" s="50"/>
      <c r="AB65" s="50"/>
      <c r="AC65" s="50"/>
      <c r="AD65" s="50"/>
      <c r="AE65" s="50"/>
    </row>
    <row r="66" spans="1:31" ht="13.15" x14ac:dyDescent="0.4">
      <c r="A66" s="8">
        <v>17</v>
      </c>
      <c r="B66" s="186">
        <v>42.866196000000002</v>
      </c>
      <c r="C66" s="186">
        <v>42.971724999999999</v>
      </c>
      <c r="D66" s="186">
        <v>41.027962000000002</v>
      </c>
      <c r="E66" s="186">
        <v>44.514687000000002</v>
      </c>
      <c r="F66" s="186">
        <v>48.990509000000003</v>
      </c>
      <c r="G66" s="186">
        <v>40.653782</v>
      </c>
      <c r="H66" s="186">
        <v>38.011325999999997</v>
      </c>
      <c r="I66" s="186">
        <v>40.831791000000003</v>
      </c>
      <c r="J66" s="186">
        <v>38.410896000000001</v>
      </c>
      <c r="K66" s="186">
        <v>36.288704000000003</v>
      </c>
      <c r="L66" s="186">
        <v>47.854584000000003</v>
      </c>
      <c r="M66" s="186">
        <v>40.822884000000002</v>
      </c>
      <c r="N66" s="186">
        <v>40.630713999999998</v>
      </c>
      <c r="O66" s="186">
        <v>41.773453000000003</v>
      </c>
      <c r="P66" s="186">
        <v>33.732086000000002</v>
      </c>
      <c r="Q66" s="186">
        <v>33.840770999999997</v>
      </c>
      <c r="R66" s="186">
        <v>33.038017000000004</v>
      </c>
      <c r="S66" s="186">
        <v>38.979911999999999</v>
      </c>
      <c r="T66" s="186">
        <v>39.970806000000003</v>
      </c>
      <c r="U66" s="186">
        <v>102.08702099999999</v>
      </c>
      <c r="V66" s="186">
        <v>37.349353999999998</v>
      </c>
      <c r="W66" s="186">
        <v>39.333903999999997</v>
      </c>
      <c r="X66" s="186">
        <v>38.169266</v>
      </c>
      <c r="Y66" s="186">
        <v>37.501575000000003</v>
      </c>
      <c r="Z66" s="186">
        <v>33.184311000000001</v>
      </c>
      <c r="AA66" s="50"/>
      <c r="AB66" s="50"/>
      <c r="AC66" s="50"/>
      <c r="AD66" s="50"/>
      <c r="AE66" s="50"/>
    </row>
    <row r="67" spans="1:31" ht="13.15" x14ac:dyDescent="0.4">
      <c r="A67" s="8">
        <v>18</v>
      </c>
      <c r="B67" s="186">
        <v>30.633907000000001</v>
      </c>
      <c r="C67" s="186">
        <v>32.914512999999999</v>
      </c>
      <c r="D67" s="186">
        <v>30.387295000000002</v>
      </c>
      <c r="E67" s="186">
        <v>32.11562</v>
      </c>
      <c r="F67" s="186">
        <v>35.065823000000002</v>
      </c>
      <c r="G67" s="186">
        <v>28.734348000000001</v>
      </c>
      <c r="H67" s="186">
        <v>27.542967000000001</v>
      </c>
      <c r="I67" s="186">
        <v>26.914186000000001</v>
      </c>
      <c r="J67" s="186">
        <v>28.046050999999999</v>
      </c>
      <c r="K67" s="186">
        <v>25.107309000000001</v>
      </c>
      <c r="L67" s="186">
        <v>33.817238000000003</v>
      </c>
      <c r="M67" s="186">
        <v>29.449345000000001</v>
      </c>
      <c r="N67" s="186">
        <v>28.963456999999998</v>
      </c>
      <c r="O67" s="186">
        <v>30.389935000000001</v>
      </c>
      <c r="P67" s="186">
        <v>23.673421999999999</v>
      </c>
      <c r="Q67" s="186">
        <v>23.943943000000001</v>
      </c>
      <c r="R67" s="186">
        <v>23.177441000000002</v>
      </c>
      <c r="S67" s="186">
        <v>25.577369999999998</v>
      </c>
      <c r="T67" s="186">
        <v>28.477927999999999</v>
      </c>
      <c r="U67" s="186">
        <v>91.647552000000005</v>
      </c>
      <c r="V67" s="186">
        <v>25.644428000000001</v>
      </c>
      <c r="W67" s="186">
        <v>28.865190999999999</v>
      </c>
      <c r="X67" s="186">
        <v>26.503592000000001</v>
      </c>
      <c r="Y67" s="186">
        <v>24.899422000000001</v>
      </c>
      <c r="Z67" s="186">
        <v>23.137684</v>
      </c>
      <c r="AA67" s="50"/>
      <c r="AB67" s="50"/>
      <c r="AC67" s="50"/>
      <c r="AD67" s="50"/>
      <c r="AE67" s="50"/>
    </row>
    <row r="68" spans="1:31" ht="13.15" x14ac:dyDescent="0.4">
      <c r="A68" s="8">
        <v>19</v>
      </c>
      <c r="B68" s="186">
        <v>21.486281999999999</v>
      </c>
      <c r="C68" s="186">
        <v>23.670003999999999</v>
      </c>
      <c r="D68" s="186">
        <v>22.09985</v>
      </c>
      <c r="E68" s="186">
        <v>24.696504999999998</v>
      </c>
      <c r="F68" s="186">
        <v>25.308375999999999</v>
      </c>
      <c r="G68" s="186">
        <v>20.859009</v>
      </c>
      <c r="H68" s="186">
        <v>19.310568</v>
      </c>
      <c r="I68" s="186">
        <v>19.239038000000001</v>
      </c>
      <c r="J68" s="186">
        <v>20.526457000000001</v>
      </c>
      <c r="K68" s="186">
        <v>16.772089000000001</v>
      </c>
      <c r="L68" s="186">
        <v>24.565351</v>
      </c>
      <c r="M68" s="186">
        <v>20.919188999999999</v>
      </c>
      <c r="N68" s="186">
        <v>20.366529</v>
      </c>
      <c r="O68" s="186">
        <v>22.258848</v>
      </c>
      <c r="P68" s="186">
        <v>17.069248000000002</v>
      </c>
      <c r="Q68" s="186">
        <v>17.346056000000001</v>
      </c>
      <c r="R68" s="186">
        <v>14.943350000000001</v>
      </c>
      <c r="S68" s="186">
        <v>17.597231000000001</v>
      </c>
      <c r="T68" s="186">
        <v>19.934549000000001</v>
      </c>
      <c r="U68" s="186">
        <v>82.306976000000006</v>
      </c>
      <c r="V68" s="186">
        <v>17.450980999999999</v>
      </c>
      <c r="W68" s="186">
        <v>20.022684000000002</v>
      </c>
      <c r="X68" s="186">
        <v>18.624146</v>
      </c>
      <c r="Y68" s="186">
        <v>16.667368</v>
      </c>
      <c r="Z68" s="186">
        <v>15.729566</v>
      </c>
      <c r="AA68" s="50"/>
      <c r="AB68" s="50"/>
      <c r="AC68" s="50"/>
      <c r="AD68" s="50"/>
      <c r="AE68" s="50"/>
    </row>
    <row r="69" spans="1:31" ht="13.15" x14ac:dyDescent="0.4">
      <c r="A69" s="8">
        <v>20</v>
      </c>
      <c r="B69" s="186">
        <v>18.720721999999999</v>
      </c>
      <c r="C69" s="186">
        <v>20.216013</v>
      </c>
      <c r="D69" s="186">
        <v>18.825797999999999</v>
      </c>
      <c r="E69" s="186">
        <v>21.139395</v>
      </c>
      <c r="F69" s="186">
        <v>21.242773</v>
      </c>
      <c r="G69" s="186">
        <v>18.091996999999999</v>
      </c>
      <c r="H69" s="186">
        <v>16.159894999999999</v>
      </c>
      <c r="I69" s="186">
        <v>15.554967</v>
      </c>
      <c r="J69" s="186">
        <v>16.156963000000001</v>
      </c>
      <c r="K69" s="186">
        <v>13.62097</v>
      </c>
      <c r="L69" s="186">
        <v>19.673549999999999</v>
      </c>
      <c r="M69" s="186">
        <v>18.482002000000001</v>
      </c>
      <c r="N69" s="186">
        <v>17.705576000000001</v>
      </c>
      <c r="O69" s="186">
        <v>17.888390000000001</v>
      </c>
      <c r="P69" s="186">
        <v>14.833989000000001</v>
      </c>
      <c r="Q69" s="186">
        <v>14.047112</v>
      </c>
      <c r="R69" s="186">
        <v>11.080443000000001</v>
      </c>
      <c r="S69" s="186">
        <v>13.811780000000001</v>
      </c>
      <c r="T69" s="186">
        <v>15.967980000000001</v>
      </c>
      <c r="U69" s="186">
        <v>76.592735000000005</v>
      </c>
      <c r="V69" s="186">
        <v>15.003587</v>
      </c>
      <c r="W69" s="186">
        <v>16.871905999999999</v>
      </c>
      <c r="X69" s="186">
        <v>15.656561999999999</v>
      </c>
      <c r="Y69" s="186">
        <v>12.602156000000001</v>
      </c>
      <c r="Z69" s="186">
        <v>13.192539</v>
      </c>
      <c r="AA69" s="50"/>
      <c r="AB69" s="50"/>
      <c r="AC69" s="50"/>
      <c r="AD69" s="50"/>
      <c r="AE69" s="50"/>
    </row>
    <row r="70" spans="1:31" ht="13.15" x14ac:dyDescent="0.4">
      <c r="A70" s="8">
        <v>21</v>
      </c>
      <c r="B70" s="186">
        <v>16.38063</v>
      </c>
      <c r="C70" s="186">
        <v>18.082664000000001</v>
      </c>
      <c r="D70" s="186">
        <v>17.495714</v>
      </c>
      <c r="E70" s="186">
        <v>19.208393000000001</v>
      </c>
      <c r="F70" s="186">
        <v>18.600131999999999</v>
      </c>
      <c r="G70" s="186">
        <v>15.537832999999999</v>
      </c>
      <c r="H70" s="186">
        <v>13.822301</v>
      </c>
      <c r="I70" s="186">
        <v>14.019938</v>
      </c>
      <c r="J70" s="186">
        <v>14.937571</v>
      </c>
      <c r="K70" s="186">
        <v>12.197884</v>
      </c>
      <c r="L70" s="186">
        <v>17.227650000000001</v>
      </c>
      <c r="M70" s="186">
        <v>17.060310000000001</v>
      </c>
      <c r="N70" s="186">
        <v>15.965722</v>
      </c>
      <c r="O70" s="186">
        <v>15.245786000000001</v>
      </c>
      <c r="P70" s="186">
        <v>13.513154999999999</v>
      </c>
      <c r="Q70" s="186">
        <v>12.876519999999999</v>
      </c>
      <c r="R70" s="186">
        <v>9.6572680000000002</v>
      </c>
      <c r="S70" s="186">
        <v>12.686375999999999</v>
      </c>
      <c r="T70" s="186">
        <v>14.645790999999999</v>
      </c>
      <c r="U70" s="186">
        <v>74.394951000000006</v>
      </c>
      <c r="V70" s="186">
        <v>12.875419000000001</v>
      </c>
      <c r="W70" s="186">
        <v>14.839147000000001</v>
      </c>
      <c r="X70" s="186">
        <v>14.121605000000001</v>
      </c>
      <c r="Y70" s="186">
        <v>10.976070999999999</v>
      </c>
      <c r="Z70" s="186">
        <v>11.873284999999999</v>
      </c>
      <c r="AA70" s="50"/>
      <c r="AB70" s="50"/>
      <c r="AC70" s="50"/>
      <c r="AD70" s="50"/>
      <c r="AE70" s="50"/>
    </row>
    <row r="71" spans="1:31" ht="13.15" x14ac:dyDescent="0.4">
      <c r="A71" s="8">
        <v>22</v>
      </c>
      <c r="B71" s="186">
        <v>13.615069999999999</v>
      </c>
      <c r="C71" s="186">
        <v>15.339788</v>
      </c>
      <c r="D71" s="186">
        <v>15.551746</v>
      </c>
      <c r="E71" s="186">
        <v>16.565968000000002</v>
      </c>
      <c r="F71" s="186">
        <v>16.364049999999999</v>
      </c>
      <c r="G71" s="186">
        <v>13.090093</v>
      </c>
      <c r="H71" s="186">
        <v>11.687975</v>
      </c>
      <c r="I71" s="186">
        <v>11.768560000000001</v>
      </c>
      <c r="J71" s="186">
        <v>12.498784000000001</v>
      </c>
      <c r="K71" s="186">
        <v>10.368200999999999</v>
      </c>
      <c r="L71" s="186">
        <v>14.781749</v>
      </c>
      <c r="M71" s="186">
        <v>15.029320999999999</v>
      </c>
      <c r="N71" s="186">
        <v>13.611801</v>
      </c>
      <c r="O71" s="186">
        <v>14.026123</v>
      </c>
      <c r="P71" s="186">
        <v>11.481101000000001</v>
      </c>
      <c r="Q71" s="186">
        <v>10.961004000000001</v>
      </c>
      <c r="R71" s="186">
        <v>8.5390569999999997</v>
      </c>
      <c r="S71" s="186">
        <v>10.947113999999999</v>
      </c>
      <c r="T71" s="186">
        <v>13.018481</v>
      </c>
      <c r="U71" s="186">
        <v>70.768615999999994</v>
      </c>
      <c r="V71" s="186">
        <v>11.066476</v>
      </c>
      <c r="W71" s="186">
        <v>12.501473000000001</v>
      </c>
      <c r="X71" s="186">
        <v>12.381987000000001</v>
      </c>
      <c r="Y71" s="186">
        <v>9.7565080000000002</v>
      </c>
      <c r="Z71" s="186">
        <v>10.554031</v>
      </c>
      <c r="AA71" s="50"/>
      <c r="AB71" s="50"/>
      <c r="AC71" s="50"/>
      <c r="AD71" s="50"/>
      <c r="AE71" s="50"/>
    </row>
    <row r="72" spans="1:31" ht="13.15" x14ac:dyDescent="0.4">
      <c r="A72" s="8">
        <v>23</v>
      </c>
      <c r="B72" s="186">
        <v>11.381347999999999</v>
      </c>
      <c r="C72" s="186">
        <v>11.885795999999999</v>
      </c>
      <c r="D72" s="186">
        <v>13.096208000000001</v>
      </c>
      <c r="E72" s="186">
        <v>12.907227000000001</v>
      </c>
      <c r="F72" s="186">
        <v>13.721408</v>
      </c>
      <c r="G72" s="186">
        <v>10.855199000000001</v>
      </c>
      <c r="H72" s="186">
        <v>9.4520149999999994</v>
      </c>
      <c r="I72" s="186">
        <v>9.9265249999999998</v>
      </c>
      <c r="J72" s="186">
        <v>10.466461000000001</v>
      </c>
      <c r="K72" s="186">
        <v>8.7418169999999993</v>
      </c>
      <c r="L72" s="186">
        <v>12.016817</v>
      </c>
      <c r="M72" s="186">
        <v>12.084386</v>
      </c>
      <c r="N72" s="186">
        <v>11.155537000000001</v>
      </c>
      <c r="O72" s="186">
        <v>11.485158999999999</v>
      </c>
      <c r="P72" s="186">
        <v>9.7538560000000007</v>
      </c>
      <c r="Q72" s="186">
        <v>9.0454889999999999</v>
      </c>
      <c r="R72" s="186">
        <v>6.9125699999999997</v>
      </c>
      <c r="S72" s="186">
        <v>8.4916870000000007</v>
      </c>
      <c r="T72" s="186">
        <v>11.492877999999999</v>
      </c>
      <c r="U72" s="186">
        <v>67.471939000000006</v>
      </c>
      <c r="V72" s="186">
        <v>9.1511239999999994</v>
      </c>
      <c r="W72" s="186">
        <v>10.468712999999999</v>
      </c>
      <c r="X72" s="186">
        <v>10.540037999999999</v>
      </c>
      <c r="Y72" s="186">
        <v>8.3336839999999999</v>
      </c>
      <c r="Z72" s="186">
        <v>8.1184849999999997</v>
      </c>
      <c r="AA72" s="50"/>
      <c r="AB72" s="50"/>
      <c r="AC72" s="50"/>
      <c r="AD72" s="50"/>
      <c r="AE72" s="50"/>
    </row>
    <row r="73" spans="1:31" ht="13.15" x14ac:dyDescent="0.4">
      <c r="A73" s="8">
        <v>24</v>
      </c>
      <c r="B73" s="186">
        <v>9.5730959999999996</v>
      </c>
      <c r="C73" s="186">
        <v>9.9556240000000003</v>
      </c>
      <c r="D73" s="186">
        <v>10.742983000000001</v>
      </c>
      <c r="E73" s="186">
        <v>11.281119</v>
      </c>
      <c r="F73" s="186">
        <v>11.790247000000001</v>
      </c>
      <c r="G73" s="186">
        <v>8.1946110000000001</v>
      </c>
      <c r="H73" s="186">
        <v>8.2324000000000002</v>
      </c>
      <c r="I73" s="186">
        <v>8.4938310000000001</v>
      </c>
      <c r="J73" s="186">
        <v>9.0438360000000007</v>
      </c>
      <c r="K73" s="186">
        <v>7.7253259999999999</v>
      </c>
      <c r="L73" s="186">
        <v>10.421664</v>
      </c>
      <c r="M73" s="186">
        <v>10.459595</v>
      </c>
      <c r="N73" s="186">
        <v>9.8250600000000006</v>
      </c>
      <c r="O73" s="186">
        <v>9.8589420000000008</v>
      </c>
      <c r="P73" s="186">
        <v>7.7218030000000004</v>
      </c>
      <c r="Q73" s="186">
        <v>8.3005669999999991</v>
      </c>
      <c r="R73" s="186">
        <v>5.4893939999999999</v>
      </c>
      <c r="S73" s="186">
        <v>6.5478069999999997</v>
      </c>
      <c r="T73" s="186">
        <v>9.6621539999999992</v>
      </c>
      <c r="U73" s="186">
        <v>64.175262000000004</v>
      </c>
      <c r="V73" s="186">
        <v>7.5549970000000002</v>
      </c>
      <c r="W73" s="186">
        <v>8.8425049999999992</v>
      </c>
      <c r="X73" s="186">
        <v>8.5957589999999993</v>
      </c>
      <c r="Y73" s="186">
        <v>6.605969</v>
      </c>
      <c r="Z73" s="186">
        <v>6.7992319999999999</v>
      </c>
      <c r="AA73" s="50"/>
      <c r="AB73" s="50"/>
      <c r="AC73" s="50"/>
      <c r="AD73" s="50"/>
      <c r="AE73" s="50"/>
    </row>
    <row r="74" spans="1:31" ht="13.15" x14ac:dyDescent="0.4">
      <c r="A74" s="8">
        <v>25</v>
      </c>
      <c r="B74" s="186">
        <v>7.9775799999999997</v>
      </c>
      <c r="C74" s="186">
        <v>8.8381559999999997</v>
      </c>
      <c r="D74" s="186">
        <v>8.9013290000000005</v>
      </c>
      <c r="E74" s="186">
        <v>9.5533809999999999</v>
      </c>
      <c r="F74" s="186">
        <v>10.062366000000001</v>
      </c>
      <c r="G74" s="186">
        <v>6.2789869999999999</v>
      </c>
      <c r="H74" s="186">
        <v>7.012785</v>
      </c>
      <c r="I74" s="186">
        <v>7.2658069999999997</v>
      </c>
      <c r="J74" s="186">
        <v>7.8244420000000003</v>
      </c>
      <c r="K74" s="186">
        <v>6.6071869999999997</v>
      </c>
      <c r="L74" s="186">
        <v>9.1455420000000007</v>
      </c>
      <c r="M74" s="186">
        <v>9.0379020000000008</v>
      </c>
      <c r="N74" s="186">
        <v>8.4945830000000004</v>
      </c>
      <c r="O74" s="186">
        <v>8.3343629999999997</v>
      </c>
      <c r="P74" s="186">
        <v>6.6041730000000003</v>
      </c>
      <c r="Q74" s="186">
        <v>6.9171389999999997</v>
      </c>
      <c r="R74" s="186">
        <v>4.9811170000000002</v>
      </c>
      <c r="S74" s="186">
        <v>5.2177829999999998</v>
      </c>
      <c r="T74" s="186">
        <v>8.1365510000000008</v>
      </c>
      <c r="U74" s="186">
        <v>62.856594000000001</v>
      </c>
      <c r="V74" s="186">
        <v>6.3845049999999999</v>
      </c>
      <c r="W74" s="186">
        <v>6.8097450000000004</v>
      </c>
      <c r="X74" s="186">
        <v>6.7538109999999998</v>
      </c>
      <c r="Y74" s="186">
        <v>5.3864049999999999</v>
      </c>
      <c r="Z74" s="186">
        <v>5.3784970000000003</v>
      </c>
      <c r="AA74" s="50"/>
      <c r="AB74" s="50"/>
      <c r="AC74" s="50"/>
      <c r="AD74" s="50"/>
      <c r="AE74" s="50"/>
    </row>
    <row r="75" spans="1:31" ht="13.15" x14ac:dyDescent="0.4">
      <c r="A75" s="8">
        <v>26</v>
      </c>
      <c r="B75" s="186">
        <v>6.9139030000000004</v>
      </c>
      <c r="C75" s="186">
        <v>7.923864</v>
      </c>
      <c r="D75" s="186">
        <v>7.7758729999999998</v>
      </c>
      <c r="E75" s="186">
        <v>8.5370640000000009</v>
      </c>
      <c r="F75" s="186">
        <v>8.5377659999999995</v>
      </c>
      <c r="G75" s="186">
        <v>5.4275989999999998</v>
      </c>
      <c r="H75" s="186">
        <v>6.1997080000000002</v>
      </c>
      <c r="I75" s="186">
        <v>5.9354480000000001</v>
      </c>
      <c r="J75" s="186">
        <v>6.8082799999999999</v>
      </c>
      <c r="K75" s="186">
        <v>4.9808029999999999</v>
      </c>
      <c r="L75" s="186">
        <v>7.3377030000000003</v>
      </c>
      <c r="M75" s="186">
        <v>7.1084620000000003</v>
      </c>
      <c r="N75" s="186">
        <v>7.3687940000000003</v>
      </c>
      <c r="O75" s="186">
        <v>7.521255</v>
      </c>
      <c r="P75" s="186">
        <v>5.080133</v>
      </c>
      <c r="Q75" s="186">
        <v>5.4272939999999998</v>
      </c>
      <c r="R75" s="186">
        <v>4.0662180000000001</v>
      </c>
      <c r="S75" s="186">
        <v>4.0923790000000002</v>
      </c>
      <c r="T75" s="186">
        <v>7.5263090000000004</v>
      </c>
      <c r="U75" s="186">
        <v>60.658810000000003</v>
      </c>
      <c r="V75" s="186">
        <v>5.7460550000000001</v>
      </c>
      <c r="W75" s="186">
        <v>5.3868140000000002</v>
      </c>
      <c r="X75" s="186">
        <v>5.3211839999999997</v>
      </c>
      <c r="Y75" s="186">
        <v>4.3701020000000002</v>
      </c>
      <c r="Z75" s="186">
        <v>4.3636860000000004</v>
      </c>
      <c r="AA75" s="50"/>
      <c r="AB75" s="50"/>
      <c r="AC75" s="50"/>
      <c r="AD75" s="50"/>
      <c r="AE75" s="50"/>
    </row>
    <row r="76" spans="1:31" ht="13.15" x14ac:dyDescent="0.4">
      <c r="A76" s="8">
        <v>27</v>
      </c>
      <c r="B76" s="186">
        <v>5.9565929999999998</v>
      </c>
      <c r="C76" s="186">
        <v>6.6032200000000003</v>
      </c>
      <c r="D76" s="186">
        <v>6.8550459999999998</v>
      </c>
      <c r="E76" s="186">
        <v>7.3174830000000002</v>
      </c>
      <c r="F76" s="186">
        <v>7.3180839999999998</v>
      </c>
      <c r="G76" s="186">
        <v>4.3633639999999998</v>
      </c>
      <c r="H76" s="186">
        <v>4.8784590000000003</v>
      </c>
      <c r="I76" s="186">
        <v>5.2191010000000002</v>
      </c>
      <c r="J76" s="186">
        <v>5.5888869999999997</v>
      </c>
      <c r="K76" s="186">
        <v>3.862663</v>
      </c>
      <c r="L76" s="186">
        <v>6.2742680000000002</v>
      </c>
      <c r="M76" s="186">
        <v>5.9914180000000004</v>
      </c>
      <c r="N76" s="186">
        <v>6.6523839999999996</v>
      </c>
      <c r="O76" s="186">
        <v>6.5048690000000002</v>
      </c>
      <c r="P76" s="186">
        <v>3.962504</v>
      </c>
      <c r="Q76" s="186">
        <v>4.3631180000000001</v>
      </c>
      <c r="R76" s="186">
        <v>3.5579399999999999</v>
      </c>
      <c r="S76" s="186">
        <v>3.580832</v>
      </c>
      <c r="T76" s="186">
        <v>6.7126539999999997</v>
      </c>
      <c r="U76" s="186">
        <v>58.790694999999999</v>
      </c>
      <c r="V76" s="186">
        <v>4.6819709999999999</v>
      </c>
      <c r="W76" s="186">
        <v>4.4720719999999998</v>
      </c>
      <c r="X76" s="186">
        <v>4.5025409999999999</v>
      </c>
      <c r="Y76" s="186">
        <v>3.3538000000000001</v>
      </c>
      <c r="Z76" s="186">
        <v>3.4503560000000002</v>
      </c>
      <c r="AA76" s="50"/>
      <c r="AB76" s="50"/>
      <c r="AC76" s="50"/>
      <c r="AD76" s="50"/>
      <c r="AE76" s="50"/>
    </row>
    <row r="77" spans="1:31" ht="13.15" x14ac:dyDescent="0.4">
      <c r="A77" s="8">
        <v>28</v>
      </c>
      <c r="B77" s="186">
        <v>5.3183870000000004</v>
      </c>
      <c r="C77" s="186">
        <v>5.6889279999999998</v>
      </c>
      <c r="D77" s="186">
        <v>5.4226479999999997</v>
      </c>
      <c r="E77" s="186">
        <v>6.6060610000000004</v>
      </c>
      <c r="F77" s="186">
        <v>6.0984040000000004</v>
      </c>
      <c r="G77" s="186">
        <v>3.6183999999999998</v>
      </c>
      <c r="H77" s="186">
        <v>3.9637479999999998</v>
      </c>
      <c r="I77" s="186">
        <v>4.6050890000000004</v>
      </c>
      <c r="J77" s="186">
        <v>4.97919</v>
      </c>
      <c r="K77" s="186">
        <v>2.8461729999999998</v>
      </c>
      <c r="L77" s="186">
        <v>5.8488939999999996</v>
      </c>
      <c r="M77" s="186">
        <v>4.8743740000000004</v>
      </c>
      <c r="N77" s="186">
        <v>5.9359739999999999</v>
      </c>
      <c r="O77" s="186">
        <v>5.590122</v>
      </c>
      <c r="P77" s="186">
        <v>3.454491</v>
      </c>
      <c r="Q77" s="186">
        <v>3.5117780000000001</v>
      </c>
      <c r="R77" s="186">
        <v>3.252974</v>
      </c>
      <c r="S77" s="186">
        <v>3.2739029999999998</v>
      </c>
      <c r="T77" s="186">
        <v>5.7972919999999997</v>
      </c>
      <c r="U77" s="186">
        <v>55.494019000000002</v>
      </c>
      <c r="V77" s="186">
        <v>3.6178859999999999</v>
      </c>
      <c r="W77" s="186">
        <v>3.862244</v>
      </c>
      <c r="X77" s="186">
        <v>3.7862269999999998</v>
      </c>
      <c r="Y77" s="186">
        <v>2.5407570000000002</v>
      </c>
      <c r="Z77" s="186">
        <v>3.044432</v>
      </c>
      <c r="AA77" s="50"/>
      <c r="AB77" s="50"/>
      <c r="AC77" s="50"/>
      <c r="AD77" s="50"/>
      <c r="AE77" s="50"/>
    </row>
    <row r="78" spans="1:31" ht="13.15" x14ac:dyDescent="0.4">
      <c r="A78" s="8">
        <v>29</v>
      </c>
      <c r="B78" s="186">
        <v>3.9356059999999999</v>
      </c>
      <c r="C78" s="186">
        <v>4.165108</v>
      </c>
      <c r="D78" s="186">
        <v>4.6041359999999996</v>
      </c>
      <c r="E78" s="186">
        <v>5.5897439999999996</v>
      </c>
      <c r="F78" s="186">
        <v>5.2852829999999997</v>
      </c>
      <c r="G78" s="186">
        <v>2.9798580000000001</v>
      </c>
      <c r="H78" s="186">
        <v>3.150671</v>
      </c>
      <c r="I78" s="186">
        <v>3.5817359999999998</v>
      </c>
      <c r="J78" s="186">
        <v>4.2678770000000004</v>
      </c>
      <c r="K78" s="186">
        <v>2.1346289999999999</v>
      </c>
      <c r="L78" s="186">
        <v>4.9981450000000001</v>
      </c>
      <c r="M78" s="186">
        <v>3.8588800000000001</v>
      </c>
      <c r="N78" s="186">
        <v>5.219563</v>
      </c>
      <c r="O78" s="186">
        <v>4.4720969999999998</v>
      </c>
      <c r="P78" s="186">
        <v>3.0480800000000001</v>
      </c>
      <c r="Q78" s="186">
        <v>2.6604380000000001</v>
      </c>
      <c r="R78" s="186">
        <v>2.7446969999999999</v>
      </c>
      <c r="S78" s="186">
        <v>2.4554269999999998</v>
      </c>
      <c r="T78" s="186">
        <v>5.2887579999999996</v>
      </c>
      <c r="U78" s="186">
        <v>53.516013999999998</v>
      </c>
      <c r="V78" s="186">
        <v>3.0858439999999998</v>
      </c>
      <c r="W78" s="186">
        <v>3.04914</v>
      </c>
      <c r="X78" s="186">
        <v>2.967584</v>
      </c>
      <c r="Y78" s="186">
        <v>2.0326059999999999</v>
      </c>
      <c r="Z78" s="186">
        <v>2.6385079999999999</v>
      </c>
      <c r="AA78" s="50"/>
      <c r="AB78" s="50"/>
      <c r="AC78" s="50"/>
      <c r="AD78" s="50"/>
      <c r="AE78" s="50"/>
    </row>
    <row r="79" spans="1:31" ht="13.15" x14ac:dyDescent="0.4">
      <c r="A79" s="8">
        <v>30</v>
      </c>
      <c r="B79" s="186">
        <v>2.7655609999999999</v>
      </c>
      <c r="C79" s="186">
        <v>3.758756</v>
      </c>
      <c r="D79" s="186">
        <v>3.580994</v>
      </c>
      <c r="E79" s="186">
        <v>3.9636369999999999</v>
      </c>
      <c r="F79" s="186">
        <v>4.2688829999999998</v>
      </c>
      <c r="G79" s="186">
        <v>2.3413170000000001</v>
      </c>
      <c r="H79" s="186">
        <v>2.6424989999999999</v>
      </c>
      <c r="I79" s="186">
        <v>2.967724</v>
      </c>
      <c r="J79" s="186">
        <v>3.4549479999999999</v>
      </c>
      <c r="K79" s="186">
        <v>1.6263840000000001</v>
      </c>
      <c r="L79" s="186">
        <v>3.7220230000000001</v>
      </c>
      <c r="M79" s="186">
        <v>3.4526819999999998</v>
      </c>
      <c r="N79" s="186">
        <v>4.4008079999999996</v>
      </c>
      <c r="O79" s="186">
        <v>3.7606269999999999</v>
      </c>
      <c r="P79" s="186">
        <v>2.844875</v>
      </c>
      <c r="Q79" s="186">
        <v>2.1283500000000002</v>
      </c>
      <c r="R79" s="186">
        <v>2.4397310000000001</v>
      </c>
      <c r="S79" s="186">
        <v>1.636952</v>
      </c>
      <c r="T79" s="186">
        <v>4.6785170000000003</v>
      </c>
      <c r="U79" s="186">
        <v>51.86768</v>
      </c>
      <c r="V79" s="186">
        <v>2.7666189999999999</v>
      </c>
      <c r="W79" s="186">
        <v>2.6425879999999999</v>
      </c>
      <c r="X79" s="186">
        <v>2.3536009999999998</v>
      </c>
      <c r="Y79" s="186">
        <v>1.4228240000000001</v>
      </c>
      <c r="Z79" s="186">
        <v>1.826659</v>
      </c>
      <c r="AA79" s="50"/>
      <c r="AB79" s="50"/>
      <c r="AC79" s="50"/>
      <c r="AD79" s="50"/>
      <c r="AE79" s="50"/>
    </row>
    <row r="80" spans="1:31" ht="13.15" x14ac:dyDescent="0.4">
      <c r="A80" s="8">
        <v>38</v>
      </c>
      <c r="B80" s="186">
        <v>0.42547099999999999</v>
      </c>
      <c r="C80" s="186">
        <v>0.91429199999999999</v>
      </c>
      <c r="D80" s="186">
        <v>0.71619900000000003</v>
      </c>
      <c r="E80" s="186">
        <v>0.81305400000000005</v>
      </c>
      <c r="F80" s="186">
        <v>0.91476100000000005</v>
      </c>
      <c r="G80" s="186">
        <v>0.31927100000000003</v>
      </c>
      <c r="H80" s="186">
        <v>0.20326900000000001</v>
      </c>
      <c r="I80" s="186">
        <v>0.307006</v>
      </c>
      <c r="J80" s="186">
        <v>0.30484800000000001</v>
      </c>
      <c r="K80" s="186">
        <v>0</v>
      </c>
      <c r="L80" s="186">
        <v>1.276122</v>
      </c>
      <c r="M80" s="186">
        <v>0.60929699999999998</v>
      </c>
      <c r="N80" s="186">
        <v>0.51172200000000001</v>
      </c>
      <c r="O80" s="186">
        <v>0.40655400000000003</v>
      </c>
      <c r="P80" s="186">
        <v>0.40641100000000002</v>
      </c>
      <c r="Q80" s="186">
        <v>0.31925300000000001</v>
      </c>
      <c r="R80" s="186">
        <v>0</v>
      </c>
      <c r="S80" s="186">
        <v>0.30692799999999998</v>
      </c>
      <c r="T80" s="186">
        <v>1.3221890000000001</v>
      </c>
      <c r="U80" s="186">
        <v>35.164527999999997</v>
      </c>
      <c r="V80" s="186">
        <v>0.31922499999999998</v>
      </c>
      <c r="W80" s="186">
        <v>0.20327600000000001</v>
      </c>
      <c r="X80" s="186">
        <v>0.20466100000000001</v>
      </c>
      <c r="Y80" s="186">
        <v>0.203261</v>
      </c>
      <c r="Z80" s="186">
        <v>0.30444300000000002</v>
      </c>
      <c r="AA80" s="50"/>
      <c r="AB80" s="50"/>
      <c r="AC80" s="50"/>
      <c r="AD80" s="50"/>
      <c r="AE80" s="50"/>
    </row>
    <row r="81" spans="1:32" ht="13.15" x14ac:dyDescent="0.4">
      <c r="A81" s="8">
        <v>50</v>
      </c>
      <c r="B81" s="186">
        <v>0</v>
      </c>
      <c r="C81" s="186">
        <v>0.30476399999999998</v>
      </c>
      <c r="D81" s="186">
        <v>0.30694199999999999</v>
      </c>
      <c r="E81" s="186">
        <v>0</v>
      </c>
      <c r="F81" s="186">
        <v>0.50819999999999999</v>
      </c>
      <c r="G81" s="186">
        <v>0.21284700000000001</v>
      </c>
      <c r="H81" s="186">
        <v>0</v>
      </c>
      <c r="I81" s="186">
        <v>0.102335</v>
      </c>
      <c r="J81" s="186">
        <v>0.101616</v>
      </c>
      <c r="K81" s="186">
        <v>0</v>
      </c>
      <c r="L81" s="186">
        <v>0.21268699999999999</v>
      </c>
      <c r="M81" s="186">
        <v>0.30464799999999997</v>
      </c>
      <c r="N81" s="186">
        <v>0.20468900000000001</v>
      </c>
      <c r="O81" s="186">
        <v>0</v>
      </c>
      <c r="P81" s="186">
        <v>0.101603</v>
      </c>
      <c r="Q81" s="186">
        <v>0.106418</v>
      </c>
      <c r="R81" s="186">
        <v>0</v>
      </c>
      <c r="S81" s="186">
        <v>0</v>
      </c>
      <c r="T81" s="186">
        <v>0.50853400000000004</v>
      </c>
      <c r="U81" s="186">
        <v>22.747053000000001</v>
      </c>
      <c r="V81" s="186">
        <v>0.106408</v>
      </c>
      <c r="W81" s="186">
        <v>0</v>
      </c>
      <c r="X81" s="186">
        <v>0</v>
      </c>
      <c r="Y81" s="186">
        <v>0.10163</v>
      </c>
      <c r="Z81" s="186">
        <v>0</v>
      </c>
      <c r="AA81" s="50"/>
      <c r="AB81" s="50"/>
      <c r="AC81" s="50"/>
      <c r="AD81" s="50"/>
      <c r="AE81" s="50"/>
    </row>
    <row r="82" spans="1:32" ht="13.15" x14ac:dyDescent="0.4">
      <c r="A82" s="8">
        <v>70</v>
      </c>
      <c r="B82" s="186">
        <v>0</v>
      </c>
      <c r="C82" s="186">
        <v>0</v>
      </c>
      <c r="D82" s="186">
        <v>0</v>
      </c>
      <c r="E82" s="186">
        <v>0</v>
      </c>
      <c r="F82" s="186">
        <v>0.30492000000000002</v>
      </c>
      <c r="G82" s="186">
        <v>0.106424</v>
      </c>
      <c r="H82" s="186">
        <v>0</v>
      </c>
      <c r="I82" s="186">
        <v>0</v>
      </c>
      <c r="J82" s="186">
        <v>0.101616</v>
      </c>
      <c r="K82" s="186">
        <v>0</v>
      </c>
      <c r="L82" s="186">
        <v>0.10634399999999999</v>
      </c>
      <c r="M82" s="186">
        <v>0</v>
      </c>
      <c r="N82" s="186">
        <v>0</v>
      </c>
      <c r="O82" s="186">
        <v>0</v>
      </c>
      <c r="P82" s="186">
        <v>0</v>
      </c>
      <c r="Q82" s="186">
        <v>0</v>
      </c>
      <c r="R82" s="186">
        <v>0</v>
      </c>
      <c r="S82" s="186">
        <v>0</v>
      </c>
      <c r="T82" s="186">
        <v>0.20341400000000001</v>
      </c>
      <c r="U82" s="186">
        <v>13.955921999999999</v>
      </c>
      <c r="V82" s="186">
        <v>0.106408</v>
      </c>
      <c r="W82" s="186">
        <v>0</v>
      </c>
      <c r="X82" s="186">
        <v>0</v>
      </c>
      <c r="Y82" s="186">
        <v>0.10163</v>
      </c>
      <c r="Z82" s="186">
        <v>0</v>
      </c>
      <c r="AA82" s="50"/>
      <c r="AB82" s="50"/>
      <c r="AC82" s="50"/>
      <c r="AD82" s="50"/>
      <c r="AE82" s="50"/>
    </row>
    <row r="92" spans="1:32" x14ac:dyDescent="0.35">
      <c r="A92" t="s">
        <v>351</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140</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141</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142</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143</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144</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145</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146</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158</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159</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160</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161</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162</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163</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164</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165</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166</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167</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168</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169</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183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140</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141</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142</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143</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144</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145</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146</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158</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159</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160</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161</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162</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163</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164</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165</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166</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167</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168</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169</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127</v>
      </c>
    </row>
    <row r="2" spans="1:49" ht="40.15" x14ac:dyDescent="0.4">
      <c r="A2" s="260" t="s">
        <v>352</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140</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141</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142</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143</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144</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145</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146</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158</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159</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160</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161</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162</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163</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164</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165</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166</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167</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168</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169</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127</v>
      </c>
    </row>
    <row r="2" spans="1:49" ht="40.15" x14ac:dyDescent="0.4">
      <c r="A2" s="260" t="s">
        <v>353</v>
      </c>
      <c r="B2" s="260"/>
      <c r="C2" s="260"/>
      <c r="D2" s="260"/>
      <c r="E2" s="260"/>
      <c r="H2" s="72" t="s">
        <v>128</v>
      </c>
    </row>
    <row r="3" spans="1:49" ht="13.15" x14ac:dyDescent="0.4">
      <c r="A3" t="s">
        <v>129</v>
      </c>
      <c r="B3" s="73" t="s">
        <v>25</v>
      </c>
      <c r="D3" t="s">
        <v>130</v>
      </c>
      <c r="E3" s="8">
        <f>'Clause 6'!$G$11</f>
        <v>1</v>
      </c>
    </row>
    <row r="4" spans="1:49" ht="18.100000000000001" customHeight="1" x14ac:dyDescent="1.05">
      <c r="A4" s="8" t="s">
        <v>28</v>
      </c>
      <c r="B4" s="74">
        <f>'Annex A'!$M$23</f>
        <v>45987</v>
      </c>
      <c r="O4" s="75"/>
    </row>
    <row r="5" spans="1:49" ht="13.15" x14ac:dyDescent="0.4">
      <c r="A5" s="8" t="s">
        <v>116</v>
      </c>
      <c r="B5" s="185" t="s">
        <v>350</v>
      </c>
      <c r="O5" s="29"/>
    </row>
    <row r="6" spans="1:49" ht="13.15" x14ac:dyDescent="0.4">
      <c r="A6" t="s">
        <v>132</v>
      </c>
      <c r="B6" s="77" t="str">
        <f ca="1">RIGHT(CELL("filename"),1)</f>
        <v>1</v>
      </c>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L7" s="65" t="s">
        <v>138</v>
      </c>
      <c r="P7" s="65"/>
    </row>
    <row r="8" spans="1:49" ht="13.15" x14ac:dyDescent="0.4">
      <c r="A8" s="68" t="s">
        <v>139</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140</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141</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142</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143</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144</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145</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146</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147</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148</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149</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150</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151</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152</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153</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154</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155</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156</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157</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158</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159</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160</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161</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162</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163</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164</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165</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166</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167</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168</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169</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127</v>
      </c>
    </row>
    <row r="2" spans="1:16" ht="40.15" x14ac:dyDescent="0.4">
      <c r="A2" s="260" t="s">
        <v>267</v>
      </c>
      <c r="B2" s="260"/>
      <c r="C2" s="260"/>
      <c r="D2" s="260"/>
      <c r="E2" s="260"/>
      <c r="H2" s="72" t="s">
        <v>128</v>
      </c>
    </row>
    <row r="3" spans="1:16" ht="13.15" x14ac:dyDescent="0.4">
      <c r="A3" t="s">
        <v>129</v>
      </c>
      <c r="B3" s="73" t="s">
        <v>25</v>
      </c>
      <c r="D3" t="s">
        <v>130</v>
      </c>
      <c r="E3" s="8">
        <v>1</v>
      </c>
    </row>
    <row r="4" spans="1:16" ht="40.15" x14ac:dyDescent="1.05">
      <c r="A4" s="8" t="s">
        <v>28</v>
      </c>
      <c r="B4" s="74">
        <v>45832</v>
      </c>
      <c r="O4" s="75"/>
    </row>
    <row r="5" spans="1:16" ht="13.15" x14ac:dyDescent="0.4">
      <c r="A5" s="8" t="s">
        <v>116</v>
      </c>
      <c r="B5" s="76" t="s">
        <v>131</v>
      </c>
      <c r="O5" s="29"/>
    </row>
    <row r="6" spans="1:16" ht="13.15" x14ac:dyDescent="0.4">
      <c r="A6" t="s">
        <v>132</v>
      </c>
      <c r="B6" s="77" t="str">
        <f ca="1">RIGHT(CELL("filename"),1)</f>
        <v>1</v>
      </c>
      <c r="C6" s="8"/>
      <c r="D6" s="8"/>
      <c r="E6" s="8"/>
      <c r="F6" s="8"/>
    </row>
    <row r="7" spans="1:16" ht="14.65" x14ac:dyDescent="0.5">
      <c r="B7" s="65" t="s">
        <v>40</v>
      </c>
      <c r="C7" s="65" t="s">
        <v>41</v>
      </c>
      <c r="D7" s="65" t="s">
        <v>43</v>
      </c>
      <c r="E7" s="65" t="s">
        <v>44</v>
      </c>
      <c r="F7" s="65" t="s">
        <v>46</v>
      </c>
      <c r="G7" s="65" t="s">
        <v>133</v>
      </c>
      <c r="H7" s="65" t="s">
        <v>134</v>
      </c>
      <c r="I7" s="65" t="s">
        <v>135</v>
      </c>
      <c r="J7" s="65" t="s">
        <v>136</v>
      </c>
      <c r="K7" s="65" t="s">
        <v>137</v>
      </c>
      <c r="L7" s="65" t="s">
        <v>138</v>
      </c>
      <c r="P7" s="65"/>
    </row>
    <row r="8" spans="1:16" ht="13.15" x14ac:dyDescent="0.4">
      <c r="A8" s="68" t="s">
        <v>139</v>
      </c>
      <c r="B8" s="46">
        <v>1</v>
      </c>
      <c r="C8" s="46">
        <v>1</v>
      </c>
      <c r="D8" s="46">
        <v>1</v>
      </c>
      <c r="E8" s="46">
        <v>1</v>
      </c>
      <c r="F8" s="46">
        <v>1</v>
      </c>
      <c r="G8" s="78">
        <f>AVERAGE(B$8:F$8)*5</f>
        <v>5</v>
      </c>
      <c r="I8" s="79"/>
      <c r="K8" s="79"/>
    </row>
    <row r="9" spans="1:16" ht="13.15" x14ac:dyDescent="0.4">
      <c r="A9" s="68" t="s">
        <v>140</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141</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142</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143</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144</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145</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146</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147</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148</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149</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150</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151</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152</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153</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154</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155</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156</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157</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158</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159</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160</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161</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162</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163</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164</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165</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166</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167</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168</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169</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170</v>
      </c>
    </row>
    <row r="41" spans="1:16" ht="15" x14ac:dyDescent="0.5">
      <c r="A41" s="35"/>
      <c r="B41" s="83" t="s">
        <v>171</v>
      </c>
      <c r="C41" s="35"/>
      <c r="D41" s="84" t="s">
        <v>172</v>
      </c>
      <c r="E41" s="36"/>
      <c r="F41" s="36"/>
      <c r="G41" s="36"/>
      <c r="H41" s="85"/>
    </row>
    <row r="42" spans="1:16" ht="15" x14ac:dyDescent="0.5">
      <c r="A42" s="86" t="s">
        <v>173</v>
      </c>
      <c r="B42" s="87" t="s">
        <v>174</v>
      </c>
      <c r="C42" s="86" t="s">
        <v>175</v>
      </c>
      <c r="D42" s="86" t="s">
        <v>176</v>
      </c>
      <c r="E42" s="87" t="s">
        <v>177</v>
      </c>
      <c r="F42" s="87" t="s">
        <v>178</v>
      </c>
      <c r="G42" s="87" t="s">
        <v>179</v>
      </c>
      <c r="H42" s="88" t="s">
        <v>180</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c r="H51" s="65"/>
      <c r="I51" s="65"/>
      <c r="J51" s="65"/>
      <c r="K51" s="65"/>
      <c r="L51" s="65"/>
      <c r="M51" s="65"/>
      <c r="N51" s="65"/>
      <c r="O51" s="65"/>
      <c r="P51" s="65"/>
    </row>
    <row r="52" spans="1:16" ht="13.15" x14ac:dyDescent="0.4">
      <c r="A52" s="65" t="s">
        <v>181</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dimension ref="A1:AMJ1002"/>
  <sheetViews>
    <sheetView zoomScale="85" zoomScaleNormal="85" workbookViewId="0">
      <selection activeCell="B63" sqref="B63"/>
    </sheetView>
  </sheetViews>
  <sheetFormatPr defaultColWidth="11.19921875" defaultRowHeight="13.5" x14ac:dyDescent="0.35"/>
  <cols>
    <col min="1" max="1" width="22.3984375" style="140" customWidth="1"/>
    <col min="2" max="2" width="15.265625" style="140" customWidth="1"/>
    <col min="3" max="11" width="11.19921875" style="140"/>
    <col min="12" max="12" width="5.265625" style="140" customWidth="1"/>
    <col min="13" max="13" width="9.53125" style="140" customWidth="1"/>
    <col min="14" max="16384" width="11.19921875" style="140"/>
  </cols>
  <sheetData>
    <row r="1" spans="1:1024" ht="101.25" customHeight="1" x14ac:dyDescent="0.35">
      <c r="A1" s="138" t="s">
        <v>310</v>
      </c>
      <c r="B1" s="139" t="s">
        <v>15</v>
      </c>
      <c r="C1" s="267" t="s">
        <v>294</v>
      </c>
      <c r="D1" s="267"/>
      <c r="E1" s="267"/>
      <c r="F1" s="267"/>
      <c r="G1" s="267"/>
      <c r="H1" s="267"/>
      <c r="I1" s="139"/>
      <c r="J1" s="139"/>
      <c r="K1" s="139"/>
      <c r="L1" s="140" t="s">
        <v>252</v>
      </c>
      <c r="M1" s="142" t="s">
        <v>342</v>
      </c>
      <c r="N1" s="139" t="s">
        <v>253</v>
      </c>
      <c r="O1" s="139" t="s">
        <v>300</v>
      </c>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c r="BN1" s="139"/>
      <c r="BO1" s="139"/>
      <c r="BP1" s="139"/>
      <c r="BQ1" s="139"/>
      <c r="BR1" s="139"/>
      <c r="BS1" s="139"/>
      <c r="BT1" s="139"/>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c r="DM1" s="139"/>
      <c r="DN1" s="139"/>
      <c r="DO1" s="139"/>
      <c r="DP1" s="139"/>
      <c r="DQ1" s="139"/>
      <c r="DR1" s="139"/>
      <c r="DS1" s="139"/>
      <c r="DT1" s="139"/>
      <c r="DU1" s="139"/>
      <c r="DV1" s="139"/>
      <c r="DW1" s="139"/>
      <c r="DX1" s="139"/>
      <c r="DY1" s="139"/>
      <c r="DZ1" s="139"/>
      <c r="EA1" s="139"/>
      <c r="EB1" s="139"/>
      <c r="EC1" s="139"/>
      <c r="ED1" s="139"/>
      <c r="EE1" s="139"/>
      <c r="EF1" s="139"/>
      <c r="EG1" s="139"/>
      <c r="EH1" s="139"/>
      <c r="EI1" s="139"/>
      <c r="EJ1" s="139"/>
      <c r="EK1" s="139"/>
      <c r="EL1" s="139"/>
      <c r="EM1" s="139"/>
      <c r="EN1" s="139"/>
      <c r="EO1" s="139"/>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139"/>
      <c r="FP1" s="139"/>
      <c r="FQ1" s="139"/>
      <c r="FR1" s="139"/>
      <c r="FS1" s="139"/>
      <c r="FT1" s="139"/>
      <c r="FU1" s="139"/>
      <c r="FV1" s="139"/>
      <c r="FW1" s="139"/>
      <c r="FX1" s="139"/>
      <c r="FY1" s="139"/>
      <c r="FZ1" s="139"/>
      <c r="GA1" s="139"/>
      <c r="GB1" s="139"/>
      <c r="GC1" s="139"/>
      <c r="GD1" s="139"/>
      <c r="GE1" s="139"/>
      <c r="GF1" s="139"/>
      <c r="GG1" s="139"/>
      <c r="GH1" s="139"/>
      <c r="GI1" s="139"/>
      <c r="GJ1" s="139"/>
      <c r="GK1" s="139"/>
      <c r="GL1" s="139"/>
      <c r="GM1" s="139"/>
      <c r="GN1" s="139"/>
      <c r="GO1" s="139"/>
      <c r="GP1" s="139"/>
      <c r="GQ1" s="139"/>
      <c r="GR1" s="139"/>
      <c r="GS1" s="139"/>
      <c r="GT1" s="139"/>
      <c r="GU1" s="139"/>
      <c r="GV1" s="139"/>
      <c r="GW1" s="139"/>
      <c r="GX1" s="139"/>
      <c r="GY1" s="139"/>
      <c r="GZ1" s="139"/>
      <c r="HA1" s="139"/>
      <c r="HB1" s="139"/>
      <c r="HC1" s="139"/>
      <c r="HD1" s="139"/>
      <c r="HE1" s="139"/>
      <c r="HF1" s="139"/>
      <c r="HG1" s="139"/>
      <c r="HH1" s="139"/>
      <c r="HI1" s="139"/>
      <c r="HJ1" s="139"/>
      <c r="HK1" s="139"/>
      <c r="HL1" s="139"/>
      <c r="HM1" s="139"/>
      <c r="HN1" s="139"/>
      <c r="HO1" s="139"/>
      <c r="HP1" s="139"/>
      <c r="HQ1" s="139"/>
      <c r="HR1" s="139"/>
      <c r="HS1" s="139"/>
      <c r="HT1" s="139"/>
      <c r="HU1" s="139"/>
      <c r="HV1" s="139"/>
      <c r="HW1" s="139"/>
      <c r="HX1" s="139"/>
      <c r="HY1" s="139"/>
      <c r="HZ1" s="139"/>
      <c r="IA1" s="139"/>
      <c r="IB1" s="139"/>
      <c r="IC1" s="139"/>
      <c r="ID1" s="139"/>
      <c r="IE1" s="139"/>
      <c r="IF1" s="139"/>
      <c r="IG1" s="139"/>
      <c r="IH1" s="139"/>
      <c r="II1" s="139"/>
      <c r="IJ1" s="139"/>
      <c r="IK1" s="139"/>
      <c r="IL1" s="139"/>
      <c r="IM1" s="139"/>
      <c r="IN1" s="139"/>
      <c r="IO1" s="139"/>
      <c r="IP1" s="139"/>
      <c r="IQ1" s="139"/>
      <c r="IR1" s="139"/>
      <c r="IS1" s="139"/>
      <c r="IT1" s="139"/>
      <c r="IU1" s="139"/>
      <c r="IV1" s="139"/>
      <c r="IW1" s="139"/>
      <c r="IX1" s="139"/>
      <c r="IY1" s="139"/>
      <c r="IZ1" s="139"/>
      <c r="JA1" s="139"/>
      <c r="JB1" s="139"/>
      <c r="JC1" s="139"/>
      <c r="JD1" s="139"/>
      <c r="JE1" s="139"/>
      <c r="JF1" s="139"/>
      <c r="JG1" s="139"/>
      <c r="JH1" s="139"/>
      <c r="JI1" s="139"/>
      <c r="JJ1" s="139"/>
      <c r="JK1" s="139"/>
      <c r="JL1" s="139"/>
      <c r="JM1" s="139"/>
      <c r="JN1" s="139"/>
      <c r="JO1" s="139"/>
      <c r="JP1" s="139"/>
      <c r="JQ1" s="139"/>
      <c r="JR1" s="139"/>
      <c r="JS1" s="139"/>
      <c r="JT1" s="139"/>
      <c r="JU1" s="139"/>
      <c r="JV1" s="139"/>
      <c r="JW1" s="139"/>
      <c r="JX1" s="139"/>
      <c r="JY1" s="139"/>
      <c r="JZ1" s="139"/>
      <c r="KA1" s="139"/>
      <c r="KB1" s="139"/>
      <c r="KC1" s="139"/>
      <c r="KD1" s="139"/>
      <c r="KE1" s="139"/>
      <c r="KF1" s="139"/>
      <c r="KG1" s="139"/>
      <c r="KH1" s="139"/>
      <c r="KI1" s="139"/>
      <c r="KJ1" s="139"/>
      <c r="KK1" s="139"/>
      <c r="KL1" s="139"/>
      <c r="KM1" s="139"/>
      <c r="KN1" s="139"/>
      <c r="KO1" s="139"/>
      <c r="KP1" s="139"/>
      <c r="KQ1" s="139"/>
      <c r="KR1" s="139"/>
      <c r="KS1" s="139"/>
      <c r="KT1" s="139"/>
      <c r="KU1" s="139"/>
      <c r="KV1" s="139"/>
      <c r="KW1" s="139"/>
      <c r="KX1" s="139"/>
      <c r="KY1" s="139"/>
      <c r="KZ1" s="139"/>
      <c r="LA1" s="139"/>
      <c r="LB1" s="139"/>
      <c r="LC1" s="139"/>
      <c r="LD1" s="139"/>
      <c r="LE1" s="139"/>
      <c r="LF1" s="139"/>
      <c r="LG1" s="139"/>
      <c r="LH1" s="139"/>
      <c r="LI1" s="139"/>
      <c r="LJ1" s="139"/>
      <c r="LK1" s="139"/>
      <c r="LL1" s="139"/>
      <c r="LM1" s="139"/>
      <c r="LN1" s="139"/>
      <c r="LO1" s="139"/>
      <c r="LP1" s="139"/>
      <c r="LQ1" s="139"/>
      <c r="LR1" s="139"/>
      <c r="LS1" s="139"/>
      <c r="LT1" s="139"/>
      <c r="LU1" s="139"/>
      <c r="LV1" s="139"/>
      <c r="LW1" s="139"/>
      <c r="LX1" s="139"/>
      <c r="LY1" s="139"/>
      <c r="LZ1" s="139"/>
      <c r="MA1" s="139"/>
      <c r="MB1" s="139"/>
      <c r="MC1" s="139"/>
      <c r="MD1" s="139"/>
      <c r="ME1" s="139"/>
      <c r="MF1" s="139"/>
      <c r="MG1" s="139"/>
      <c r="MH1" s="139"/>
      <c r="MI1" s="139"/>
      <c r="MJ1" s="139"/>
      <c r="MK1" s="139"/>
      <c r="ML1" s="139"/>
      <c r="MM1" s="139"/>
      <c r="MN1" s="139"/>
      <c r="MO1" s="139"/>
      <c r="MP1" s="139"/>
      <c r="MQ1" s="139"/>
      <c r="MR1" s="139"/>
      <c r="MS1" s="139"/>
      <c r="MT1" s="139"/>
      <c r="MU1" s="139"/>
      <c r="MV1" s="139"/>
      <c r="MW1" s="139"/>
      <c r="MX1" s="139"/>
      <c r="MY1" s="139"/>
      <c r="MZ1" s="139"/>
      <c r="NA1" s="139"/>
      <c r="NB1" s="139"/>
      <c r="NC1" s="139"/>
      <c r="ND1" s="139"/>
      <c r="NE1" s="139"/>
      <c r="NF1" s="139"/>
      <c r="NG1" s="139"/>
      <c r="NH1" s="139"/>
      <c r="NI1" s="139"/>
      <c r="NJ1" s="139"/>
      <c r="NK1" s="139"/>
      <c r="NL1" s="139"/>
      <c r="NM1" s="139"/>
      <c r="NN1" s="139"/>
      <c r="NO1" s="139"/>
      <c r="NP1" s="139"/>
      <c r="NQ1" s="139"/>
      <c r="NR1" s="139"/>
      <c r="NS1" s="139"/>
      <c r="NT1" s="139"/>
      <c r="NU1" s="139"/>
      <c r="NV1" s="139"/>
      <c r="NW1" s="139"/>
      <c r="NX1" s="139"/>
      <c r="NY1" s="139"/>
      <c r="NZ1" s="139"/>
      <c r="OA1" s="139"/>
      <c r="OB1" s="139"/>
      <c r="OC1" s="139"/>
      <c r="OD1" s="139"/>
      <c r="OE1" s="139"/>
      <c r="OF1" s="139"/>
      <c r="OG1" s="139"/>
      <c r="OH1" s="139"/>
      <c r="OI1" s="139"/>
      <c r="OJ1" s="139"/>
      <c r="OK1" s="139"/>
      <c r="OL1" s="139"/>
      <c r="OM1" s="139"/>
      <c r="ON1" s="139"/>
      <c r="OO1" s="139"/>
      <c r="OP1" s="139"/>
      <c r="OQ1" s="139"/>
      <c r="OR1" s="139"/>
      <c r="OS1" s="139"/>
      <c r="OT1" s="139"/>
      <c r="OU1" s="139"/>
      <c r="OV1" s="139"/>
      <c r="OW1" s="139"/>
      <c r="OX1" s="139"/>
      <c r="OY1" s="139"/>
      <c r="OZ1" s="139"/>
      <c r="PA1" s="139"/>
      <c r="PB1" s="139"/>
      <c r="PC1" s="139"/>
      <c r="PD1" s="139"/>
      <c r="PE1" s="139"/>
      <c r="PF1" s="139"/>
      <c r="PG1" s="139"/>
      <c r="PH1" s="139"/>
      <c r="PI1" s="139"/>
      <c r="PJ1" s="139"/>
      <c r="PK1" s="139"/>
      <c r="PL1" s="139"/>
      <c r="PM1" s="139"/>
      <c r="PN1" s="139"/>
      <c r="PO1" s="139"/>
      <c r="PP1" s="139"/>
      <c r="PQ1" s="139"/>
      <c r="PR1" s="139"/>
      <c r="PS1" s="139"/>
      <c r="PT1" s="139"/>
      <c r="PU1" s="139"/>
      <c r="PV1" s="139"/>
      <c r="PW1" s="139"/>
      <c r="PX1" s="139"/>
      <c r="PY1" s="139"/>
      <c r="PZ1" s="139"/>
      <c r="QA1" s="139"/>
      <c r="QB1" s="139"/>
      <c r="QC1" s="139"/>
      <c r="QD1" s="139"/>
      <c r="QE1" s="139"/>
      <c r="QF1" s="139"/>
      <c r="QG1" s="139"/>
      <c r="QH1" s="139"/>
      <c r="QI1" s="139"/>
      <c r="QJ1" s="139"/>
      <c r="QK1" s="139"/>
      <c r="QL1" s="139"/>
      <c r="QM1" s="139"/>
      <c r="QN1" s="139"/>
      <c r="QO1" s="139"/>
      <c r="QP1" s="139"/>
      <c r="QQ1" s="139"/>
      <c r="QR1" s="139"/>
      <c r="QS1" s="139"/>
      <c r="QT1" s="139"/>
      <c r="QU1" s="139"/>
      <c r="QV1" s="139"/>
      <c r="QW1" s="139"/>
      <c r="QX1" s="139"/>
      <c r="QY1" s="139"/>
      <c r="QZ1" s="139"/>
      <c r="RA1" s="139"/>
      <c r="RB1" s="139"/>
      <c r="RC1" s="139"/>
      <c r="RD1" s="139"/>
      <c r="RE1" s="139"/>
      <c r="RF1" s="139"/>
      <c r="RG1" s="139"/>
      <c r="RH1" s="139"/>
      <c r="RI1" s="139"/>
      <c r="RJ1" s="139"/>
      <c r="RK1" s="139"/>
      <c r="RL1" s="139"/>
      <c r="RM1" s="139"/>
      <c r="RN1" s="139"/>
      <c r="RO1" s="139"/>
      <c r="RP1" s="139"/>
      <c r="RQ1" s="139"/>
      <c r="RR1" s="139"/>
      <c r="RS1" s="139"/>
      <c r="RT1" s="139"/>
      <c r="RU1" s="139"/>
      <c r="RV1" s="139"/>
      <c r="RW1" s="139"/>
      <c r="RX1" s="139"/>
      <c r="RY1" s="139"/>
      <c r="RZ1" s="139"/>
      <c r="SA1" s="139"/>
      <c r="SB1" s="139"/>
      <c r="SC1" s="139"/>
      <c r="SD1" s="139"/>
      <c r="SE1" s="139"/>
      <c r="SF1" s="139"/>
      <c r="SG1" s="139"/>
      <c r="SH1" s="139"/>
      <c r="SI1" s="139"/>
      <c r="SJ1" s="139"/>
      <c r="SK1" s="139"/>
      <c r="SL1" s="139"/>
      <c r="SM1" s="139"/>
      <c r="SN1" s="139"/>
      <c r="SO1" s="139"/>
      <c r="SP1" s="139"/>
      <c r="SQ1" s="139"/>
      <c r="SR1" s="139"/>
      <c r="SS1" s="139"/>
      <c r="ST1" s="139"/>
      <c r="SU1" s="139"/>
      <c r="SV1" s="139"/>
      <c r="SW1" s="139"/>
      <c r="SX1" s="139"/>
      <c r="SY1" s="139"/>
      <c r="SZ1" s="139"/>
      <c r="TA1" s="139"/>
      <c r="TB1" s="139"/>
      <c r="TC1" s="139"/>
      <c r="TD1" s="139"/>
      <c r="TE1" s="139"/>
      <c r="TF1" s="139"/>
      <c r="TG1" s="139"/>
      <c r="TH1" s="139"/>
      <c r="TI1" s="139"/>
      <c r="TJ1" s="139"/>
      <c r="TK1" s="139"/>
      <c r="TL1" s="139"/>
      <c r="TM1" s="139"/>
      <c r="TN1" s="139"/>
      <c r="TO1" s="139"/>
      <c r="TP1" s="139"/>
      <c r="TQ1" s="139"/>
      <c r="TR1" s="139"/>
      <c r="TS1" s="139"/>
      <c r="TT1" s="139"/>
      <c r="TU1" s="139"/>
      <c r="TV1" s="139"/>
      <c r="TW1" s="139"/>
      <c r="TX1" s="139"/>
      <c r="TY1" s="139"/>
      <c r="TZ1" s="139"/>
      <c r="UA1" s="139"/>
      <c r="UB1" s="139"/>
      <c r="UC1" s="139"/>
      <c r="UD1" s="139"/>
      <c r="UE1" s="139"/>
      <c r="UF1" s="139"/>
      <c r="UG1" s="139"/>
      <c r="UH1" s="139"/>
      <c r="UI1" s="139"/>
      <c r="UJ1" s="139"/>
      <c r="UK1" s="139"/>
      <c r="UL1" s="139"/>
      <c r="UM1" s="139"/>
      <c r="UN1" s="139"/>
      <c r="UO1" s="139"/>
      <c r="UP1" s="139"/>
      <c r="UQ1" s="139"/>
      <c r="UR1" s="139"/>
      <c r="US1" s="139"/>
      <c r="UT1" s="139"/>
      <c r="UU1" s="139"/>
      <c r="UV1" s="139"/>
      <c r="UW1" s="139"/>
      <c r="UX1" s="139"/>
      <c r="UY1" s="139"/>
      <c r="UZ1" s="139"/>
      <c r="VA1" s="139"/>
      <c r="VB1" s="139"/>
      <c r="VC1" s="139"/>
      <c r="VD1" s="139"/>
      <c r="VE1" s="139"/>
      <c r="VF1" s="139"/>
      <c r="VG1" s="139"/>
      <c r="VH1" s="139"/>
      <c r="VI1" s="139"/>
      <c r="VJ1" s="139"/>
      <c r="VK1" s="139"/>
      <c r="VL1" s="139"/>
      <c r="VM1" s="139"/>
      <c r="VN1" s="139"/>
      <c r="VO1" s="139"/>
      <c r="VP1" s="139"/>
      <c r="VQ1" s="139"/>
      <c r="VR1" s="139"/>
      <c r="VS1" s="139"/>
      <c r="VT1" s="139"/>
      <c r="VU1" s="139"/>
      <c r="VV1" s="139"/>
      <c r="VW1" s="139"/>
      <c r="VX1" s="139"/>
      <c r="VY1" s="139"/>
      <c r="VZ1" s="139"/>
      <c r="WA1" s="139"/>
      <c r="WB1" s="139"/>
      <c r="WC1" s="139"/>
      <c r="WD1" s="139"/>
      <c r="WE1" s="139"/>
      <c r="WF1" s="139"/>
      <c r="WG1" s="139"/>
      <c r="WH1" s="139"/>
      <c r="WI1" s="139"/>
      <c r="WJ1" s="139"/>
      <c r="WK1" s="139"/>
      <c r="WL1" s="139"/>
      <c r="WM1" s="139"/>
      <c r="WN1" s="139"/>
      <c r="WO1" s="139"/>
      <c r="WP1" s="139"/>
      <c r="WQ1" s="139"/>
      <c r="WR1" s="139"/>
      <c r="WS1" s="139"/>
      <c r="WT1" s="139"/>
      <c r="WU1" s="139"/>
      <c r="WV1" s="139"/>
      <c r="WW1" s="139"/>
      <c r="WX1" s="139"/>
      <c r="WY1" s="139"/>
      <c r="WZ1" s="139"/>
      <c r="XA1" s="139"/>
      <c r="XB1" s="139"/>
      <c r="XC1" s="139"/>
      <c r="XD1" s="139"/>
      <c r="XE1" s="139"/>
      <c r="XF1" s="139"/>
      <c r="XG1" s="139"/>
      <c r="XH1" s="139"/>
      <c r="XI1" s="139"/>
      <c r="XJ1" s="139"/>
      <c r="XK1" s="139"/>
      <c r="XL1" s="139"/>
      <c r="XM1" s="139"/>
      <c r="XN1" s="139"/>
      <c r="XO1" s="139"/>
      <c r="XP1" s="139"/>
      <c r="XQ1" s="139"/>
      <c r="XR1" s="139"/>
      <c r="XS1" s="139"/>
      <c r="XT1" s="139"/>
      <c r="XU1" s="139"/>
      <c r="XV1" s="139"/>
      <c r="XW1" s="139"/>
      <c r="XX1" s="139"/>
      <c r="XY1" s="139"/>
      <c r="XZ1" s="139"/>
      <c r="YA1" s="139"/>
      <c r="YB1" s="139"/>
      <c r="YC1" s="139"/>
      <c r="YD1" s="139"/>
      <c r="YE1" s="139"/>
      <c r="YF1" s="139"/>
      <c r="YG1" s="139"/>
      <c r="YH1" s="139"/>
      <c r="YI1" s="139"/>
      <c r="YJ1" s="139"/>
      <c r="YK1" s="139"/>
      <c r="YL1" s="139"/>
      <c r="YM1" s="139"/>
      <c r="YN1" s="139"/>
      <c r="YO1" s="139"/>
      <c r="YP1" s="139"/>
      <c r="YQ1" s="139"/>
      <c r="YR1" s="139"/>
      <c r="YS1" s="139"/>
      <c r="YT1" s="139"/>
      <c r="YU1" s="139"/>
      <c r="YV1" s="139"/>
      <c r="YW1" s="139"/>
      <c r="YX1" s="139"/>
      <c r="YY1" s="139"/>
      <c r="YZ1" s="139"/>
      <c r="ZA1" s="139"/>
      <c r="ZB1" s="139"/>
      <c r="ZC1" s="139"/>
      <c r="ZD1" s="139"/>
      <c r="ZE1" s="139"/>
      <c r="ZF1" s="139"/>
      <c r="ZG1" s="139"/>
      <c r="ZH1" s="139"/>
      <c r="ZI1" s="139"/>
      <c r="ZJ1" s="139"/>
      <c r="ZK1" s="139"/>
      <c r="ZL1" s="139"/>
      <c r="ZM1" s="139"/>
      <c r="ZN1" s="139"/>
      <c r="ZO1" s="139"/>
      <c r="ZP1" s="139"/>
      <c r="ZQ1" s="139"/>
      <c r="ZR1" s="139"/>
      <c r="ZS1" s="139"/>
      <c r="ZT1" s="139"/>
      <c r="ZU1" s="139"/>
      <c r="ZV1" s="139"/>
      <c r="ZW1" s="139"/>
      <c r="ZX1" s="139"/>
      <c r="ZY1" s="139"/>
      <c r="ZZ1" s="139"/>
      <c r="AAA1" s="139"/>
      <c r="AAB1" s="139"/>
      <c r="AAC1" s="139"/>
      <c r="AAD1" s="139"/>
      <c r="AAE1" s="139"/>
      <c r="AAF1" s="139"/>
      <c r="AAG1" s="139"/>
      <c r="AAH1" s="139"/>
      <c r="AAI1" s="139"/>
      <c r="AAJ1" s="139"/>
      <c r="AAK1" s="139"/>
      <c r="AAL1" s="139"/>
      <c r="AAM1" s="139"/>
      <c r="AAN1" s="139"/>
      <c r="AAO1" s="139"/>
      <c r="AAP1" s="139"/>
      <c r="AAQ1" s="139"/>
      <c r="AAR1" s="139"/>
      <c r="AAS1" s="139"/>
      <c r="AAT1" s="139"/>
      <c r="AAU1" s="139"/>
      <c r="AAV1" s="139"/>
      <c r="AAW1" s="139"/>
      <c r="AAX1" s="139"/>
      <c r="AAY1" s="139"/>
      <c r="AAZ1" s="139"/>
      <c r="ABA1" s="139"/>
      <c r="ABB1" s="139"/>
      <c r="ABC1" s="139"/>
      <c r="ABD1" s="139"/>
      <c r="ABE1" s="139"/>
      <c r="ABF1" s="139"/>
      <c r="ABG1" s="139"/>
      <c r="ABH1" s="139"/>
      <c r="ABI1" s="139"/>
      <c r="ABJ1" s="139"/>
      <c r="ABK1" s="139"/>
      <c r="ABL1" s="139"/>
      <c r="ABM1" s="139"/>
      <c r="ABN1" s="139"/>
      <c r="ABO1" s="139"/>
      <c r="ABP1" s="139"/>
      <c r="ABQ1" s="139"/>
      <c r="ABR1" s="139"/>
      <c r="ABS1" s="139"/>
      <c r="ABT1" s="139"/>
      <c r="ABU1" s="139"/>
      <c r="ABV1" s="139"/>
      <c r="ABW1" s="139"/>
      <c r="ABX1" s="139"/>
      <c r="ABY1" s="139"/>
      <c r="ABZ1" s="139"/>
      <c r="ACA1" s="139"/>
      <c r="ACB1" s="139"/>
      <c r="ACC1" s="139"/>
      <c r="ACD1" s="139"/>
      <c r="ACE1" s="139"/>
      <c r="ACF1" s="139"/>
      <c r="ACG1" s="139"/>
      <c r="ACH1" s="139"/>
      <c r="ACI1" s="139"/>
      <c r="ACJ1" s="139"/>
      <c r="ACK1" s="139"/>
      <c r="ACL1" s="139"/>
      <c r="ACM1" s="139"/>
      <c r="ACN1" s="139"/>
      <c r="ACO1" s="139"/>
      <c r="ACP1" s="139"/>
      <c r="ACQ1" s="139"/>
      <c r="ACR1" s="139"/>
      <c r="ACS1" s="139"/>
      <c r="ACT1" s="139"/>
      <c r="ACU1" s="139"/>
      <c r="ACV1" s="139"/>
      <c r="ACW1" s="139"/>
      <c r="ACX1" s="139"/>
      <c r="ACY1" s="139"/>
      <c r="ACZ1" s="139"/>
      <c r="ADA1" s="139"/>
      <c r="ADB1" s="139"/>
      <c r="ADC1" s="139"/>
      <c r="ADD1" s="139"/>
      <c r="ADE1" s="139"/>
      <c r="ADF1" s="139"/>
      <c r="ADG1" s="139"/>
      <c r="ADH1" s="139"/>
      <c r="ADI1" s="139"/>
      <c r="ADJ1" s="139"/>
      <c r="ADK1" s="139"/>
      <c r="ADL1" s="139"/>
      <c r="ADM1" s="139"/>
      <c r="ADN1" s="139"/>
      <c r="ADO1" s="139"/>
      <c r="ADP1" s="139"/>
      <c r="ADQ1" s="139"/>
      <c r="ADR1" s="139"/>
      <c r="ADS1" s="139"/>
      <c r="ADT1" s="139"/>
      <c r="ADU1" s="139"/>
      <c r="ADV1" s="139"/>
      <c r="ADW1" s="139"/>
      <c r="ADX1" s="139"/>
      <c r="ADY1" s="139"/>
      <c r="ADZ1" s="139"/>
      <c r="AEA1" s="139"/>
      <c r="AEB1" s="139"/>
      <c r="AEC1" s="139"/>
      <c r="AED1" s="139"/>
      <c r="AEE1" s="139"/>
      <c r="AEF1" s="139"/>
      <c r="AEG1" s="139"/>
      <c r="AEH1" s="139"/>
      <c r="AEI1" s="139"/>
      <c r="AEJ1" s="139"/>
      <c r="AEK1" s="139"/>
      <c r="AEL1" s="139"/>
      <c r="AEM1" s="139"/>
      <c r="AEN1" s="139"/>
      <c r="AEO1" s="139"/>
      <c r="AEP1" s="139"/>
      <c r="AEQ1" s="139"/>
      <c r="AER1" s="139"/>
      <c r="AES1" s="139"/>
      <c r="AET1" s="139"/>
      <c r="AEU1" s="139"/>
      <c r="AEV1" s="139"/>
      <c r="AEW1" s="139"/>
      <c r="AEX1" s="139"/>
      <c r="AEY1" s="139"/>
      <c r="AEZ1" s="139"/>
      <c r="AFA1" s="139"/>
      <c r="AFB1" s="139"/>
      <c r="AFC1" s="139"/>
      <c r="AFD1" s="139"/>
      <c r="AFE1" s="139"/>
      <c r="AFF1" s="139"/>
      <c r="AFG1" s="139"/>
      <c r="AFH1" s="139"/>
      <c r="AFI1" s="139"/>
      <c r="AFJ1" s="139"/>
      <c r="AFK1" s="139"/>
      <c r="AFL1" s="139"/>
      <c r="AFM1" s="139"/>
      <c r="AFN1" s="139"/>
      <c r="AFO1" s="139"/>
      <c r="AFP1" s="139"/>
      <c r="AFQ1" s="139"/>
      <c r="AFR1" s="139"/>
      <c r="AFS1" s="139"/>
      <c r="AFT1" s="139"/>
      <c r="AFU1" s="139"/>
      <c r="AFV1" s="139"/>
      <c r="AFW1" s="139"/>
      <c r="AFX1" s="139"/>
      <c r="AFY1" s="139"/>
      <c r="AFZ1" s="139"/>
      <c r="AGA1" s="139"/>
      <c r="AGB1" s="139"/>
      <c r="AGC1" s="139"/>
      <c r="AGD1" s="139"/>
      <c r="AGE1" s="139"/>
      <c r="AGF1" s="139"/>
      <c r="AGG1" s="139"/>
      <c r="AGH1" s="139"/>
      <c r="AGI1" s="139"/>
      <c r="AGJ1" s="139"/>
      <c r="AGK1" s="139"/>
      <c r="AGL1" s="139"/>
      <c r="AGM1" s="139"/>
      <c r="AGN1" s="139"/>
      <c r="AGO1" s="139"/>
      <c r="AGP1" s="139"/>
      <c r="AGQ1" s="139"/>
      <c r="AGR1" s="139"/>
      <c r="AGS1" s="139"/>
      <c r="AGT1" s="139"/>
      <c r="AGU1" s="139"/>
      <c r="AGV1" s="139"/>
      <c r="AGW1" s="139"/>
      <c r="AGX1" s="139"/>
      <c r="AGY1" s="139"/>
      <c r="AGZ1" s="139"/>
      <c r="AHA1" s="139"/>
      <c r="AHB1" s="139"/>
      <c r="AHC1" s="139"/>
      <c r="AHD1" s="139"/>
      <c r="AHE1" s="139"/>
      <c r="AHF1" s="139"/>
      <c r="AHG1" s="139"/>
      <c r="AHH1" s="139"/>
      <c r="AHI1" s="139"/>
      <c r="AHJ1" s="139"/>
      <c r="AHK1" s="139"/>
      <c r="AHL1" s="139"/>
      <c r="AHM1" s="139"/>
      <c r="AHN1" s="139"/>
      <c r="AHO1" s="139"/>
      <c r="AHP1" s="139"/>
      <c r="AHQ1" s="139"/>
      <c r="AHR1" s="139"/>
      <c r="AHS1" s="139"/>
      <c r="AHT1" s="139"/>
      <c r="AHU1" s="139"/>
      <c r="AHV1" s="139"/>
      <c r="AHW1" s="139"/>
      <c r="AHX1" s="139"/>
      <c r="AHY1" s="139"/>
      <c r="AHZ1" s="139"/>
      <c r="AIA1" s="139"/>
      <c r="AIB1" s="139"/>
      <c r="AIC1" s="139"/>
      <c r="AID1" s="139"/>
      <c r="AIE1" s="139"/>
      <c r="AIF1" s="139"/>
      <c r="AIG1" s="139"/>
      <c r="AIH1" s="139"/>
      <c r="AII1" s="139"/>
      <c r="AIJ1" s="139"/>
      <c r="AIK1" s="139"/>
      <c r="AIL1" s="139"/>
      <c r="AIM1" s="139"/>
      <c r="AIN1" s="139"/>
      <c r="AIO1" s="139"/>
      <c r="AIP1" s="139"/>
      <c r="AIQ1" s="139"/>
      <c r="AIR1" s="139"/>
      <c r="AIS1" s="139"/>
      <c r="AIT1" s="139"/>
      <c r="AIU1" s="139"/>
      <c r="AIV1" s="139"/>
      <c r="AIW1" s="139"/>
      <c r="AIX1" s="139"/>
      <c r="AIY1" s="139"/>
      <c r="AIZ1" s="139"/>
      <c r="AJA1" s="139"/>
      <c r="AJB1" s="139"/>
      <c r="AJC1" s="139"/>
      <c r="AJD1" s="139"/>
      <c r="AJE1" s="139"/>
      <c r="AJF1" s="139"/>
      <c r="AJG1" s="139"/>
      <c r="AJH1" s="139"/>
      <c r="AJI1" s="139"/>
      <c r="AJJ1" s="139"/>
      <c r="AJK1" s="139"/>
      <c r="AJL1" s="139"/>
      <c r="AJM1" s="139"/>
      <c r="AJN1" s="139"/>
      <c r="AJO1" s="139"/>
      <c r="AJP1" s="139"/>
      <c r="AJQ1" s="139"/>
      <c r="AJR1" s="139"/>
      <c r="AJS1" s="139"/>
      <c r="AJT1" s="139"/>
      <c r="AJU1" s="139"/>
      <c r="AJV1" s="139"/>
      <c r="AJW1" s="139"/>
      <c r="AJX1" s="139"/>
      <c r="AJY1" s="139"/>
      <c r="AJZ1" s="139"/>
      <c r="AKA1" s="139"/>
      <c r="AKB1" s="139"/>
      <c r="AKC1" s="139"/>
      <c r="AKD1" s="139"/>
      <c r="AKE1" s="139"/>
      <c r="AKF1" s="139"/>
      <c r="AKG1" s="139"/>
      <c r="AKH1" s="139"/>
      <c r="AKI1" s="139"/>
      <c r="AKJ1" s="139"/>
      <c r="AKK1" s="139"/>
      <c r="AKL1" s="139"/>
      <c r="AKM1" s="139"/>
      <c r="AKN1" s="139"/>
      <c r="AKO1" s="139"/>
      <c r="AKP1" s="139"/>
      <c r="AKQ1" s="139"/>
      <c r="AKR1" s="139"/>
      <c r="AKS1" s="139"/>
      <c r="AKT1" s="139"/>
      <c r="AKU1" s="139"/>
      <c r="AKV1" s="139"/>
      <c r="AKW1" s="139"/>
      <c r="AKX1" s="139"/>
      <c r="AKY1" s="139"/>
      <c r="AKZ1" s="139"/>
      <c r="ALA1" s="139"/>
      <c r="ALB1" s="139"/>
      <c r="ALC1" s="139"/>
      <c r="ALD1" s="139"/>
      <c r="ALE1" s="139"/>
      <c r="ALF1" s="139"/>
      <c r="ALG1" s="139"/>
      <c r="ALH1" s="139"/>
      <c r="ALI1" s="139"/>
      <c r="ALJ1" s="139"/>
      <c r="ALK1" s="139"/>
      <c r="ALL1" s="139"/>
      <c r="ALM1" s="139"/>
      <c r="ALN1" s="139"/>
      <c r="ALO1" s="139"/>
      <c r="ALP1" s="139"/>
      <c r="ALQ1" s="139"/>
      <c r="ALR1" s="139"/>
      <c r="ALS1" s="139"/>
      <c r="ALT1" s="139"/>
      <c r="ALU1" s="139"/>
      <c r="ALV1" s="139"/>
      <c r="ALW1" s="139"/>
      <c r="ALX1" s="139"/>
      <c r="ALY1" s="139"/>
      <c r="ALZ1" s="139"/>
      <c r="AMA1" s="139"/>
      <c r="AMB1" s="139"/>
      <c r="AMC1" s="139"/>
      <c r="AMD1" s="139"/>
      <c r="AME1" s="139"/>
      <c r="AMF1" s="139"/>
      <c r="AMG1" s="139"/>
      <c r="AMH1" s="139"/>
      <c r="AMI1" s="139"/>
      <c r="AMJ1" s="139"/>
    </row>
    <row r="2" spans="1:1024" ht="13.5" customHeight="1" x14ac:dyDescent="0.35">
      <c r="A2" s="140" t="s">
        <v>28</v>
      </c>
      <c r="B2" s="141">
        <v>45987</v>
      </c>
      <c r="L2" s="140">
        <v>0</v>
      </c>
      <c r="M2" s="140">
        <v>0</v>
      </c>
      <c r="N2" s="140">
        <v>0</v>
      </c>
      <c r="O2" s="140">
        <f t="shared" ref="O2:O65" si="0">MAX($A$35)/2</f>
        <v>383.875</v>
      </c>
    </row>
    <row r="3" spans="1:1024" x14ac:dyDescent="0.35">
      <c r="A3" s="140" t="s">
        <v>29</v>
      </c>
      <c r="B3" s="142" t="s">
        <v>30</v>
      </c>
      <c r="H3" s="140" t="s">
        <v>254</v>
      </c>
      <c r="L3" s="140">
        <v>1</v>
      </c>
      <c r="M3" s="140">
        <v>0</v>
      </c>
      <c r="N3" s="140">
        <v>0</v>
      </c>
      <c r="O3" s="140">
        <f t="shared" si="0"/>
        <v>383.875</v>
      </c>
    </row>
    <row r="4" spans="1:1024" x14ac:dyDescent="0.35">
      <c r="A4" s="140" t="s">
        <v>42</v>
      </c>
      <c r="B4" s="142" t="s">
        <v>349</v>
      </c>
      <c r="H4" s="142" t="s">
        <v>255</v>
      </c>
      <c r="I4" s="140" t="s">
        <v>311</v>
      </c>
      <c r="L4" s="140">
        <v>2</v>
      </c>
      <c r="M4" s="140">
        <v>0</v>
      </c>
      <c r="N4" s="140">
        <v>0</v>
      </c>
      <c r="O4" s="140">
        <f t="shared" si="0"/>
        <v>383.875</v>
      </c>
    </row>
    <row r="5" spans="1:1024" x14ac:dyDescent="0.35">
      <c r="A5" s="140" t="s">
        <v>301</v>
      </c>
      <c r="B5" s="140">
        <v>5.12</v>
      </c>
      <c r="H5" s="145">
        <v>6.9000000000000006E-2</v>
      </c>
      <c r="I5" s="140" t="s">
        <v>135</v>
      </c>
      <c r="L5" s="140">
        <v>3</v>
      </c>
      <c r="M5" s="140">
        <v>0</v>
      </c>
      <c r="N5" s="140">
        <f t="shared" ref="N5:N68" si="1">AVERAGE(M2:M9)</f>
        <v>0</v>
      </c>
      <c r="O5" s="140">
        <f t="shared" si="0"/>
        <v>383.875</v>
      </c>
    </row>
    <row r="6" spans="1:1024" x14ac:dyDescent="0.35">
      <c r="A6" s="143" t="s">
        <v>302</v>
      </c>
      <c r="B6" s="144">
        <v>2000</v>
      </c>
      <c r="C6" s="143"/>
      <c r="H6" s="140" t="s">
        <v>256</v>
      </c>
      <c r="L6" s="140">
        <v>4</v>
      </c>
      <c r="M6" s="140">
        <v>0</v>
      </c>
      <c r="N6" s="140">
        <f t="shared" si="1"/>
        <v>0</v>
      </c>
      <c r="O6" s="140">
        <f t="shared" si="0"/>
        <v>383.875</v>
      </c>
    </row>
    <row r="7" spans="1:1024" x14ac:dyDescent="0.35">
      <c r="A7" s="143"/>
      <c r="B7" s="143"/>
      <c r="C7" s="143"/>
      <c r="L7" s="140">
        <v>5</v>
      </c>
      <c r="M7" s="140">
        <v>0</v>
      </c>
      <c r="N7" s="140">
        <f t="shared" si="1"/>
        <v>0</v>
      </c>
      <c r="O7" s="140">
        <f t="shared" si="0"/>
        <v>383.875</v>
      </c>
      <c r="Q7" s="140" t="s">
        <v>347</v>
      </c>
    </row>
    <row r="8" spans="1:1024" ht="13.9" x14ac:dyDescent="0.4">
      <c r="A8" s="100">
        <v>10.199999999999999</v>
      </c>
      <c r="B8" s="98" t="s">
        <v>197</v>
      </c>
      <c r="C8" s="98" t="s">
        <v>198</v>
      </c>
      <c r="D8" s="36"/>
      <c r="E8" s="85"/>
      <c r="G8" s="158"/>
      <c r="H8" s="159"/>
      <c r="I8" s="160" t="s">
        <v>336</v>
      </c>
      <c r="L8" s="140">
        <v>6</v>
      </c>
      <c r="M8" s="140">
        <v>0</v>
      </c>
      <c r="N8" s="140">
        <f t="shared" si="1"/>
        <v>0</v>
      </c>
      <c r="O8" s="140">
        <f t="shared" si="0"/>
        <v>383.875</v>
      </c>
    </row>
    <row r="9" spans="1:1024" x14ac:dyDescent="0.35">
      <c r="A9" s="101">
        <f>(4/3)*(3.1415936)*((A8*0.000001/2)^3)</f>
        <v>5.5564737684479979E-16</v>
      </c>
      <c r="B9" s="26" t="s">
        <v>199</v>
      </c>
      <c r="C9" s="26" t="s">
        <v>200</v>
      </c>
      <c r="D9"/>
      <c r="E9" s="45"/>
      <c r="G9" s="163"/>
      <c r="H9" s="164" t="s">
        <v>331</v>
      </c>
      <c r="I9" s="161">
        <v>2000</v>
      </c>
      <c r="L9" s="140">
        <v>7</v>
      </c>
      <c r="M9" s="140">
        <v>0</v>
      </c>
      <c r="N9" s="140">
        <f t="shared" si="1"/>
        <v>0</v>
      </c>
      <c r="O9" s="140">
        <f t="shared" si="0"/>
        <v>383.875</v>
      </c>
      <c r="Q9" s="140" t="s">
        <v>344</v>
      </c>
      <c r="R9" s="140">
        <v>10</v>
      </c>
      <c r="S9" s="140">
        <v>20</v>
      </c>
      <c r="T9" s="140">
        <v>30</v>
      </c>
      <c r="U9" s="140">
        <v>40</v>
      </c>
    </row>
    <row r="10" spans="1:1024" x14ac:dyDescent="0.35">
      <c r="A10" s="101">
        <f>A9*1.05*1000</f>
        <v>5.8342974568703982E-13</v>
      </c>
      <c r="B10" s="26" t="s">
        <v>201</v>
      </c>
      <c r="C10" s="26" t="s">
        <v>202</v>
      </c>
      <c r="D10"/>
      <c r="E10" s="45"/>
      <c r="G10" s="163"/>
      <c r="H10" s="174" t="s">
        <v>326</v>
      </c>
      <c r="I10" s="175">
        <v>0.86799999999999999</v>
      </c>
      <c r="L10" s="140">
        <v>8</v>
      </c>
      <c r="M10" s="140">
        <v>0</v>
      </c>
      <c r="N10" s="140">
        <f t="shared" si="1"/>
        <v>0</v>
      </c>
      <c r="O10" s="140">
        <f t="shared" si="0"/>
        <v>383.875</v>
      </c>
      <c r="Q10" s="140" t="s">
        <v>346</v>
      </c>
    </row>
    <row r="11" spans="1:1024" x14ac:dyDescent="0.35">
      <c r="A11" s="101">
        <f>0.000001/A10</f>
        <v>1714002.4268430332</v>
      </c>
      <c r="B11" s="26" t="s">
        <v>203</v>
      </c>
      <c r="C11" s="26" t="s">
        <v>204</v>
      </c>
      <c r="D11"/>
      <c r="E11" s="45"/>
      <c r="G11" s="163"/>
      <c r="H11" s="165" t="s">
        <v>329</v>
      </c>
      <c r="I11" s="162">
        <v>20000</v>
      </c>
      <c r="L11" s="140">
        <v>9</v>
      </c>
      <c r="M11" s="140">
        <v>0</v>
      </c>
      <c r="N11" s="140">
        <f t="shared" si="1"/>
        <v>0</v>
      </c>
      <c r="O11" s="140">
        <f t="shared" si="0"/>
        <v>383.875</v>
      </c>
      <c r="Q11" s="140" t="s">
        <v>345</v>
      </c>
      <c r="R11" s="182"/>
      <c r="S11" s="182"/>
      <c r="T11" s="182"/>
      <c r="U11" s="182"/>
    </row>
    <row r="12" spans="1:1024" ht="13.9" x14ac:dyDescent="0.4">
      <c r="A12" s="103">
        <v>2000</v>
      </c>
      <c r="B12" s="26"/>
      <c r="C12" s="26" t="s">
        <v>205</v>
      </c>
      <c r="D12"/>
      <c r="E12" s="45"/>
      <c r="G12" s="163"/>
      <c r="H12" s="176" t="s">
        <v>191</v>
      </c>
      <c r="I12" s="177">
        <f>I9/I11</f>
        <v>0.1</v>
      </c>
      <c r="L12" s="140">
        <v>10</v>
      </c>
      <c r="M12" s="140">
        <v>0</v>
      </c>
      <c r="N12" s="140">
        <f t="shared" si="1"/>
        <v>0</v>
      </c>
      <c r="O12" s="140">
        <f t="shared" si="0"/>
        <v>383.875</v>
      </c>
      <c r="R12" s="266"/>
      <c r="S12" s="266"/>
      <c r="T12" s="266"/>
      <c r="U12" s="266"/>
      <c r="V12" s="266"/>
      <c r="W12" s="266"/>
    </row>
    <row r="13" spans="1:1024" ht="13.5" customHeight="1" x14ac:dyDescent="0.35">
      <c r="A13" s="104">
        <f>A12/A11*1000</f>
        <v>1.1668594913740797</v>
      </c>
      <c r="B13" s="26" t="s">
        <v>71</v>
      </c>
      <c r="C13" s="26" t="s">
        <v>206</v>
      </c>
      <c r="D13"/>
      <c r="E13" s="45"/>
      <c r="G13" s="163"/>
      <c r="H13" s="176" t="s">
        <v>338</v>
      </c>
      <c r="I13" s="177">
        <f>(1-I12)/I12</f>
        <v>9</v>
      </c>
      <c r="L13" s="140">
        <v>11</v>
      </c>
      <c r="M13" s="140">
        <v>0</v>
      </c>
      <c r="N13" s="140">
        <f t="shared" si="1"/>
        <v>0</v>
      </c>
      <c r="O13" s="140">
        <f t="shared" si="0"/>
        <v>383.875</v>
      </c>
    </row>
    <row r="14" spans="1:1024" ht="13.9" customHeight="1" x14ac:dyDescent="0.4">
      <c r="A14" s="103">
        <v>0.5</v>
      </c>
      <c r="B14" s="26" t="s">
        <v>207</v>
      </c>
      <c r="C14" s="26" t="s">
        <v>208</v>
      </c>
      <c r="D14"/>
      <c r="E14" s="45"/>
      <c r="G14" s="163"/>
      <c r="H14" s="165" t="s">
        <v>325</v>
      </c>
      <c r="I14" s="44" t="s">
        <v>328</v>
      </c>
      <c r="L14" s="140">
        <v>12</v>
      </c>
      <c r="M14" s="140">
        <v>0</v>
      </c>
      <c r="N14" s="140">
        <f t="shared" si="1"/>
        <v>0</v>
      </c>
      <c r="O14" s="140">
        <f t="shared" si="0"/>
        <v>383.875</v>
      </c>
    </row>
    <row r="15" spans="1:1024" ht="13.5" customHeight="1" x14ac:dyDescent="0.35">
      <c r="A15" s="183">
        <f>A14*A13</f>
        <v>0.58342974568703987</v>
      </c>
      <c r="B15" s="26" t="s">
        <v>68</v>
      </c>
      <c r="C15" s="26" t="s">
        <v>209</v>
      </c>
      <c r="D15"/>
      <c r="E15" s="45"/>
      <c r="G15" s="163"/>
      <c r="H15" s="176" t="s">
        <v>330</v>
      </c>
      <c r="I15" s="178">
        <v>100</v>
      </c>
      <c r="L15" s="140">
        <v>13</v>
      </c>
      <c r="M15" s="140">
        <v>0</v>
      </c>
      <c r="N15" s="140">
        <f t="shared" si="1"/>
        <v>0</v>
      </c>
      <c r="O15" s="140">
        <f t="shared" si="0"/>
        <v>383.875</v>
      </c>
    </row>
    <row r="16" spans="1:1024" ht="13.9" customHeight="1" x14ac:dyDescent="0.4">
      <c r="A16" s="184">
        <v>0.58340000000000003</v>
      </c>
      <c r="B16" s="26" t="s">
        <v>68</v>
      </c>
      <c r="C16" s="26" t="s">
        <v>210</v>
      </c>
      <c r="D16"/>
      <c r="E16" s="45"/>
      <c r="G16" s="163"/>
      <c r="H16" s="176" t="s">
        <v>339</v>
      </c>
      <c r="I16" s="179">
        <f>I15*I10</f>
        <v>86.8</v>
      </c>
      <c r="L16" s="140">
        <v>14</v>
      </c>
      <c r="M16" s="140">
        <v>0</v>
      </c>
      <c r="N16" s="140">
        <f t="shared" si="1"/>
        <v>0</v>
      </c>
      <c r="O16" s="140">
        <f t="shared" si="0"/>
        <v>383.875</v>
      </c>
    </row>
    <row r="17" spans="1:15" ht="13.9" customHeight="1" x14ac:dyDescent="0.4">
      <c r="A17" s="105">
        <f>A16/A15*A12</f>
        <v>1999.8980316404511</v>
      </c>
      <c r="B17" s="26" t="s">
        <v>211</v>
      </c>
      <c r="C17" s="26" t="s">
        <v>314</v>
      </c>
      <c r="D17"/>
      <c r="E17" s="45"/>
      <c r="G17" s="163"/>
      <c r="H17" s="164" t="s">
        <v>332</v>
      </c>
      <c r="I17" s="172">
        <f>I9/I11*I16</f>
        <v>8.68</v>
      </c>
      <c r="L17" s="140">
        <v>15</v>
      </c>
      <c r="M17" s="140">
        <v>0</v>
      </c>
      <c r="N17" s="140">
        <f t="shared" si="1"/>
        <v>0</v>
      </c>
      <c r="O17" s="140">
        <f t="shared" si="0"/>
        <v>383.875</v>
      </c>
    </row>
    <row r="18" spans="1:15" ht="13.5" customHeight="1" x14ac:dyDescent="0.35">
      <c r="A18" s="106">
        <f>A16*A11</f>
        <v>999949.01582022558</v>
      </c>
      <c r="B18"/>
      <c r="C18" t="s">
        <v>213</v>
      </c>
      <c r="D18"/>
      <c r="E18" s="45"/>
      <c r="G18" s="167"/>
      <c r="H18" s="164" t="s">
        <v>337</v>
      </c>
      <c r="I18" s="173">
        <v>8.76</v>
      </c>
      <c r="L18" s="140">
        <v>16</v>
      </c>
      <c r="M18" s="140">
        <v>0</v>
      </c>
      <c r="N18" s="140">
        <f t="shared" si="1"/>
        <v>0</v>
      </c>
      <c r="O18" s="140">
        <f t="shared" si="0"/>
        <v>383.875</v>
      </c>
    </row>
    <row r="19" spans="1:15" ht="13.9" customHeight="1" x14ac:dyDescent="0.4">
      <c r="A19" s="106">
        <f>A17/A12*A14*1000</f>
        <v>499.97450791011278</v>
      </c>
      <c r="B19" t="s">
        <v>53</v>
      </c>
      <c r="C19" t="s">
        <v>214</v>
      </c>
      <c r="D19"/>
      <c r="E19" s="45"/>
      <c r="G19" s="168"/>
      <c r="H19" s="166" t="s">
        <v>333</v>
      </c>
      <c r="I19" s="171">
        <f>I18*I13</f>
        <v>78.84</v>
      </c>
      <c r="L19" s="140">
        <v>17</v>
      </c>
      <c r="M19" s="140">
        <v>0</v>
      </c>
      <c r="N19" s="140">
        <f t="shared" si="1"/>
        <v>0</v>
      </c>
      <c r="O19" s="140">
        <f t="shared" si="0"/>
        <v>383.875</v>
      </c>
    </row>
    <row r="20" spans="1:15" ht="13.5" customHeight="1" x14ac:dyDescent="0.35">
      <c r="A20" s="106">
        <f>A19-A14*1000</f>
        <v>-2.5492089887222846E-2</v>
      </c>
      <c r="B20" t="s">
        <v>53</v>
      </c>
      <c r="C20" t="s">
        <v>215</v>
      </c>
      <c r="D20"/>
      <c r="E20" s="45"/>
      <c r="G20" s="167"/>
      <c r="L20" s="140">
        <v>18</v>
      </c>
      <c r="M20" s="140">
        <v>0</v>
      </c>
      <c r="N20" s="140">
        <f t="shared" si="1"/>
        <v>0</v>
      </c>
      <c r="O20" s="140">
        <f t="shared" si="0"/>
        <v>383.875</v>
      </c>
    </row>
    <row r="21" spans="1:15" ht="13.9" customHeight="1" x14ac:dyDescent="0.4">
      <c r="A21" s="181">
        <f>A17</f>
        <v>1999.8980316404511</v>
      </c>
      <c r="B21" t="s">
        <v>38</v>
      </c>
      <c r="C21" t="s">
        <v>315</v>
      </c>
      <c r="D21"/>
      <c r="E21" s="45"/>
      <c r="G21" s="167"/>
      <c r="H21" s="176" t="s">
        <v>340</v>
      </c>
      <c r="I21" s="180">
        <f>(I18+I19)/I10</f>
        <v>100.92165898617513</v>
      </c>
      <c r="L21" s="140">
        <v>19</v>
      </c>
      <c r="M21" s="140">
        <v>0</v>
      </c>
      <c r="N21" s="140">
        <f t="shared" si="1"/>
        <v>0</v>
      </c>
      <c r="O21" s="140">
        <f t="shared" si="0"/>
        <v>383.875</v>
      </c>
    </row>
    <row r="22" spans="1:15" ht="13.5" customHeight="1" x14ac:dyDescent="0.35">
      <c r="A22" s="38"/>
      <c r="B22"/>
      <c r="C22"/>
      <c r="D22"/>
      <c r="E22" s="45"/>
      <c r="G22" s="167"/>
      <c r="H22" s="164" t="s">
        <v>334</v>
      </c>
      <c r="I22" s="161">
        <v>78.84</v>
      </c>
      <c r="L22" s="140">
        <v>20</v>
      </c>
      <c r="M22" s="140">
        <v>0</v>
      </c>
      <c r="N22" s="140">
        <f t="shared" si="1"/>
        <v>0</v>
      </c>
      <c r="O22" s="140">
        <f t="shared" si="0"/>
        <v>383.875</v>
      </c>
    </row>
    <row r="23" spans="1:15" ht="13.5" customHeight="1" x14ac:dyDescent="0.35">
      <c r="A23" s="38" t="s">
        <v>191</v>
      </c>
      <c r="B23"/>
      <c r="C23"/>
      <c r="D23"/>
      <c r="E23" s="45"/>
      <c r="H23" s="169" t="s">
        <v>335</v>
      </c>
      <c r="I23" s="170">
        <f>I11*I18/(I18+I22)</f>
        <v>1999.9999999999998</v>
      </c>
      <c r="L23" s="140">
        <v>21</v>
      </c>
      <c r="M23" s="140">
        <v>0</v>
      </c>
      <c r="N23" s="140">
        <f t="shared" si="1"/>
        <v>0</v>
      </c>
      <c r="O23" s="140">
        <f t="shared" si="0"/>
        <v>383.875</v>
      </c>
    </row>
    <row r="24" spans="1:15" ht="13.5" customHeight="1" x14ac:dyDescent="0.35">
      <c r="A24" s="38">
        <v>100</v>
      </c>
      <c r="B24" t="s">
        <v>53</v>
      </c>
      <c r="C24" t="s">
        <v>216</v>
      </c>
      <c r="D24"/>
      <c r="E24" s="45"/>
      <c r="L24" s="140">
        <v>22</v>
      </c>
      <c r="M24" s="140">
        <v>0</v>
      </c>
      <c r="N24" s="140">
        <f t="shared" si="1"/>
        <v>0</v>
      </c>
      <c r="O24" s="140">
        <f t="shared" si="0"/>
        <v>383.875</v>
      </c>
    </row>
    <row r="25" spans="1:15" ht="13.5" customHeight="1" x14ac:dyDescent="0.35">
      <c r="A25" s="38">
        <v>2000</v>
      </c>
      <c r="B25" t="s">
        <v>38</v>
      </c>
      <c r="C25" t="s">
        <v>218</v>
      </c>
      <c r="D25"/>
      <c r="E25" s="45"/>
      <c r="L25" s="140">
        <v>23</v>
      </c>
      <c r="M25" s="140">
        <v>0</v>
      </c>
      <c r="N25" s="140">
        <f t="shared" si="1"/>
        <v>0</v>
      </c>
      <c r="O25" s="140">
        <f t="shared" si="0"/>
        <v>383.875</v>
      </c>
    </row>
    <row r="26" spans="1:15" x14ac:dyDescent="0.35">
      <c r="A26" s="38">
        <f>A24*A25</f>
        <v>200000</v>
      </c>
      <c r="B26" t="s">
        <v>219</v>
      </c>
      <c r="C26" t="s">
        <v>220</v>
      </c>
      <c r="D26"/>
      <c r="E26" s="45"/>
      <c r="L26" s="140">
        <v>24</v>
      </c>
      <c r="M26" s="140">
        <v>0</v>
      </c>
      <c r="N26" s="140">
        <f t="shared" si="1"/>
        <v>0</v>
      </c>
      <c r="O26" s="140">
        <f t="shared" si="0"/>
        <v>383.875</v>
      </c>
    </row>
    <row r="27" spans="1:15" x14ac:dyDescent="0.35">
      <c r="A27" s="106">
        <f>A26/A21</f>
        <v>100.00509867792935</v>
      </c>
      <c r="B27" t="s">
        <v>53</v>
      </c>
      <c r="C27" t="s">
        <v>221</v>
      </c>
      <c r="D27"/>
      <c r="E27" s="45"/>
      <c r="L27" s="140">
        <v>25</v>
      </c>
      <c r="M27" s="140">
        <v>0</v>
      </c>
      <c r="N27" s="140">
        <f t="shared" si="1"/>
        <v>0</v>
      </c>
      <c r="O27" s="140">
        <f t="shared" si="0"/>
        <v>383.875</v>
      </c>
    </row>
    <row r="28" spans="1:15" x14ac:dyDescent="0.35">
      <c r="A28" s="106">
        <f>A24-A27</f>
        <v>-5.098677929353812E-3</v>
      </c>
      <c r="B28" t="s">
        <v>53</v>
      </c>
      <c r="C28" t="s">
        <v>222</v>
      </c>
      <c r="D28"/>
      <c r="E28" s="45"/>
      <c r="L28" s="140">
        <v>26</v>
      </c>
      <c r="M28" s="140">
        <v>0</v>
      </c>
      <c r="N28" s="140">
        <f t="shared" si="1"/>
        <v>0</v>
      </c>
      <c r="O28" s="140">
        <f t="shared" si="0"/>
        <v>383.875</v>
      </c>
    </row>
    <row r="29" spans="1:15" x14ac:dyDescent="0.35">
      <c r="A29" s="38"/>
      <c r="B29"/>
      <c r="C29"/>
      <c r="D29"/>
      <c r="E29" s="45"/>
      <c r="L29" s="140">
        <v>27</v>
      </c>
      <c r="M29" s="140">
        <v>0</v>
      </c>
      <c r="N29" s="140">
        <f t="shared" si="1"/>
        <v>0</v>
      </c>
      <c r="O29" s="140">
        <f t="shared" si="0"/>
        <v>383.875</v>
      </c>
    </row>
    <row r="30" spans="1:15" x14ac:dyDescent="0.35">
      <c r="A30" s="47"/>
      <c r="B30" s="48"/>
      <c r="C30" s="48"/>
      <c r="D30" s="48"/>
      <c r="E30" s="89"/>
      <c r="L30" s="140">
        <v>28</v>
      </c>
      <c r="M30" s="140">
        <v>0</v>
      </c>
      <c r="N30" s="140">
        <f t="shared" si="1"/>
        <v>0</v>
      </c>
      <c r="O30" s="140">
        <f t="shared" si="0"/>
        <v>383.875</v>
      </c>
    </row>
    <row r="31" spans="1:15" x14ac:dyDescent="0.35">
      <c r="L31" s="140">
        <v>29</v>
      </c>
      <c r="M31" s="140">
        <v>0</v>
      </c>
      <c r="N31" s="140">
        <f t="shared" si="1"/>
        <v>0</v>
      </c>
      <c r="O31" s="140">
        <f t="shared" si="0"/>
        <v>383.875</v>
      </c>
    </row>
    <row r="32" spans="1:15" x14ac:dyDescent="0.35">
      <c r="L32" s="140">
        <v>30</v>
      </c>
      <c r="M32" s="140">
        <v>0</v>
      </c>
      <c r="N32" s="140">
        <f t="shared" si="1"/>
        <v>0</v>
      </c>
      <c r="O32" s="140">
        <f t="shared" si="0"/>
        <v>383.875</v>
      </c>
    </row>
    <row r="33" spans="1:15" x14ac:dyDescent="0.35">
      <c r="L33" s="140">
        <v>31</v>
      </c>
      <c r="M33" s="140">
        <v>0</v>
      </c>
      <c r="N33" s="140">
        <f t="shared" si="1"/>
        <v>0</v>
      </c>
      <c r="O33" s="140">
        <f t="shared" si="0"/>
        <v>383.875</v>
      </c>
    </row>
    <row r="34" spans="1:15" x14ac:dyDescent="0.35">
      <c r="L34" s="140">
        <v>32</v>
      </c>
      <c r="M34" s="140">
        <v>0</v>
      </c>
      <c r="N34" s="140">
        <f t="shared" si="1"/>
        <v>0</v>
      </c>
      <c r="O34" s="140">
        <f t="shared" si="0"/>
        <v>383.875</v>
      </c>
    </row>
    <row r="35" spans="1:15" x14ac:dyDescent="0.35">
      <c r="A35" s="50">
        <f>MAX($N$2:$N$1000)</f>
        <v>767.75</v>
      </c>
      <c r="B35" s="140" t="s">
        <v>257</v>
      </c>
      <c r="L35" s="140">
        <v>33</v>
      </c>
      <c r="M35" s="140">
        <v>0</v>
      </c>
      <c r="N35" s="140">
        <f t="shared" si="1"/>
        <v>0</v>
      </c>
      <c r="O35" s="140">
        <f t="shared" si="0"/>
        <v>383.875</v>
      </c>
    </row>
    <row r="36" spans="1:15" x14ac:dyDescent="0.35">
      <c r="A36" s="50">
        <f>MATCH(A35, N2:N1000, 0)</f>
        <v>218</v>
      </c>
      <c r="B36" s="140" t="s">
        <v>258</v>
      </c>
      <c r="L36" s="140">
        <v>34</v>
      </c>
      <c r="M36" s="140">
        <v>0</v>
      </c>
      <c r="N36" s="140">
        <f t="shared" si="1"/>
        <v>0</v>
      </c>
      <c r="O36" s="140">
        <f t="shared" si="0"/>
        <v>383.875</v>
      </c>
    </row>
    <row r="37" spans="1:15" x14ac:dyDescent="0.35">
      <c r="A37" s="50">
        <f>A35/2</f>
        <v>383.875</v>
      </c>
      <c r="B37" s="140" t="s">
        <v>259</v>
      </c>
      <c r="L37" s="140">
        <v>35</v>
      </c>
      <c r="M37" s="140">
        <v>0</v>
      </c>
      <c r="N37" s="140">
        <f t="shared" si="1"/>
        <v>0</v>
      </c>
      <c r="O37" s="140">
        <f t="shared" si="0"/>
        <v>383.875</v>
      </c>
    </row>
    <row r="38" spans="1:15" x14ac:dyDescent="0.35">
      <c r="A38" s="50">
        <f t="array" ref="A38">MATCH(TRUE, IF(N2:N1000 &gt; A37, TRUE), 0)</f>
        <v>195</v>
      </c>
      <c r="B38" s="140" t="s">
        <v>260</v>
      </c>
      <c r="L38" s="140">
        <v>36</v>
      </c>
      <c r="M38" s="140">
        <v>0</v>
      </c>
      <c r="N38" s="140">
        <f t="shared" si="1"/>
        <v>0</v>
      </c>
      <c r="O38" s="140">
        <f t="shared" si="0"/>
        <v>383.875</v>
      </c>
    </row>
    <row r="39" spans="1:15" x14ac:dyDescent="0.35">
      <c r="A39" s="50">
        <f>INDEX(L2:L1000,A38)</f>
        <v>194</v>
      </c>
      <c r="B39" s="140" t="s">
        <v>261</v>
      </c>
      <c r="L39" s="140">
        <v>37</v>
      </c>
      <c r="M39" s="140">
        <v>0</v>
      </c>
      <c r="N39" s="140">
        <f t="shared" si="1"/>
        <v>0</v>
      </c>
      <c r="O39" s="140">
        <f t="shared" si="0"/>
        <v>383.875</v>
      </c>
    </row>
    <row r="40" spans="1:15" x14ac:dyDescent="0.35">
      <c r="A40" s="50">
        <f>A36-A39</f>
        <v>24</v>
      </c>
      <c r="B40" s="140" t="s">
        <v>262</v>
      </c>
      <c r="L40" s="140">
        <v>38</v>
      </c>
      <c r="M40" s="140">
        <v>0</v>
      </c>
      <c r="N40" s="140">
        <f t="shared" si="1"/>
        <v>0</v>
      </c>
      <c r="O40" s="140">
        <f t="shared" si="0"/>
        <v>383.875</v>
      </c>
    </row>
    <row r="41" spans="1:15" x14ac:dyDescent="0.35">
      <c r="A41" s="50">
        <f>A40*2</f>
        <v>48</v>
      </c>
      <c r="B41" s="140" t="s">
        <v>263</v>
      </c>
      <c r="L41" s="140">
        <v>39</v>
      </c>
      <c r="M41" s="140">
        <v>0</v>
      </c>
      <c r="N41" s="140">
        <f t="shared" si="1"/>
        <v>0</v>
      </c>
      <c r="O41" s="140">
        <f t="shared" si="0"/>
        <v>383.875</v>
      </c>
    </row>
    <row r="42" spans="1:15" x14ac:dyDescent="0.35">
      <c r="A42" s="50">
        <f>A41 / (2 * SQRT(2 * LN(2)))</f>
        <v>20.383723206912457</v>
      </c>
      <c r="B42" s="140" t="s">
        <v>264</v>
      </c>
      <c r="L42" s="140">
        <v>40</v>
      </c>
      <c r="M42" s="140">
        <v>0</v>
      </c>
      <c r="N42" s="140">
        <f t="shared" si="1"/>
        <v>0</v>
      </c>
      <c r="O42" s="140">
        <f t="shared" si="0"/>
        <v>383.875</v>
      </c>
    </row>
    <row r="43" spans="1:15" ht="15" x14ac:dyDescent="0.5">
      <c r="A43" s="145">
        <f>A42/A36</f>
        <v>9.3503317462901178E-2</v>
      </c>
      <c r="B43" s="147" t="s">
        <v>312</v>
      </c>
      <c r="L43" s="140">
        <v>41</v>
      </c>
      <c r="M43" s="140">
        <v>0</v>
      </c>
      <c r="N43" s="140">
        <f t="shared" si="1"/>
        <v>0</v>
      </c>
      <c r="O43" s="140">
        <f t="shared" si="0"/>
        <v>383.875</v>
      </c>
    </row>
    <row r="44" spans="1:15" x14ac:dyDescent="0.35">
      <c r="A44" s="146"/>
      <c r="L44" s="140">
        <v>42</v>
      </c>
      <c r="M44" s="140">
        <v>0</v>
      </c>
      <c r="N44" s="140">
        <f t="shared" si="1"/>
        <v>0</v>
      </c>
      <c r="O44" s="140">
        <f t="shared" si="0"/>
        <v>383.875</v>
      </c>
    </row>
    <row r="45" spans="1:15" ht="15" x14ac:dyDescent="0.5">
      <c r="A45" s="145">
        <f>A43/2</f>
        <v>4.6751658731450589E-2</v>
      </c>
      <c r="B45" s="147" t="s">
        <v>313</v>
      </c>
      <c r="L45" s="140">
        <v>43</v>
      </c>
      <c r="M45" s="140">
        <v>0</v>
      </c>
      <c r="N45" s="140">
        <f t="shared" si="1"/>
        <v>0</v>
      </c>
      <c r="O45" s="140">
        <f t="shared" si="0"/>
        <v>383.875</v>
      </c>
    </row>
    <row r="46" spans="1:15" x14ac:dyDescent="0.35">
      <c r="L46" s="140">
        <v>44</v>
      </c>
      <c r="M46" s="140">
        <v>0</v>
      </c>
      <c r="N46" s="140">
        <f t="shared" si="1"/>
        <v>0</v>
      </c>
      <c r="O46" s="140">
        <f t="shared" si="0"/>
        <v>383.875</v>
      </c>
    </row>
    <row r="47" spans="1:15" x14ac:dyDescent="0.35">
      <c r="L47" s="140">
        <v>45</v>
      </c>
      <c r="M47" s="140">
        <v>0</v>
      </c>
      <c r="N47" s="140">
        <f t="shared" si="1"/>
        <v>0</v>
      </c>
      <c r="O47" s="140">
        <f t="shared" si="0"/>
        <v>383.875</v>
      </c>
    </row>
    <row r="48" spans="1:15" x14ac:dyDescent="0.35">
      <c r="L48" s="140">
        <v>46</v>
      </c>
      <c r="M48" s="140">
        <v>0</v>
      </c>
      <c r="N48" s="140">
        <f t="shared" si="1"/>
        <v>0</v>
      </c>
      <c r="O48" s="140">
        <f t="shared" si="0"/>
        <v>383.875</v>
      </c>
    </row>
    <row r="49" spans="1:15" x14ac:dyDescent="0.35">
      <c r="L49" s="140">
        <v>47</v>
      </c>
      <c r="M49" s="140">
        <v>0</v>
      </c>
      <c r="N49" s="140">
        <f t="shared" si="1"/>
        <v>0</v>
      </c>
      <c r="O49" s="140">
        <f t="shared" si="0"/>
        <v>383.875</v>
      </c>
    </row>
    <row r="50" spans="1:15" x14ac:dyDescent="0.35">
      <c r="L50" s="140">
        <v>48</v>
      </c>
      <c r="M50" s="140">
        <v>0</v>
      </c>
      <c r="N50" s="140">
        <f t="shared" si="1"/>
        <v>0</v>
      </c>
      <c r="O50" s="140">
        <f t="shared" si="0"/>
        <v>383.875</v>
      </c>
    </row>
    <row r="51" spans="1:15" x14ac:dyDescent="0.35">
      <c r="L51" s="140">
        <v>49</v>
      </c>
      <c r="M51" s="140">
        <v>0</v>
      </c>
      <c r="N51" s="140">
        <f t="shared" si="1"/>
        <v>0</v>
      </c>
      <c r="O51" s="140">
        <f t="shared" si="0"/>
        <v>383.875</v>
      </c>
    </row>
    <row r="52" spans="1:15" x14ac:dyDescent="0.35">
      <c r="L52" s="140">
        <v>50</v>
      </c>
      <c r="M52" s="140">
        <v>0</v>
      </c>
      <c r="N52" s="140">
        <f t="shared" si="1"/>
        <v>0</v>
      </c>
      <c r="O52" s="140">
        <f t="shared" si="0"/>
        <v>383.875</v>
      </c>
    </row>
    <row r="53" spans="1:15" x14ac:dyDescent="0.35">
      <c r="L53" s="140">
        <v>51</v>
      </c>
      <c r="M53" s="140">
        <v>0</v>
      </c>
      <c r="N53" s="140">
        <f t="shared" si="1"/>
        <v>0</v>
      </c>
      <c r="O53" s="140">
        <f t="shared" si="0"/>
        <v>383.875</v>
      </c>
    </row>
    <row r="54" spans="1:15" x14ac:dyDescent="0.35">
      <c r="L54" s="140">
        <v>52</v>
      </c>
      <c r="M54" s="140">
        <v>0</v>
      </c>
      <c r="N54" s="140">
        <f t="shared" si="1"/>
        <v>0</v>
      </c>
      <c r="O54" s="140">
        <f t="shared" si="0"/>
        <v>383.875</v>
      </c>
    </row>
    <row r="55" spans="1:15" x14ac:dyDescent="0.35">
      <c r="A55" s="140" t="s">
        <v>303</v>
      </c>
      <c r="D55" s="140">
        <v>16</v>
      </c>
      <c r="L55" s="140">
        <v>53</v>
      </c>
      <c r="M55" s="140">
        <v>0</v>
      </c>
      <c r="N55" s="140">
        <f t="shared" si="1"/>
        <v>0</v>
      </c>
      <c r="O55" s="140">
        <f t="shared" si="0"/>
        <v>383.875</v>
      </c>
    </row>
    <row r="56" spans="1:15" x14ac:dyDescent="0.35">
      <c r="A56" s="140" t="s">
        <v>304</v>
      </c>
      <c r="D56" s="140">
        <v>20</v>
      </c>
      <c r="E56" s="140" t="s">
        <v>305</v>
      </c>
      <c r="L56" s="140">
        <v>54</v>
      </c>
      <c r="M56" s="140">
        <v>0</v>
      </c>
      <c r="N56" s="140">
        <f t="shared" si="1"/>
        <v>0</v>
      </c>
      <c r="O56" s="140">
        <f t="shared" si="0"/>
        <v>383.875</v>
      </c>
    </row>
    <row r="57" spans="1:15" x14ac:dyDescent="0.35">
      <c r="A57" s="140" t="s">
        <v>306</v>
      </c>
      <c r="D57" s="140">
        <v>10</v>
      </c>
      <c r="E57" s="140" t="s">
        <v>307</v>
      </c>
      <c r="L57" s="140">
        <v>55</v>
      </c>
      <c r="M57" s="140">
        <v>0</v>
      </c>
      <c r="N57" s="140">
        <f t="shared" si="1"/>
        <v>0</v>
      </c>
      <c r="O57" s="140">
        <f t="shared" si="0"/>
        <v>383.875</v>
      </c>
    </row>
    <row r="58" spans="1:15" x14ac:dyDescent="0.35">
      <c r="L58" s="140">
        <v>56</v>
      </c>
      <c r="M58" s="140">
        <v>0</v>
      </c>
      <c r="N58" s="140">
        <f t="shared" si="1"/>
        <v>0</v>
      </c>
      <c r="O58" s="140">
        <f t="shared" si="0"/>
        <v>383.875</v>
      </c>
    </row>
    <row r="59" spans="1:15" x14ac:dyDescent="0.35">
      <c r="A59" s="140" t="s">
        <v>308</v>
      </c>
      <c r="B59" s="140">
        <v>23.265999999999998</v>
      </c>
      <c r="C59" s="140" t="s">
        <v>53</v>
      </c>
      <c r="L59" s="140">
        <v>57</v>
      </c>
      <c r="M59" s="140">
        <v>0</v>
      </c>
      <c r="N59" s="140">
        <f t="shared" si="1"/>
        <v>0</v>
      </c>
      <c r="O59" s="140">
        <f t="shared" si="0"/>
        <v>383.875</v>
      </c>
    </row>
    <row r="60" spans="1:15" x14ac:dyDescent="0.35">
      <c r="A60" s="140" t="s">
        <v>309</v>
      </c>
      <c r="B60" s="140">
        <v>50</v>
      </c>
      <c r="C60" s="140" t="s">
        <v>53</v>
      </c>
      <c r="L60" s="140">
        <v>58</v>
      </c>
      <c r="M60" s="140">
        <v>0</v>
      </c>
      <c r="N60" s="140">
        <f t="shared" si="1"/>
        <v>0</v>
      </c>
      <c r="O60" s="140">
        <f t="shared" si="0"/>
        <v>383.875</v>
      </c>
    </row>
    <row r="61" spans="1:15" x14ac:dyDescent="0.35">
      <c r="A61" s="140" t="s">
        <v>265</v>
      </c>
      <c r="B61" s="145">
        <f>B59/B60</f>
        <v>0.46531999999999996</v>
      </c>
      <c r="L61" s="140">
        <v>59</v>
      </c>
      <c r="M61" s="140">
        <v>0</v>
      </c>
      <c r="N61" s="140">
        <f t="shared" si="1"/>
        <v>0</v>
      </c>
      <c r="O61" s="140">
        <f t="shared" si="0"/>
        <v>383.875</v>
      </c>
    </row>
    <row r="62" spans="1:15" x14ac:dyDescent="0.35">
      <c r="A62" s="140" t="s">
        <v>341</v>
      </c>
      <c r="B62" s="140">
        <f>SUM(M2:M1000)</f>
        <v>44259</v>
      </c>
      <c r="L62" s="140">
        <v>60</v>
      </c>
      <c r="M62" s="140">
        <v>0</v>
      </c>
      <c r="N62" s="140">
        <f t="shared" si="1"/>
        <v>0</v>
      </c>
      <c r="O62" s="140">
        <f t="shared" si="0"/>
        <v>383.875</v>
      </c>
    </row>
    <row r="63" spans="1:15" x14ac:dyDescent="0.35">
      <c r="A63" s="140" t="s">
        <v>343</v>
      </c>
      <c r="B63" s="140">
        <f>B59*I23</f>
        <v>46531.999999999993</v>
      </c>
      <c r="L63" s="140">
        <v>61</v>
      </c>
      <c r="M63" s="140">
        <v>0</v>
      </c>
      <c r="N63" s="140">
        <f t="shared" si="1"/>
        <v>0</v>
      </c>
      <c r="O63" s="140">
        <f t="shared" si="0"/>
        <v>383.875</v>
      </c>
    </row>
    <row r="64" spans="1:15" x14ac:dyDescent="0.35">
      <c r="L64" s="140">
        <v>62</v>
      </c>
      <c r="M64" s="140">
        <v>0</v>
      </c>
      <c r="N64" s="140">
        <f t="shared" si="1"/>
        <v>0</v>
      </c>
      <c r="O64" s="140">
        <f t="shared" si="0"/>
        <v>383.875</v>
      </c>
    </row>
    <row r="65" spans="1:15" x14ac:dyDescent="0.35">
      <c r="A65" s="140" t="s">
        <v>265</v>
      </c>
      <c r="B65" s="140">
        <f>B62/B63</f>
        <v>0.9511518954697844</v>
      </c>
      <c r="L65" s="140">
        <v>63</v>
      </c>
      <c r="M65" s="140">
        <v>0</v>
      </c>
      <c r="N65" s="140">
        <f t="shared" si="1"/>
        <v>0</v>
      </c>
      <c r="O65" s="140">
        <f t="shared" si="0"/>
        <v>383.875</v>
      </c>
    </row>
    <row r="66" spans="1:15" x14ac:dyDescent="0.35">
      <c r="L66" s="140">
        <v>64</v>
      </c>
      <c r="M66" s="140">
        <v>0</v>
      </c>
      <c r="N66" s="140">
        <f t="shared" si="1"/>
        <v>0</v>
      </c>
      <c r="O66" s="140">
        <f t="shared" ref="O66:O129" si="2">MAX($A$35)/2</f>
        <v>383.875</v>
      </c>
    </row>
    <row r="67" spans="1:15" x14ac:dyDescent="0.35">
      <c r="L67" s="140">
        <v>65</v>
      </c>
      <c r="M67" s="140">
        <v>0</v>
      </c>
      <c r="N67" s="140">
        <f t="shared" si="1"/>
        <v>0</v>
      </c>
      <c r="O67" s="140">
        <f t="shared" si="2"/>
        <v>383.875</v>
      </c>
    </row>
    <row r="68" spans="1:15" x14ac:dyDescent="0.35">
      <c r="L68" s="140">
        <v>66</v>
      </c>
      <c r="M68" s="140">
        <v>0</v>
      </c>
      <c r="N68" s="140">
        <f t="shared" si="1"/>
        <v>0</v>
      </c>
      <c r="O68" s="140">
        <f t="shared" si="2"/>
        <v>383.875</v>
      </c>
    </row>
    <row r="69" spans="1:15" x14ac:dyDescent="0.35">
      <c r="L69" s="140">
        <v>67</v>
      </c>
      <c r="M69" s="140">
        <v>0</v>
      </c>
      <c r="N69" s="140">
        <f t="shared" ref="N69:N132" si="3">AVERAGE(M66:M73)</f>
        <v>0</v>
      </c>
      <c r="O69" s="140">
        <f t="shared" si="2"/>
        <v>383.875</v>
      </c>
    </row>
    <row r="70" spans="1:15" x14ac:dyDescent="0.35">
      <c r="L70" s="140">
        <v>68</v>
      </c>
      <c r="M70" s="140">
        <v>0</v>
      </c>
      <c r="N70" s="140">
        <f t="shared" si="3"/>
        <v>0</v>
      </c>
      <c r="O70" s="140">
        <f t="shared" si="2"/>
        <v>383.875</v>
      </c>
    </row>
    <row r="71" spans="1:15" x14ac:dyDescent="0.35">
      <c r="L71" s="140">
        <v>69</v>
      </c>
      <c r="M71" s="140">
        <v>0</v>
      </c>
      <c r="N71" s="140">
        <f t="shared" si="3"/>
        <v>0</v>
      </c>
      <c r="O71" s="140">
        <f t="shared" si="2"/>
        <v>383.875</v>
      </c>
    </row>
    <row r="72" spans="1:15" x14ac:dyDescent="0.35">
      <c r="L72" s="140">
        <v>70</v>
      </c>
      <c r="M72" s="140">
        <v>0</v>
      </c>
      <c r="N72" s="140">
        <f t="shared" si="3"/>
        <v>0</v>
      </c>
      <c r="O72" s="140">
        <f t="shared" si="2"/>
        <v>383.875</v>
      </c>
    </row>
    <row r="73" spans="1:15" x14ac:dyDescent="0.35">
      <c r="L73" s="140">
        <v>71</v>
      </c>
      <c r="M73" s="140">
        <v>0</v>
      </c>
      <c r="N73" s="140">
        <f t="shared" si="3"/>
        <v>0</v>
      </c>
      <c r="O73" s="140">
        <f t="shared" si="2"/>
        <v>383.875</v>
      </c>
    </row>
    <row r="74" spans="1:15" x14ac:dyDescent="0.35">
      <c r="L74" s="140">
        <v>72</v>
      </c>
      <c r="M74" s="140">
        <v>0</v>
      </c>
      <c r="N74" s="140">
        <f t="shared" si="3"/>
        <v>0</v>
      </c>
      <c r="O74" s="140">
        <f t="shared" si="2"/>
        <v>383.875</v>
      </c>
    </row>
    <row r="75" spans="1:15" x14ac:dyDescent="0.35">
      <c r="L75" s="140">
        <v>73</v>
      </c>
      <c r="M75" s="140">
        <v>0</v>
      </c>
      <c r="N75" s="140">
        <f t="shared" si="3"/>
        <v>0</v>
      </c>
      <c r="O75" s="140">
        <f t="shared" si="2"/>
        <v>383.875</v>
      </c>
    </row>
    <row r="76" spans="1:15" x14ac:dyDescent="0.35">
      <c r="L76" s="140">
        <v>74</v>
      </c>
      <c r="M76" s="140">
        <v>0</v>
      </c>
      <c r="N76" s="140">
        <f t="shared" si="3"/>
        <v>0</v>
      </c>
      <c r="O76" s="140">
        <f t="shared" si="2"/>
        <v>383.875</v>
      </c>
    </row>
    <row r="77" spans="1:15" x14ac:dyDescent="0.35">
      <c r="L77" s="140">
        <v>75</v>
      </c>
      <c r="M77" s="140">
        <v>0</v>
      </c>
      <c r="N77" s="140">
        <f t="shared" si="3"/>
        <v>0</v>
      </c>
      <c r="O77" s="140">
        <f t="shared" si="2"/>
        <v>383.875</v>
      </c>
    </row>
    <row r="78" spans="1:15" x14ac:dyDescent="0.35">
      <c r="L78" s="140">
        <v>76</v>
      </c>
      <c r="M78" s="140">
        <v>0</v>
      </c>
      <c r="N78" s="140">
        <f t="shared" si="3"/>
        <v>0</v>
      </c>
      <c r="O78" s="140">
        <f t="shared" si="2"/>
        <v>383.875</v>
      </c>
    </row>
    <row r="79" spans="1:15" x14ac:dyDescent="0.35">
      <c r="L79" s="140">
        <v>77</v>
      </c>
      <c r="M79" s="140">
        <v>0</v>
      </c>
      <c r="N79" s="140">
        <f t="shared" si="3"/>
        <v>0</v>
      </c>
      <c r="O79" s="140">
        <f t="shared" si="2"/>
        <v>383.875</v>
      </c>
    </row>
    <row r="80" spans="1:15" x14ac:dyDescent="0.35">
      <c r="L80" s="140">
        <v>78</v>
      </c>
      <c r="M80" s="140">
        <v>0</v>
      </c>
      <c r="N80" s="140">
        <f t="shared" si="3"/>
        <v>0</v>
      </c>
      <c r="O80" s="140">
        <f t="shared" si="2"/>
        <v>383.875</v>
      </c>
    </row>
    <row r="81" spans="12:15" x14ac:dyDescent="0.35">
      <c r="L81" s="140">
        <v>79</v>
      </c>
      <c r="M81" s="140">
        <v>0</v>
      </c>
      <c r="N81" s="140">
        <f t="shared" si="3"/>
        <v>0</v>
      </c>
      <c r="O81" s="140">
        <f t="shared" si="2"/>
        <v>383.875</v>
      </c>
    </row>
    <row r="82" spans="12:15" x14ac:dyDescent="0.35">
      <c r="L82" s="140">
        <v>80</v>
      </c>
      <c r="M82" s="140">
        <v>0</v>
      </c>
      <c r="N82" s="140">
        <f t="shared" si="3"/>
        <v>0</v>
      </c>
      <c r="O82" s="140">
        <f t="shared" si="2"/>
        <v>383.875</v>
      </c>
    </row>
    <row r="83" spans="12:15" x14ac:dyDescent="0.35">
      <c r="L83" s="140">
        <v>81</v>
      </c>
      <c r="M83" s="140">
        <v>0</v>
      </c>
      <c r="N83" s="140">
        <f t="shared" si="3"/>
        <v>0</v>
      </c>
      <c r="O83" s="140">
        <f t="shared" si="2"/>
        <v>383.875</v>
      </c>
    </row>
    <row r="84" spans="12:15" x14ac:dyDescent="0.35">
      <c r="L84" s="140">
        <v>82</v>
      </c>
      <c r="M84" s="140">
        <v>0</v>
      </c>
      <c r="N84" s="140">
        <f t="shared" si="3"/>
        <v>0</v>
      </c>
      <c r="O84" s="140">
        <f t="shared" si="2"/>
        <v>383.875</v>
      </c>
    </row>
    <row r="85" spans="12:15" x14ac:dyDescent="0.35">
      <c r="L85" s="140">
        <v>83</v>
      </c>
      <c r="M85" s="140">
        <v>0</v>
      </c>
      <c r="N85" s="140">
        <f t="shared" si="3"/>
        <v>0</v>
      </c>
      <c r="O85" s="140">
        <f t="shared" si="2"/>
        <v>383.875</v>
      </c>
    </row>
    <row r="86" spans="12:15" x14ac:dyDescent="0.35">
      <c r="L86" s="140">
        <v>84</v>
      </c>
      <c r="M86" s="140">
        <v>0</v>
      </c>
      <c r="N86" s="140">
        <f t="shared" si="3"/>
        <v>0</v>
      </c>
      <c r="O86" s="140">
        <f t="shared" si="2"/>
        <v>383.875</v>
      </c>
    </row>
    <row r="87" spans="12:15" x14ac:dyDescent="0.35">
      <c r="L87" s="140">
        <v>85</v>
      </c>
      <c r="M87" s="140">
        <v>0</v>
      </c>
      <c r="N87" s="140">
        <f t="shared" si="3"/>
        <v>0</v>
      </c>
      <c r="O87" s="140">
        <f t="shared" si="2"/>
        <v>383.875</v>
      </c>
    </row>
    <row r="88" spans="12:15" x14ac:dyDescent="0.35">
      <c r="L88" s="140">
        <v>86</v>
      </c>
      <c r="M88" s="140">
        <v>0</v>
      </c>
      <c r="N88" s="140">
        <f t="shared" si="3"/>
        <v>0</v>
      </c>
      <c r="O88" s="140">
        <f t="shared" si="2"/>
        <v>383.875</v>
      </c>
    </row>
    <row r="89" spans="12:15" x14ac:dyDescent="0.35">
      <c r="L89" s="140">
        <v>87</v>
      </c>
      <c r="M89" s="140">
        <v>0</v>
      </c>
      <c r="N89" s="140">
        <f t="shared" si="3"/>
        <v>0</v>
      </c>
      <c r="O89" s="140">
        <f t="shared" si="2"/>
        <v>383.875</v>
      </c>
    </row>
    <row r="90" spans="12:15" x14ac:dyDescent="0.35">
      <c r="L90" s="140">
        <v>88</v>
      </c>
      <c r="M90" s="140">
        <v>0</v>
      </c>
      <c r="N90" s="140">
        <f t="shared" si="3"/>
        <v>0</v>
      </c>
      <c r="O90" s="140">
        <f t="shared" si="2"/>
        <v>383.875</v>
      </c>
    </row>
    <row r="91" spans="12:15" x14ac:dyDescent="0.35">
      <c r="L91" s="140">
        <v>89</v>
      </c>
      <c r="M91" s="140">
        <v>0</v>
      </c>
      <c r="N91" s="140">
        <f t="shared" si="3"/>
        <v>0</v>
      </c>
      <c r="O91" s="140">
        <f t="shared" si="2"/>
        <v>383.875</v>
      </c>
    </row>
    <row r="92" spans="12:15" x14ac:dyDescent="0.35">
      <c r="L92" s="140">
        <v>90</v>
      </c>
      <c r="M92" s="140">
        <v>0</v>
      </c>
      <c r="N92" s="140">
        <f t="shared" si="3"/>
        <v>0</v>
      </c>
      <c r="O92" s="140">
        <f t="shared" si="2"/>
        <v>383.875</v>
      </c>
    </row>
    <row r="93" spans="12:15" x14ac:dyDescent="0.35">
      <c r="L93" s="140">
        <v>91</v>
      </c>
      <c r="M93" s="140">
        <v>0</v>
      </c>
      <c r="N93" s="140">
        <f t="shared" si="3"/>
        <v>0</v>
      </c>
      <c r="O93" s="140">
        <f t="shared" si="2"/>
        <v>383.875</v>
      </c>
    </row>
    <row r="94" spans="12:15" x14ac:dyDescent="0.35">
      <c r="L94" s="140">
        <v>92</v>
      </c>
      <c r="M94" s="140">
        <v>0</v>
      </c>
      <c r="N94" s="140">
        <f t="shared" si="3"/>
        <v>0</v>
      </c>
      <c r="O94" s="140">
        <f t="shared" si="2"/>
        <v>383.875</v>
      </c>
    </row>
    <row r="95" spans="12:15" x14ac:dyDescent="0.35">
      <c r="L95" s="140">
        <v>93</v>
      </c>
      <c r="M95" s="140">
        <v>0</v>
      </c>
      <c r="N95" s="140">
        <f t="shared" si="3"/>
        <v>0</v>
      </c>
      <c r="O95" s="140">
        <f t="shared" si="2"/>
        <v>383.875</v>
      </c>
    </row>
    <row r="96" spans="12:15" x14ac:dyDescent="0.35">
      <c r="L96" s="140">
        <v>94</v>
      </c>
      <c r="M96" s="140">
        <v>0</v>
      </c>
      <c r="N96" s="140">
        <f t="shared" si="3"/>
        <v>0</v>
      </c>
      <c r="O96" s="140">
        <f t="shared" si="2"/>
        <v>383.875</v>
      </c>
    </row>
    <row r="97" spans="12:15" x14ac:dyDescent="0.35">
      <c r="L97" s="140">
        <v>95</v>
      </c>
      <c r="M97" s="140">
        <v>0</v>
      </c>
      <c r="N97" s="140">
        <f t="shared" si="3"/>
        <v>0</v>
      </c>
      <c r="O97" s="140">
        <f t="shared" si="2"/>
        <v>383.875</v>
      </c>
    </row>
    <row r="98" spans="12:15" x14ac:dyDescent="0.35">
      <c r="L98" s="140">
        <v>96</v>
      </c>
      <c r="M98" s="140">
        <v>0</v>
      </c>
      <c r="N98" s="140">
        <f t="shared" si="3"/>
        <v>0</v>
      </c>
      <c r="O98" s="140">
        <f t="shared" si="2"/>
        <v>383.875</v>
      </c>
    </row>
    <row r="99" spans="12:15" x14ac:dyDescent="0.35">
      <c r="L99" s="140">
        <v>97</v>
      </c>
      <c r="M99" s="140">
        <v>0</v>
      </c>
      <c r="N99" s="140">
        <f t="shared" si="3"/>
        <v>0</v>
      </c>
      <c r="O99" s="140">
        <f t="shared" si="2"/>
        <v>383.875</v>
      </c>
    </row>
    <row r="100" spans="12:15" x14ac:dyDescent="0.35">
      <c r="L100" s="140">
        <v>98</v>
      </c>
      <c r="M100" s="140">
        <v>0</v>
      </c>
      <c r="N100" s="140">
        <f t="shared" si="3"/>
        <v>0</v>
      </c>
      <c r="O100" s="140">
        <f t="shared" si="2"/>
        <v>383.875</v>
      </c>
    </row>
    <row r="101" spans="12:15" x14ac:dyDescent="0.35">
      <c r="L101" s="140">
        <v>99</v>
      </c>
      <c r="M101" s="140">
        <v>0</v>
      </c>
      <c r="N101" s="140">
        <f t="shared" si="3"/>
        <v>0</v>
      </c>
      <c r="O101" s="140">
        <f t="shared" si="2"/>
        <v>383.875</v>
      </c>
    </row>
    <row r="102" spans="12:15" x14ac:dyDescent="0.35">
      <c r="L102" s="140">
        <v>100</v>
      </c>
      <c r="M102" s="140">
        <v>0</v>
      </c>
      <c r="N102" s="140">
        <f t="shared" si="3"/>
        <v>0</v>
      </c>
      <c r="O102" s="140">
        <f t="shared" si="2"/>
        <v>383.875</v>
      </c>
    </row>
    <row r="103" spans="12:15" x14ac:dyDescent="0.35">
      <c r="L103" s="140">
        <v>101</v>
      </c>
      <c r="M103" s="140">
        <v>0</v>
      </c>
      <c r="N103" s="140">
        <f t="shared" si="3"/>
        <v>0</v>
      </c>
      <c r="O103" s="140">
        <f t="shared" si="2"/>
        <v>383.875</v>
      </c>
    </row>
    <row r="104" spans="12:15" x14ac:dyDescent="0.35">
      <c r="L104" s="140">
        <v>102</v>
      </c>
      <c r="M104" s="140">
        <v>0</v>
      </c>
      <c r="N104" s="140">
        <f t="shared" si="3"/>
        <v>0</v>
      </c>
      <c r="O104" s="140">
        <f t="shared" si="2"/>
        <v>383.875</v>
      </c>
    </row>
    <row r="105" spans="12:15" x14ac:dyDescent="0.35">
      <c r="L105" s="140">
        <v>103</v>
      </c>
      <c r="M105" s="140">
        <v>0</v>
      </c>
      <c r="N105" s="140">
        <f t="shared" si="3"/>
        <v>0</v>
      </c>
      <c r="O105" s="140">
        <f t="shared" si="2"/>
        <v>383.875</v>
      </c>
    </row>
    <row r="106" spans="12:15" x14ac:dyDescent="0.35">
      <c r="L106" s="140">
        <v>104</v>
      </c>
      <c r="M106" s="140">
        <v>0</v>
      </c>
      <c r="N106" s="140">
        <f t="shared" si="3"/>
        <v>0</v>
      </c>
      <c r="O106" s="140">
        <f t="shared" si="2"/>
        <v>383.875</v>
      </c>
    </row>
    <row r="107" spans="12:15" x14ac:dyDescent="0.35">
      <c r="L107" s="140">
        <v>105</v>
      </c>
      <c r="M107" s="140">
        <v>0</v>
      </c>
      <c r="N107" s="140">
        <f t="shared" si="3"/>
        <v>0</v>
      </c>
      <c r="O107" s="140">
        <f t="shared" si="2"/>
        <v>383.875</v>
      </c>
    </row>
    <row r="108" spans="12:15" x14ac:dyDescent="0.35">
      <c r="L108" s="140">
        <v>106</v>
      </c>
      <c r="M108" s="140">
        <v>0</v>
      </c>
      <c r="N108" s="140">
        <f t="shared" si="3"/>
        <v>0</v>
      </c>
      <c r="O108" s="140">
        <f t="shared" si="2"/>
        <v>383.875</v>
      </c>
    </row>
    <row r="109" spans="12:15" x14ac:dyDescent="0.35">
      <c r="L109" s="140">
        <v>107</v>
      </c>
      <c r="M109" s="140">
        <v>0</v>
      </c>
      <c r="N109" s="140">
        <f t="shared" si="3"/>
        <v>0</v>
      </c>
      <c r="O109" s="140">
        <f t="shared" si="2"/>
        <v>383.875</v>
      </c>
    </row>
    <row r="110" spans="12:15" x14ac:dyDescent="0.35">
      <c r="L110" s="140">
        <v>108</v>
      </c>
      <c r="M110" s="140">
        <v>0</v>
      </c>
      <c r="N110" s="140">
        <f t="shared" si="3"/>
        <v>0</v>
      </c>
      <c r="O110" s="140">
        <f t="shared" si="2"/>
        <v>383.875</v>
      </c>
    </row>
    <row r="111" spans="12:15" x14ac:dyDescent="0.35">
      <c r="L111" s="140">
        <v>109</v>
      </c>
      <c r="M111" s="140">
        <v>0</v>
      </c>
      <c r="N111" s="140">
        <f t="shared" si="3"/>
        <v>0</v>
      </c>
      <c r="O111" s="140">
        <f t="shared" si="2"/>
        <v>383.875</v>
      </c>
    </row>
    <row r="112" spans="12:15" x14ac:dyDescent="0.35">
      <c r="L112" s="140">
        <v>110</v>
      </c>
      <c r="M112" s="140">
        <v>0</v>
      </c>
      <c r="N112" s="140">
        <f t="shared" si="3"/>
        <v>0</v>
      </c>
      <c r="O112" s="140">
        <f t="shared" si="2"/>
        <v>383.875</v>
      </c>
    </row>
    <row r="113" spans="12:15" x14ac:dyDescent="0.35">
      <c r="L113" s="140">
        <v>111</v>
      </c>
      <c r="M113" s="140">
        <v>0</v>
      </c>
      <c r="N113" s="140">
        <f t="shared" si="3"/>
        <v>0</v>
      </c>
      <c r="O113" s="140">
        <f t="shared" si="2"/>
        <v>383.875</v>
      </c>
    </row>
    <row r="114" spans="12:15" x14ac:dyDescent="0.35">
      <c r="L114" s="140">
        <v>112</v>
      </c>
      <c r="M114" s="140">
        <v>0</v>
      </c>
      <c r="N114" s="140">
        <f t="shared" si="3"/>
        <v>0</v>
      </c>
      <c r="O114" s="140">
        <f t="shared" si="2"/>
        <v>383.875</v>
      </c>
    </row>
    <row r="115" spans="12:15" x14ac:dyDescent="0.35">
      <c r="L115" s="140">
        <v>113</v>
      </c>
      <c r="M115" s="140">
        <v>0</v>
      </c>
      <c r="N115" s="140">
        <f t="shared" si="3"/>
        <v>0</v>
      </c>
      <c r="O115" s="140">
        <f t="shared" si="2"/>
        <v>383.875</v>
      </c>
    </row>
    <row r="116" spans="12:15" x14ac:dyDescent="0.35">
      <c r="L116" s="140">
        <v>114</v>
      </c>
      <c r="M116" s="140">
        <v>0</v>
      </c>
      <c r="N116" s="140">
        <f t="shared" si="3"/>
        <v>0</v>
      </c>
      <c r="O116" s="140">
        <f t="shared" si="2"/>
        <v>383.875</v>
      </c>
    </row>
    <row r="117" spans="12:15" x14ac:dyDescent="0.35">
      <c r="L117" s="140">
        <v>115</v>
      </c>
      <c r="M117" s="140">
        <v>0</v>
      </c>
      <c r="N117" s="140">
        <f t="shared" si="3"/>
        <v>0</v>
      </c>
      <c r="O117" s="140">
        <f t="shared" si="2"/>
        <v>383.875</v>
      </c>
    </row>
    <row r="118" spans="12:15" x14ac:dyDescent="0.35">
      <c r="L118" s="140">
        <v>116</v>
      </c>
      <c r="M118" s="140">
        <v>0</v>
      </c>
      <c r="N118" s="140">
        <f t="shared" si="3"/>
        <v>0</v>
      </c>
      <c r="O118" s="140">
        <f t="shared" si="2"/>
        <v>383.875</v>
      </c>
    </row>
    <row r="119" spans="12:15" x14ac:dyDescent="0.35">
      <c r="L119" s="140">
        <v>117</v>
      </c>
      <c r="M119" s="140">
        <v>0</v>
      </c>
      <c r="N119" s="140">
        <f t="shared" si="3"/>
        <v>0</v>
      </c>
      <c r="O119" s="140">
        <f t="shared" si="2"/>
        <v>383.875</v>
      </c>
    </row>
    <row r="120" spans="12:15" x14ac:dyDescent="0.35">
      <c r="L120" s="140">
        <v>118</v>
      </c>
      <c r="M120" s="140">
        <v>0</v>
      </c>
      <c r="N120" s="140">
        <f t="shared" si="3"/>
        <v>0</v>
      </c>
      <c r="O120" s="140">
        <f t="shared" si="2"/>
        <v>383.875</v>
      </c>
    </row>
    <row r="121" spans="12:15" x14ac:dyDescent="0.35">
      <c r="L121" s="140">
        <v>119</v>
      </c>
      <c r="M121" s="140">
        <v>0</v>
      </c>
      <c r="N121" s="140">
        <f t="shared" si="3"/>
        <v>0</v>
      </c>
      <c r="O121" s="140">
        <f t="shared" si="2"/>
        <v>383.875</v>
      </c>
    </row>
    <row r="122" spans="12:15" x14ac:dyDescent="0.35">
      <c r="L122" s="140">
        <v>120</v>
      </c>
      <c r="M122" s="140">
        <v>0</v>
      </c>
      <c r="N122" s="140">
        <f t="shared" si="3"/>
        <v>0</v>
      </c>
      <c r="O122" s="140">
        <f t="shared" si="2"/>
        <v>383.875</v>
      </c>
    </row>
    <row r="123" spans="12:15" x14ac:dyDescent="0.35">
      <c r="L123" s="140">
        <v>121</v>
      </c>
      <c r="M123" s="140">
        <v>0</v>
      </c>
      <c r="N123" s="140">
        <f t="shared" si="3"/>
        <v>0</v>
      </c>
      <c r="O123" s="140">
        <f t="shared" si="2"/>
        <v>383.875</v>
      </c>
    </row>
    <row r="124" spans="12:15" x14ac:dyDescent="0.35">
      <c r="L124" s="140">
        <v>122</v>
      </c>
      <c r="M124" s="140">
        <v>0</v>
      </c>
      <c r="N124" s="140">
        <f t="shared" si="3"/>
        <v>0</v>
      </c>
      <c r="O124" s="140">
        <f t="shared" si="2"/>
        <v>383.875</v>
      </c>
    </row>
    <row r="125" spans="12:15" x14ac:dyDescent="0.35">
      <c r="L125" s="140">
        <v>123</v>
      </c>
      <c r="M125" s="140">
        <v>0</v>
      </c>
      <c r="N125" s="140">
        <f t="shared" si="3"/>
        <v>0</v>
      </c>
      <c r="O125" s="140">
        <f t="shared" si="2"/>
        <v>383.875</v>
      </c>
    </row>
    <row r="126" spans="12:15" x14ac:dyDescent="0.35">
      <c r="L126" s="140">
        <v>124</v>
      </c>
      <c r="M126" s="140">
        <v>0</v>
      </c>
      <c r="N126" s="140">
        <f t="shared" si="3"/>
        <v>0</v>
      </c>
      <c r="O126" s="140">
        <f t="shared" si="2"/>
        <v>383.875</v>
      </c>
    </row>
    <row r="127" spans="12:15" x14ac:dyDescent="0.35">
      <c r="L127" s="140">
        <v>125</v>
      </c>
      <c r="M127" s="140">
        <v>0</v>
      </c>
      <c r="N127" s="140">
        <f t="shared" si="3"/>
        <v>0</v>
      </c>
      <c r="O127" s="140">
        <f t="shared" si="2"/>
        <v>383.875</v>
      </c>
    </row>
    <row r="128" spans="12:15" x14ac:dyDescent="0.35">
      <c r="L128" s="140">
        <v>126</v>
      </c>
      <c r="M128" s="140">
        <v>0</v>
      </c>
      <c r="N128" s="140">
        <f t="shared" si="3"/>
        <v>0</v>
      </c>
      <c r="O128" s="140">
        <f t="shared" si="2"/>
        <v>383.875</v>
      </c>
    </row>
    <row r="129" spans="12:15" x14ac:dyDescent="0.35">
      <c r="L129" s="140">
        <v>127</v>
      </c>
      <c r="M129" s="140">
        <v>0</v>
      </c>
      <c r="N129" s="140">
        <f t="shared" si="3"/>
        <v>0</v>
      </c>
      <c r="O129" s="140">
        <f t="shared" si="2"/>
        <v>383.875</v>
      </c>
    </row>
    <row r="130" spans="12:15" x14ac:dyDescent="0.35">
      <c r="L130" s="140">
        <v>128</v>
      </c>
      <c r="M130" s="140">
        <v>0</v>
      </c>
      <c r="N130" s="140">
        <f t="shared" si="3"/>
        <v>0</v>
      </c>
      <c r="O130" s="140">
        <f t="shared" ref="O130:O193" si="4">MAX($A$35)/2</f>
        <v>383.875</v>
      </c>
    </row>
    <row r="131" spans="12:15" x14ac:dyDescent="0.35">
      <c r="L131" s="140">
        <v>129</v>
      </c>
      <c r="M131" s="140">
        <v>0</v>
      </c>
      <c r="N131" s="140">
        <f t="shared" si="3"/>
        <v>0</v>
      </c>
      <c r="O131" s="140">
        <f t="shared" si="4"/>
        <v>383.875</v>
      </c>
    </row>
    <row r="132" spans="12:15" x14ac:dyDescent="0.35">
      <c r="L132" s="140">
        <v>130</v>
      </c>
      <c r="M132" s="140">
        <v>0</v>
      </c>
      <c r="N132" s="140">
        <f t="shared" si="3"/>
        <v>0</v>
      </c>
      <c r="O132" s="140">
        <f t="shared" si="4"/>
        <v>383.875</v>
      </c>
    </row>
    <row r="133" spans="12:15" x14ac:dyDescent="0.35">
      <c r="L133" s="140">
        <v>131</v>
      </c>
      <c r="M133" s="140">
        <v>0</v>
      </c>
      <c r="N133" s="140">
        <f t="shared" ref="N133:N196" si="5">AVERAGE(M130:M137)</f>
        <v>0</v>
      </c>
      <c r="O133" s="140">
        <f t="shared" si="4"/>
        <v>383.875</v>
      </c>
    </row>
    <row r="134" spans="12:15" x14ac:dyDescent="0.35">
      <c r="L134" s="140">
        <v>132</v>
      </c>
      <c r="M134" s="140">
        <v>0</v>
      </c>
      <c r="N134" s="140">
        <f t="shared" si="5"/>
        <v>0</v>
      </c>
      <c r="O134" s="140">
        <f t="shared" si="4"/>
        <v>383.875</v>
      </c>
    </row>
    <row r="135" spans="12:15" x14ac:dyDescent="0.35">
      <c r="L135" s="140">
        <v>133</v>
      </c>
      <c r="M135" s="140">
        <v>0</v>
      </c>
      <c r="N135" s="140">
        <f t="shared" si="5"/>
        <v>0</v>
      </c>
      <c r="O135" s="140">
        <f t="shared" si="4"/>
        <v>383.875</v>
      </c>
    </row>
    <row r="136" spans="12:15" x14ac:dyDescent="0.35">
      <c r="L136" s="140">
        <v>134</v>
      </c>
      <c r="M136" s="140">
        <v>0</v>
      </c>
      <c r="N136" s="140">
        <f t="shared" si="5"/>
        <v>0</v>
      </c>
      <c r="O136" s="140">
        <f t="shared" si="4"/>
        <v>383.875</v>
      </c>
    </row>
    <row r="137" spans="12:15" x14ac:dyDescent="0.35">
      <c r="L137" s="140">
        <v>135</v>
      </c>
      <c r="M137" s="140">
        <v>0</v>
      </c>
      <c r="N137" s="140">
        <f t="shared" si="5"/>
        <v>0</v>
      </c>
      <c r="O137" s="140">
        <f t="shared" si="4"/>
        <v>383.875</v>
      </c>
    </row>
    <row r="138" spans="12:15" x14ac:dyDescent="0.35">
      <c r="L138" s="140">
        <v>136</v>
      </c>
      <c r="M138" s="140">
        <v>0</v>
      </c>
      <c r="N138" s="140">
        <f t="shared" si="5"/>
        <v>0</v>
      </c>
      <c r="O138" s="140">
        <f t="shared" si="4"/>
        <v>383.875</v>
      </c>
    </row>
    <row r="139" spans="12:15" x14ac:dyDescent="0.35">
      <c r="L139" s="140">
        <v>137</v>
      </c>
      <c r="M139" s="140">
        <v>0</v>
      </c>
      <c r="N139" s="140">
        <f t="shared" si="5"/>
        <v>0</v>
      </c>
      <c r="O139" s="140">
        <f t="shared" si="4"/>
        <v>383.875</v>
      </c>
    </row>
    <row r="140" spans="12:15" x14ac:dyDescent="0.35">
      <c r="L140" s="140">
        <v>138</v>
      </c>
      <c r="M140" s="140">
        <v>0</v>
      </c>
      <c r="N140" s="140">
        <f t="shared" si="5"/>
        <v>4.625</v>
      </c>
      <c r="O140" s="140">
        <f t="shared" si="4"/>
        <v>383.875</v>
      </c>
    </row>
    <row r="141" spans="12:15" x14ac:dyDescent="0.35">
      <c r="L141" s="140">
        <v>139</v>
      </c>
      <c r="M141" s="140">
        <v>0</v>
      </c>
      <c r="N141" s="140">
        <f t="shared" si="5"/>
        <v>9.125</v>
      </c>
      <c r="O141" s="140">
        <f t="shared" si="4"/>
        <v>383.875</v>
      </c>
    </row>
    <row r="142" spans="12:15" x14ac:dyDescent="0.35">
      <c r="L142" s="140">
        <v>140</v>
      </c>
      <c r="M142" s="140">
        <v>0</v>
      </c>
      <c r="N142" s="140">
        <f t="shared" si="5"/>
        <v>13.875</v>
      </c>
      <c r="O142" s="140">
        <f t="shared" si="4"/>
        <v>383.875</v>
      </c>
    </row>
    <row r="143" spans="12:15" x14ac:dyDescent="0.35">
      <c r="L143" s="140">
        <v>141</v>
      </c>
      <c r="M143" s="140">
        <v>0</v>
      </c>
      <c r="N143" s="140">
        <f t="shared" si="5"/>
        <v>19.125</v>
      </c>
      <c r="O143" s="140">
        <f t="shared" si="4"/>
        <v>383.875</v>
      </c>
    </row>
    <row r="144" spans="12:15" x14ac:dyDescent="0.35">
      <c r="L144" s="140">
        <v>142</v>
      </c>
      <c r="M144" s="140">
        <v>37</v>
      </c>
      <c r="N144" s="140">
        <f t="shared" si="5"/>
        <v>24.5</v>
      </c>
      <c r="O144" s="140">
        <f t="shared" si="4"/>
        <v>383.875</v>
      </c>
    </row>
    <row r="145" spans="12:15" x14ac:dyDescent="0.35">
      <c r="L145" s="140">
        <v>143</v>
      </c>
      <c r="M145" s="140">
        <v>36</v>
      </c>
      <c r="N145" s="140">
        <f t="shared" si="5"/>
        <v>28.5</v>
      </c>
      <c r="O145" s="140">
        <f t="shared" si="4"/>
        <v>383.875</v>
      </c>
    </row>
    <row r="146" spans="12:15" x14ac:dyDescent="0.35">
      <c r="L146" s="140">
        <v>144</v>
      </c>
      <c r="M146" s="140">
        <v>38</v>
      </c>
      <c r="N146" s="140">
        <f t="shared" si="5"/>
        <v>33.75</v>
      </c>
      <c r="O146" s="140">
        <f t="shared" si="4"/>
        <v>383.875</v>
      </c>
    </row>
    <row r="147" spans="12:15" x14ac:dyDescent="0.35">
      <c r="L147" s="140">
        <v>145</v>
      </c>
      <c r="M147" s="140">
        <v>42</v>
      </c>
      <c r="N147" s="140">
        <f t="shared" si="5"/>
        <v>40</v>
      </c>
      <c r="O147" s="140">
        <f t="shared" si="4"/>
        <v>383.875</v>
      </c>
    </row>
    <row r="148" spans="12:15" x14ac:dyDescent="0.35">
      <c r="L148" s="140">
        <v>146</v>
      </c>
      <c r="M148" s="140">
        <v>43</v>
      </c>
      <c r="N148" s="140">
        <f t="shared" si="5"/>
        <v>41.5</v>
      </c>
      <c r="O148" s="140">
        <f t="shared" si="4"/>
        <v>383.875</v>
      </c>
    </row>
    <row r="149" spans="12:15" x14ac:dyDescent="0.35">
      <c r="L149" s="140">
        <v>147</v>
      </c>
      <c r="M149" s="140">
        <v>32</v>
      </c>
      <c r="N149" s="140">
        <f t="shared" si="5"/>
        <v>41.375</v>
      </c>
      <c r="O149" s="140">
        <f t="shared" si="4"/>
        <v>383.875</v>
      </c>
    </row>
    <row r="150" spans="12:15" x14ac:dyDescent="0.35">
      <c r="L150" s="140">
        <v>148</v>
      </c>
      <c r="M150" s="140">
        <v>42</v>
      </c>
      <c r="N150" s="140">
        <f t="shared" si="5"/>
        <v>42.125</v>
      </c>
      <c r="O150" s="140">
        <f t="shared" si="4"/>
        <v>383.875</v>
      </c>
    </row>
    <row r="151" spans="12:15" x14ac:dyDescent="0.35">
      <c r="L151" s="140">
        <v>149</v>
      </c>
      <c r="M151" s="140">
        <v>50</v>
      </c>
      <c r="N151" s="140">
        <f t="shared" si="5"/>
        <v>41.375</v>
      </c>
      <c r="O151" s="140">
        <f t="shared" si="4"/>
        <v>383.875</v>
      </c>
    </row>
    <row r="152" spans="12:15" x14ac:dyDescent="0.35">
      <c r="L152" s="140">
        <v>150</v>
      </c>
      <c r="M152" s="140">
        <v>49</v>
      </c>
      <c r="N152" s="140">
        <f t="shared" si="5"/>
        <v>41.25</v>
      </c>
      <c r="O152" s="140">
        <f t="shared" si="4"/>
        <v>383.875</v>
      </c>
    </row>
    <row r="153" spans="12:15" x14ac:dyDescent="0.35">
      <c r="L153" s="140">
        <v>151</v>
      </c>
      <c r="M153" s="140">
        <v>35</v>
      </c>
      <c r="N153" s="140">
        <f t="shared" si="5"/>
        <v>42.5</v>
      </c>
      <c r="O153" s="140">
        <f t="shared" si="4"/>
        <v>383.875</v>
      </c>
    </row>
    <row r="154" spans="12:15" x14ac:dyDescent="0.35">
      <c r="L154" s="140">
        <v>152</v>
      </c>
      <c r="M154" s="140">
        <v>44</v>
      </c>
      <c r="N154" s="140">
        <f t="shared" si="5"/>
        <v>42.5</v>
      </c>
      <c r="O154" s="140">
        <f t="shared" si="4"/>
        <v>383.875</v>
      </c>
    </row>
    <row r="155" spans="12:15" x14ac:dyDescent="0.35">
      <c r="L155" s="140">
        <v>153</v>
      </c>
      <c r="M155" s="140">
        <v>36</v>
      </c>
      <c r="N155" s="140">
        <f t="shared" si="5"/>
        <v>42.625</v>
      </c>
      <c r="O155" s="140">
        <f t="shared" si="4"/>
        <v>383.875</v>
      </c>
    </row>
    <row r="156" spans="12:15" x14ac:dyDescent="0.35">
      <c r="L156" s="140">
        <v>154</v>
      </c>
      <c r="M156" s="140">
        <v>42</v>
      </c>
      <c r="N156" s="140">
        <f t="shared" si="5"/>
        <v>42</v>
      </c>
      <c r="O156" s="140">
        <f t="shared" si="4"/>
        <v>383.875</v>
      </c>
    </row>
    <row r="157" spans="12:15" x14ac:dyDescent="0.35">
      <c r="L157" s="140">
        <v>155</v>
      </c>
      <c r="M157" s="140">
        <v>42</v>
      </c>
      <c r="N157" s="140">
        <f t="shared" si="5"/>
        <v>45</v>
      </c>
      <c r="O157" s="140">
        <f t="shared" si="4"/>
        <v>383.875</v>
      </c>
    </row>
    <row r="158" spans="12:15" x14ac:dyDescent="0.35">
      <c r="L158" s="140">
        <v>156</v>
      </c>
      <c r="M158" s="140">
        <v>42</v>
      </c>
      <c r="N158" s="140">
        <f t="shared" si="5"/>
        <v>46.875</v>
      </c>
      <c r="O158" s="140">
        <f t="shared" si="4"/>
        <v>383.875</v>
      </c>
    </row>
    <row r="159" spans="12:15" x14ac:dyDescent="0.35">
      <c r="L159" s="140">
        <v>157</v>
      </c>
      <c r="M159" s="140">
        <v>51</v>
      </c>
      <c r="N159" s="140">
        <f t="shared" si="5"/>
        <v>47.75</v>
      </c>
      <c r="O159" s="140">
        <f t="shared" si="4"/>
        <v>383.875</v>
      </c>
    </row>
    <row r="160" spans="12:15" x14ac:dyDescent="0.35">
      <c r="L160" s="140">
        <v>158</v>
      </c>
      <c r="M160" s="140">
        <v>44</v>
      </c>
      <c r="N160" s="140">
        <f t="shared" si="5"/>
        <v>48</v>
      </c>
      <c r="O160" s="140">
        <f t="shared" si="4"/>
        <v>383.875</v>
      </c>
    </row>
    <row r="161" spans="12:15" x14ac:dyDescent="0.35">
      <c r="L161" s="140">
        <v>159</v>
      </c>
      <c r="M161" s="140">
        <v>59</v>
      </c>
      <c r="N161" s="140">
        <f t="shared" si="5"/>
        <v>49</v>
      </c>
      <c r="O161" s="140">
        <f t="shared" si="4"/>
        <v>383.875</v>
      </c>
    </row>
    <row r="162" spans="12:15" x14ac:dyDescent="0.35">
      <c r="L162" s="140">
        <v>160</v>
      </c>
      <c r="M162" s="140">
        <v>59</v>
      </c>
      <c r="N162" s="140">
        <f t="shared" si="5"/>
        <v>49.875</v>
      </c>
      <c r="O162" s="140">
        <f t="shared" si="4"/>
        <v>383.875</v>
      </c>
    </row>
    <row r="163" spans="12:15" x14ac:dyDescent="0.35">
      <c r="L163" s="140">
        <v>161</v>
      </c>
      <c r="M163" s="140">
        <v>43</v>
      </c>
      <c r="N163" s="140">
        <f t="shared" si="5"/>
        <v>51.25</v>
      </c>
      <c r="O163" s="140">
        <f t="shared" si="4"/>
        <v>383.875</v>
      </c>
    </row>
    <row r="164" spans="12:15" x14ac:dyDescent="0.35">
      <c r="L164" s="140">
        <v>162</v>
      </c>
      <c r="M164" s="140">
        <v>44</v>
      </c>
      <c r="N164" s="140">
        <f t="shared" si="5"/>
        <v>53</v>
      </c>
      <c r="O164" s="140">
        <f t="shared" si="4"/>
        <v>383.875</v>
      </c>
    </row>
    <row r="165" spans="12:15" x14ac:dyDescent="0.35">
      <c r="L165" s="140">
        <v>163</v>
      </c>
      <c r="M165" s="140">
        <v>50</v>
      </c>
      <c r="N165" s="140">
        <f t="shared" si="5"/>
        <v>53.25</v>
      </c>
      <c r="O165" s="140">
        <f t="shared" si="4"/>
        <v>383.875</v>
      </c>
    </row>
    <row r="166" spans="12:15" x14ac:dyDescent="0.35">
      <c r="L166" s="140">
        <v>164</v>
      </c>
      <c r="M166" s="140">
        <v>49</v>
      </c>
      <c r="N166" s="140">
        <f t="shared" si="5"/>
        <v>54.5</v>
      </c>
      <c r="O166" s="140">
        <f t="shared" si="4"/>
        <v>383.875</v>
      </c>
    </row>
    <row r="167" spans="12:15" x14ac:dyDescent="0.35">
      <c r="L167" s="140">
        <v>165</v>
      </c>
      <c r="M167" s="140">
        <v>62</v>
      </c>
      <c r="N167" s="140">
        <f t="shared" si="5"/>
        <v>55.875</v>
      </c>
      <c r="O167" s="140">
        <f t="shared" si="4"/>
        <v>383.875</v>
      </c>
    </row>
    <row r="168" spans="12:15" x14ac:dyDescent="0.35">
      <c r="L168" s="140">
        <v>166</v>
      </c>
      <c r="M168" s="140">
        <v>58</v>
      </c>
      <c r="N168" s="140">
        <f t="shared" si="5"/>
        <v>59.75</v>
      </c>
      <c r="O168" s="140">
        <f t="shared" si="4"/>
        <v>383.875</v>
      </c>
    </row>
    <row r="169" spans="12:15" x14ac:dyDescent="0.35">
      <c r="L169" s="140">
        <v>167</v>
      </c>
      <c r="M169" s="140">
        <v>61</v>
      </c>
      <c r="N169" s="140">
        <f t="shared" si="5"/>
        <v>62.875</v>
      </c>
      <c r="O169" s="140">
        <f t="shared" si="4"/>
        <v>383.875</v>
      </c>
    </row>
    <row r="170" spans="12:15" x14ac:dyDescent="0.35">
      <c r="L170" s="140">
        <v>168</v>
      </c>
      <c r="M170" s="140">
        <v>69</v>
      </c>
      <c r="N170" s="140">
        <f t="shared" si="5"/>
        <v>68</v>
      </c>
      <c r="O170" s="140">
        <f t="shared" si="4"/>
        <v>383.875</v>
      </c>
    </row>
    <row r="171" spans="12:15" x14ac:dyDescent="0.35">
      <c r="L171" s="140">
        <v>169</v>
      </c>
      <c r="M171" s="140">
        <v>54</v>
      </c>
      <c r="N171" s="140">
        <f t="shared" si="5"/>
        <v>72.875</v>
      </c>
      <c r="O171" s="140">
        <f t="shared" si="4"/>
        <v>383.875</v>
      </c>
    </row>
    <row r="172" spans="12:15" x14ac:dyDescent="0.35">
      <c r="L172" s="140">
        <v>170</v>
      </c>
      <c r="M172" s="140">
        <v>75</v>
      </c>
      <c r="N172" s="140">
        <f t="shared" si="5"/>
        <v>79.5</v>
      </c>
      <c r="O172" s="140">
        <f t="shared" si="4"/>
        <v>383.875</v>
      </c>
    </row>
    <row r="173" spans="12:15" x14ac:dyDescent="0.35">
      <c r="L173" s="140">
        <v>171</v>
      </c>
      <c r="M173" s="140">
        <v>75</v>
      </c>
      <c r="N173" s="140">
        <f t="shared" si="5"/>
        <v>86.5</v>
      </c>
      <c r="O173" s="140">
        <f t="shared" si="4"/>
        <v>383.875</v>
      </c>
    </row>
    <row r="174" spans="12:15" x14ac:dyDescent="0.35">
      <c r="L174" s="140">
        <v>172</v>
      </c>
      <c r="M174" s="140">
        <v>90</v>
      </c>
      <c r="N174" s="140">
        <f t="shared" si="5"/>
        <v>93.875</v>
      </c>
      <c r="O174" s="140">
        <f t="shared" si="4"/>
        <v>383.875</v>
      </c>
    </row>
    <row r="175" spans="12:15" x14ac:dyDescent="0.35">
      <c r="L175" s="140">
        <v>173</v>
      </c>
      <c r="M175" s="140">
        <v>101</v>
      </c>
      <c r="N175" s="140">
        <f t="shared" si="5"/>
        <v>102.125</v>
      </c>
      <c r="O175" s="140">
        <f t="shared" si="4"/>
        <v>383.875</v>
      </c>
    </row>
    <row r="176" spans="12:15" x14ac:dyDescent="0.35">
      <c r="L176" s="140">
        <v>174</v>
      </c>
      <c r="M176" s="140">
        <v>111</v>
      </c>
      <c r="N176" s="140">
        <f t="shared" si="5"/>
        <v>108.625</v>
      </c>
      <c r="O176" s="140">
        <f t="shared" si="4"/>
        <v>383.875</v>
      </c>
    </row>
    <row r="177" spans="12:15" x14ac:dyDescent="0.35">
      <c r="L177" s="140">
        <v>175</v>
      </c>
      <c r="M177" s="140">
        <v>117</v>
      </c>
      <c r="N177" s="140">
        <f t="shared" si="5"/>
        <v>115.875</v>
      </c>
      <c r="O177" s="140">
        <f t="shared" si="4"/>
        <v>383.875</v>
      </c>
    </row>
    <row r="178" spans="12:15" x14ac:dyDescent="0.35">
      <c r="L178" s="140">
        <v>176</v>
      </c>
      <c r="M178" s="140">
        <v>128</v>
      </c>
      <c r="N178" s="140">
        <f t="shared" si="5"/>
        <v>124.25</v>
      </c>
      <c r="O178" s="140">
        <f t="shared" si="4"/>
        <v>383.875</v>
      </c>
    </row>
    <row r="179" spans="12:15" x14ac:dyDescent="0.35">
      <c r="L179" s="140">
        <v>177</v>
      </c>
      <c r="M179" s="140">
        <v>120</v>
      </c>
      <c r="N179" s="140">
        <f t="shared" si="5"/>
        <v>129.375</v>
      </c>
      <c r="O179" s="140">
        <f t="shared" si="4"/>
        <v>383.875</v>
      </c>
    </row>
    <row r="180" spans="12:15" x14ac:dyDescent="0.35">
      <c r="L180" s="140">
        <v>178</v>
      </c>
      <c r="M180" s="140">
        <v>127</v>
      </c>
      <c r="N180" s="140">
        <f t="shared" si="5"/>
        <v>136.875</v>
      </c>
      <c r="O180" s="140">
        <f t="shared" si="4"/>
        <v>383.875</v>
      </c>
    </row>
    <row r="181" spans="12:15" x14ac:dyDescent="0.35">
      <c r="L181" s="140">
        <v>179</v>
      </c>
      <c r="M181" s="140">
        <v>133</v>
      </c>
      <c r="N181" s="140">
        <f t="shared" si="5"/>
        <v>145.25</v>
      </c>
      <c r="O181" s="140">
        <f t="shared" si="4"/>
        <v>383.875</v>
      </c>
    </row>
    <row r="182" spans="12:15" x14ac:dyDescent="0.35">
      <c r="L182" s="140">
        <v>180</v>
      </c>
      <c r="M182" s="140">
        <v>157</v>
      </c>
      <c r="N182" s="140">
        <f t="shared" si="5"/>
        <v>154</v>
      </c>
      <c r="O182" s="140">
        <f t="shared" si="4"/>
        <v>383.875</v>
      </c>
    </row>
    <row r="183" spans="12:15" x14ac:dyDescent="0.35">
      <c r="L183" s="140">
        <v>181</v>
      </c>
      <c r="M183" s="140">
        <v>142</v>
      </c>
      <c r="N183" s="140">
        <f t="shared" si="5"/>
        <v>166.625</v>
      </c>
      <c r="O183" s="140">
        <f t="shared" si="4"/>
        <v>383.875</v>
      </c>
    </row>
    <row r="184" spans="12:15" x14ac:dyDescent="0.35">
      <c r="L184" s="140">
        <v>182</v>
      </c>
      <c r="M184" s="140">
        <v>171</v>
      </c>
      <c r="N184" s="140">
        <f t="shared" si="5"/>
        <v>178.25</v>
      </c>
      <c r="O184" s="140">
        <f t="shared" si="4"/>
        <v>383.875</v>
      </c>
    </row>
    <row r="185" spans="12:15" x14ac:dyDescent="0.35">
      <c r="L185" s="140">
        <v>183</v>
      </c>
      <c r="M185" s="140">
        <v>184</v>
      </c>
      <c r="N185" s="140">
        <f t="shared" si="5"/>
        <v>190.875</v>
      </c>
      <c r="O185" s="140">
        <f t="shared" si="4"/>
        <v>383.875</v>
      </c>
    </row>
    <row r="186" spans="12:15" x14ac:dyDescent="0.35">
      <c r="L186" s="140">
        <v>184</v>
      </c>
      <c r="M186" s="140">
        <v>198</v>
      </c>
      <c r="N186" s="140">
        <f t="shared" si="5"/>
        <v>203.375</v>
      </c>
      <c r="O186" s="140">
        <f t="shared" si="4"/>
        <v>383.875</v>
      </c>
    </row>
    <row r="187" spans="12:15" x14ac:dyDescent="0.35">
      <c r="L187" s="140">
        <v>185</v>
      </c>
      <c r="M187" s="140">
        <v>221</v>
      </c>
      <c r="N187" s="140">
        <f t="shared" si="5"/>
        <v>217.875</v>
      </c>
      <c r="O187" s="140">
        <f t="shared" si="4"/>
        <v>383.875</v>
      </c>
    </row>
    <row r="188" spans="12:15" x14ac:dyDescent="0.35">
      <c r="L188" s="140">
        <v>186</v>
      </c>
      <c r="M188" s="140">
        <v>220</v>
      </c>
      <c r="N188" s="140">
        <f t="shared" si="5"/>
        <v>229</v>
      </c>
      <c r="O188" s="140">
        <f t="shared" si="4"/>
        <v>383.875</v>
      </c>
    </row>
    <row r="189" spans="12:15" x14ac:dyDescent="0.35">
      <c r="L189" s="140">
        <v>187</v>
      </c>
      <c r="M189" s="140">
        <v>234</v>
      </c>
      <c r="N189" s="140">
        <f t="shared" si="5"/>
        <v>244.125</v>
      </c>
      <c r="O189" s="140">
        <f t="shared" si="4"/>
        <v>383.875</v>
      </c>
    </row>
    <row r="190" spans="12:15" x14ac:dyDescent="0.35">
      <c r="L190" s="140">
        <v>188</v>
      </c>
      <c r="M190" s="140">
        <v>257</v>
      </c>
      <c r="N190" s="140">
        <f t="shared" si="5"/>
        <v>261</v>
      </c>
      <c r="O190" s="140">
        <f t="shared" si="4"/>
        <v>383.875</v>
      </c>
    </row>
    <row r="191" spans="12:15" x14ac:dyDescent="0.35">
      <c r="L191" s="140">
        <v>189</v>
      </c>
      <c r="M191" s="140">
        <v>258</v>
      </c>
      <c r="N191" s="140">
        <f t="shared" si="5"/>
        <v>278.625</v>
      </c>
      <c r="O191" s="140">
        <f t="shared" si="4"/>
        <v>383.875</v>
      </c>
    </row>
    <row r="192" spans="12:15" x14ac:dyDescent="0.35">
      <c r="L192" s="140">
        <v>190</v>
      </c>
      <c r="M192" s="140">
        <v>260</v>
      </c>
      <c r="N192" s="140">
        <f t="shared" si="5"/>
        <v>294.75</v>
      </c>
      <c r="O192" s="140">
        <f t="shared" si="4"/>
        <v>383.875</v>
      </c>
    </row>
    <row r="193" spans="12:17" x14ac:dyDescent="0.35">
      <c r="L193" s="140">
        <v>191</v>
      </c>
      <c r="M193" s="140">
        <v>305</v>
      </c>
      <c r="N193" s="140">
        <f t="shared" si="5"/>
        <v>318</v>
      </c>
      <c r="O193" s="140">
        <f t="shared" si="4"/>
        <v>383.875</v>
      </c>
    </row>
    <row r="194" spans="12:17" x14ac:dyDescent="0.35">
      <c r="L194" s="140">
        <v>192</v>
      </c>
      <c r="M194" s="140">
        <v>333</v>
      </c>
      <c r="N194" s="140">
        <f t="shared" si="5"/>
        <v>338.125</v>
      </c>
      <c r="O194" s="140">
        <f t="shared" ref="O194:O257" si="6">MAX($A$35)/2</f>
        <v>383.875</v>
      </c>
    </row>
    <row r="195" spans="12:17" x14ac:dyDescent="0.35">
      <c r="L195" s="140">
        <v>193</v>
      </c>
      <c r="M195" s="140">
        <v>362</v>
      </c>
      <c r="N195" s="140">
        <f t="shared" si="5"/>
        <v>360.75</v>
      </c>
      <c r="O195" s="140">
        <f t="shared" si="6"/>
        <v>383.875</v>
      </c>
    </row>
    <row r="196" spans="12:17" x14ac:dyDescent="0.35">
      <c r="L196" s="140">
        <v>194</v>
      </c>
      <c r="M196" s="140">
        <v>349</v>
      </c>
      <c r="N196" s="140">
        <f t="shared" si="5"/>
        <v>386.875</v>
      </c>
      <c r="O196" s="140">
        <f t="shared" si="6"/>
        <v>383.875</v>
      </c>
    </row>
    <row r="197" spans="12:17" x14ac:dyDescent="0.35">
      <c r="L197" s="140">
        <v>195</v>
      </c>
      <c r="M197" s="140">
        <v>420</v>
      </c>
      <c r="N197" s="140">
        <f t="shared" ref="N197:N260" si="7">AVERAGE(M194:M201)</f>
        <v>409.875</v>
      </c>
      <c r="O197" s="140">
        <f t="shared" si="6"/>
        <v>383.875</v>
      </c>
    </row>
    <row r="198" spans="12:17" x14ac:dyDescent="0.35">
      <c r="L198" s="140">
        <v>196</v>
      </c>
      <c r="M198" s="140">
        <v>418</v>
      </c>
      <c r="N198" s="140">
        <f t="shared" si="7"/>
        <v>435.25</v>
      </c>
      <c r="O198" s="140">
        <f t="shared" si="6"/>
        <v>383.875</v>
      </c>
    </row>
    <row r="199" spans="12:17" x14ac:dyDescent="0.35">
      <c r="L199" s="140">
        <v>197</v>
      </c>
      <c r="M199" s="140">
        <v>439</v>
      </c>
      <c r="N199" s="140">
        <f t="shared" si="7"/>
        <v>460.75</v>
      </c>
      <c r="O199" s="140">
        <f t="shared" si="6"/>
        <v>383.875</v>
      </c>
    </row>
    <row r="200" spans="12:17" x14ac:dyDescent="0.35">
      <c r="L200" s="140">
        <v>198</v>
      </c>
      <c r="M200" s="140">
        <v>469</v>
      </c>
      <c r="N200" s="140">
        <f t="shared" si="7"/>
        <v>484.5</v>
      </c>
      <c r="O200" s="140">
        <f t="shared" si="6"/>
        <v>383.875</v>
      </c>
    </row>
    <row r="201" spans="12:17" x14ac:dyDescent="0.35">
      <c r="L201" s="140">
        <v>199</v>
      </c>
      <c r="M201" s="140">
        <v>489</v>
      </c>
      <c r="N201" s="140">
        <f t="shared" si="7"/>
        <v>508.75</v>
      </c>
      <c r="O201" s="140">
        <f t="shared" si="6"/>
        <v>383.875</v>
      </c>
    </row>
    <row r="202" spans="12:17" x14ac:dyDescent="0.35">
      <c r="L202" s="140">
        <v>200</v>
      </c>
      <c r="M202" s="140">
        <v>536</v>
      </c>
      <c r="N202" s="140">
        <f t="shared" si="7"/>
        <v>531.5</v>
      </c>
      <c r="O202" s="140">
        <f t="shared" si="6"/>
        <v>383.875</v>
      </c>
      <c r="Q202" s="140">
        <v>2</v>
      </c>
    </row>
    <row r="203" spans="12:17" x14ac:dyDescent="0.35">
      <c r="L203" s="140">
        <v>201</v>
      </c>
      <c r="M203" s="140">
        <v>566</v>
      </c>
      <c r="N203" s="140">
        <f t="shared" si="7"/>
        <v>552.5</v>
      </c>
      <c r="O203" s="140">
        <f t="shared" si="6"/>
        <v>383.875</v>
      </c>
      <c r="Q203" s="140">
        <v>2</v>
      </c>
    </row>
    <row r="204" spans="12:17" x14ac:dyDescent="0.35">
      <c r="L204" s="140">
        <v>202</v>
      </c>
      <c r="M204" s="140">
        <v>539</v>
      </c>
      <c r="N204" s="140">
        <f t="shared" si="7"/>
        <v>578.75</v>
      </c>
      <c r="O204" s="140">
        <f t="shared" si="6"/>
        <v>383.875</v>
      </c>
      <c r="Q204" s="140">
        <v>7</v>
      </c>
    </row>
    <row r="205" spans="12:17" x14ac:dyDescent="0.35">
      <c r="L205" s="140">
        <v>203</v>
      </c>
      <c r="M205" s="140">
        <v>614</v>
      </c>
      <c r="N205" s="140">
        <f t="shared" si="7"/>
        <v>599.375</v>
      </c>
      <c r="O205" s="140">
        <f t="shared" si="6"/>
        <v>383.875</v>
      </c>
      <c r="Q205" s="140">
        <v>12</v>
      </c>
    </row>
    <row r="206" spans="12:17" x14ac:dyDescent="0.35">
      <c r="L206" s="140">
        <v>204</v>
      </c>
      <c r="M206" s="140">
        <v>600</v>
      </c>
      <c r="N206" s="140">
        <f t="shared" si="7"/>
        <v>620.75</v>
      </c>
      <c r="O206" s="140">
        <f t="shared" si="6"/>
        <v>383.875</v>
      </c>
      <c r="Q206" s="140">
        <v>9</v>
      </c>
    </row>
    <row r="207" spans="12:17" x14ac:dyDescent="0.35">
      <c r="L207" s="140">
        <v>205</v>
      </c>
      <c r="M207" s="140">
        <v>607</v>
      </c>
      <c r="N207" s="140">
        <f t="shared" si="7"/>
        <v>646.25</v>
      </c>
      <c r="O207" s="140">
        <f t="shared" si="6"/>
        <v>383.875</v>
      </c>
      <c r="Q207" s="140">
        <v>2</v>
      </c>
    </row>
    <row r="208" spans="12:17" x14ac:dyDescent="0.35">
      <c r="L208" s="140">
        <v>206</v>
      </c>
      <c r="M208" s="140">
        <v>679</v>
      </c>
      <c r="N208" s="140">
        <f t="shared" si="7"/>
        <v>670.375</v>
      </c>
      <c r="O208" s="140">
        <f t="shared" si="6"/>
        <v>383.875</v>
      </c>
      <c r="Q208" s="140">
        <v>9</v>
      </c>
    </row>
    <row r="209" spans="12:17" x14ac:dyDescent="0.35">
      <c r="L209" s="140">
        <v>207</v>
      </c>
      <c r="M209" s="140">
        <v>654</v>
      </c>
      <c r="N209" s="140">
        <f t="shared" si="7"/>
        <v>689.5</v>
      </c>
      <c r="O209" s="140">
        <f t="shared" si="6"/>
        <v>383.875</v>
      </c>
      <c r="Q209" s="140">
        <v>8</v>
      </c>
    </row>
    <row r="210" spans="12:17" x14ac:dyDescent="0.35">
      <c r="L210" s="140">
        <v>208</v>
      </c>
      <c r="M210" s="140">
        <v>707</v>
      </c>
      <c r="N210" s="140">
        <f t="shared" si="7"/>
        <v>703.75</v>
      </c>
      <c r="O210" s="140">
        <f t="shared" si="6"/>
        <v>383.875</v>
      </c>
      <c r="Q210" s="140">
        <v>6</v>
      </c>
    </row>
    <row r="211" spans="12:17" x14ac:dyDescent="0.35">
      <c r="L211" s="140">
        <v>209</v>
      </c>
      <c r="M211" s="140">
        <v>770</v>
      </c>
      <c r="N211" s="140">
        <f t="shared" si="7"/>
        <v>720.5</v>
      </c>
      <c r="O211" s="140">
        <f t="shared" si="6"/>
        <v>383.875</v>
      </c>
      <c r="Q211" s="140">
        <v>7</v>
      </c>
    </row>
    <row r="212" spans="12:17" x14ac:dyDescent="0.35">
      <c r="L212" s="140">
        <v>210</v>
      </c>
      <c r="M212" s="140">
        <v>732</v>
      </c>
      <c r="N212" s="140">
        <f t="shared" si="7"/>
        <v>735.5</v>
      </c>
      <c r="O212" s="140">
        <f t="shared" si="6"/>
        <v>383.875</v>
      </c>
      <c r="Q212" s="140">
        <v>15</v>
      </c>
    </row>
    <row r="213" spans="12:17" x14ac:dyDescent="0.35">
      <c r="L213" s="140">
        <v>211</v>
      </c>
      <c r="M213" s="140">
        <v>767</v>
      </c>
      <c r="N213" s="140">
        <f t="shared" si="7"/>
        <v>748.625</v>
      </c>
      <c r="O213" s="140">
        <f t="shared" si="6"/>
        <v>383.875</v>
      </c>
      <c r="Q213" s="140">
        <v>6</v>
      </c>
    </row>
    <row r="214" spans="12:17" x14ac:dyDescent="0.35">
      <c r="L214" s="140">
        <v>212</v>
      </c>
      <c r="M214" s="140">
        <v>714</v>
      </c>
      <c r="N214" s="140">
        <f t="shared" si="7"/>
        <v>754.875</v>
      </c>
      <c r="O214" s="140">
        <f t="shared" si="6"/>
        <v>383.875</v>
      </c>
      <c r="Q214" s="140">
        <v>6</v>
      </c>
    </row>
    <row r="215" spans="12:17" x14ac:dyDescent="0.35">
      <c r="L215" s="140">
        <v>213</v>
      </c>
      <c r="M215" s="140">
        <v>741</v>
      </c>
      <c r="N215" s="140">
        <f t="shared" si="7"/>
        <v>754.375</v>
      </c>
      <c r="O215" s="140">
        <f t="shared" si="6"/>
        <v>383.875</v>
      </c>
      <c r="Q215" s="140">
        <v>3</v>
      </c>
    </row>
    <row r="216" spans="12:17" x14ac:dyDescent="0.35">
      <c r="L216" s="140">
        <v>214</v>
      </c>
      <c r="M216" s="140">
        <v>799</v>
      </c>
      <c r="N216" s="140">
        <f t="shared" si="7"/>
        <v>755.375</v>
      </c>
      <c r="O216" s="140">
        <f t="shared" si="6"/>
        <v>383.875</v>
      </c>
      <c r="Q216" s="140">
        <v>8</v>
      </c>
    </row>
    <row r="217" spans="12:17" x14ac:dyDescent="0.35">
      <c r="L217" s="140">
        <v>215</v>
      </c>
      <c r="M217" s="140">
        <v>759</v>
      </c>
      <c r="N217" s="140">
        <f t="shared" si="7"/>
        <v>755</v>
      </c>
      <c r="O217" s="140">
        <f t="shared" si="6"/>
        <v>383.875</v>
      </c>
      <c r="Q217" s="140">
        <v>9</v>
      </c>
    </row>
    <row r="218" spans="12:17" x14ac:dyDescent="0.35">
      <c r="L218" s="140">
        <v>216</v>
      </c>
      <c r="M218" s="140">
        <v>757</v>
      </c>
      <c r="N218" s="140">
        <f t="shared" si="7"/>
        <v>763.875</v>
      </c>
      <c r="O218" s="140">
        <f t="shared" si="6"/>
        <v>383.875</v>
      </c>
      <c r="Q218" s="140">
        <v>8</v>
      </c>
    </row>
    <row r="219" spans="12:17" x14ac:dyDescent="0.35">
      <c r="L219" s="140">
        <v>217</v>
      </c>
      <c r="M219" s="140">
        <v>766</v>
      </c>
      <c r="N219" s="140">
        <f t="shared" si="7"/>
        <v>767.75</v>
      </c>
      <c r="O219" s="140">
        <f t="shared" si="6"/>
        <v>383.875</v>
      </c>
      <c r="Q219" s="140">
        <v>6</v>
      </c>
    </row>
    <row r="220" spans="12:17" x14ac:dyDescent="0.35">
      <c r="L220" s="140">
        <v>218</v>
      </c>
      <c r="M220" s="140">
        <v>740</v>
      </c>
      <c r="N220" s="140">
        <f t="shared" si="7"/>
        <v>762.625</v>
      </c>
      <c r="O220" s="140">
        <f t="shared" si="6"/>
        <v>383.875</v>
      </c>
      <c r="Q220" s="140">
        <v>10</v>
      </c>
    </row>
    <row r="221" spans="12:17" x14ac:dyDescent="0.35">
      <c r="L221" s="140">
        <v>219</v>
      </c>
      <c r="M221" s="140">
        <v>764</v>
      </c>
      <c r="N221" s="140">
        <f t="shared" si="7"/>
        <v>761.75</v>
      </c>
      <c r="O221" s="140">
        <f t="shared" si="6"/>
        <v>383.875</v>
      </c>
      <c r="Q221" s="140">
        <v>8</v>
      </c>
    </row>
    <row r="222" spans="12:17" x14ac:dyDescent="0.35">
      <c r="L222" s="140">
        <v>220</v>
      </c>
      <c r="M222" s="140">
        <v>785</v>
      </c>
      <c r="N222" s="140">
        <f t="shared" si="7"/>
        <v>762.5</v>
      </c>
      <c r="O222" s="140">
        <f t="shared" si="6"/>
        <v>383.875</v>
      </c>
      <c r="Q222" s="140">
        <v>7</v>
      </c>
    </row>
    <row r="223" spans="12:17" x14ac:dyDescent="0.35">
      <c r="L223" s="140">
        <v>221</v>
      </c>
      <c r="M223" s="140">
        <v>772</v>
      </c>
      <c r="N223" s="140">
        <f t="shared" si="7"/>
        <v>757</v>
      </c>
      <c r="O223" s="140">
        <f t="shared" si="6"/>
        <v>383.875</v>
      </c>
      <c r="Q223" s="140">
        <v>9</v>
      </c>
    </row>
    <row r="224" spans="12:17" x14ac:dyDescent="0.35">
      <c r="L224" s="140">
        <v>222</v>
      </c>
      <c r="M224" s="140">
        <v>758</v>
      </c>
      <c r="N224" s="140">
        <f t="shared" si="7"/>
        <v>757.875</v>
      </c>
      <c r="O224" s="140">
        <f t="shared" si="6"/>
        <v>383.875</v>
      </c>
      <c r="Q224" s="140">
        <v>7</v>
      </c>
    </row>
    <row r="225" spans="12:17" x14ac:dyDescent="0.35">
      <c r="L225" s="140">
        <v>223</v>
      </c>
      <c r="M225" s="140">
        <v>752</v>
      </c>
      <c r="N225" s="140">
        <f t="shared" si="7"/>
        <v>749</v>
      </c>
      <c r="O225" s="140">
        <f t="shared" si="6"/>
        <v>383.875</v>
      </c>
      <c r="Q225" s="140">
        <v>7</v>
      </c>
    </row>
    <row r="226" spans="12:17" x14ac:dyDescent="0.35">
      <c r="L226" s="140">
        <v>224</v>
      </c>
      <c r="M226" s="140">
        <v>763</v>
      </c>
      <c r="N226" s="140">
        <f t="shared" si="7"/>
        <v>745.125</v>
      </c>
      <c r="O226" s="140">
        <f t="shared" si="6"/>
        <v>383.875</v>
      </c>
      <c r="Q226" s="140">
        <v>6</v>
      </c>
    </row>
    <row r="227" spans="12:17" x14ac:dyDescent="0.35">
      <c r="L227" s="140">
        <v>225</v>
      </c>
      <c r="M227" s="140">
        <v>722</v>
      </c>
      <c r="N227" s="140">
        <f t="shared" si="7"/>
        <v>738.125</v>
      </c>
      <c r="O227" s="140">
        <f t="shared" si="6"/>
        <v>383.875</v>
      </c>
      <c r="Q227" s="140">
        <v>5</v>
      </c>
    </row>
    <row r="228" spans="12:17" x14ac:dyDescent="0.35">
      <c r="L228" s="140">
        <v>226</v>
      </c>
      <c r="M228" s="140">
        <v>747</v>
      </c>
      <c r="N228" s="140">
        <f t="shared" si="7"/>
        <v>724.125</v>
      </c>
      <c r="O228" s="140">
        <f t="shared" si="6"/>
        <v>383.875</v>
      </c>
      <c r="Q228" s="140">
        <v>6</v>
      </c>
    </row>
    <row r="229" spans="12:17" x14ac:dyDescent="0.35">
      <c r="L229" s="140">
        <v>227</v>
      </c>
      <c r="M229" s="140">
        <v>693</v>
      </c>
      <c r="N229" s="140">
        <f t="shared" si="7"/>
        <v>709.875</v>
      </c>
      <c r="O229" s="140">
        <f t="shared" si="6"/>
        <v>383.875</v>
      </c>
      <c r="Q229" s="140">
        <v>6</v>
      </c>
    </row>
    <row r="230" spans="12:17" x14ac:dyDescent="0.35">
      <c r="L230" s="140">
        <v>228</v>
      </c>
      <c r="M230" s="140">
        <v>754</v>
      </c>
      <c r="N230" s="140">
        <f t="shared" si="7"/>
        <v>693</v>
      </c>
      <c r="O230" s="140">
        <f t="shared" si="6"/>
        <v>383.875</v>
      </c>
      <c r="Q230" s="140">
        <v>8</v>
      </c>
    </row>
    <row r="231" spans="12:17" x14ac:dyDescent="0.35">
      <c r="L231" s="140">
        <v>229</v>
      </c>
      <c r="M231" s="140">
        <v>716</v>
      </c>
      <c r="N231" s="140">
        <f t="shared" si="7"/>
        <v>680.125</v>
      </c>
      <c r="O231" s="140">
        <f t="shared" si="6"/>
        <v>383.875</v>
      </c>
      <c r="Q231" s="140">
        <v>8</v>
      </c>
    </row>
    <row r="232" spans="12:17" x14ac:dyDescent="0.35">
      <c r="L232" s="140">
        <v>230</v>
      </c>
      <c r="M232" s="140">
        <v>646</v>
      </c>
      <c r="N232" s="140">
        <f t="shared" si="7"/>
        <v>658</v>
      </c>
      <c r="O232" s="140">
        <f t="shared" si="6"/>
        <v>383.875</v>
      </c>
      <c r="Q232" s="140">
        <v>7</v>
      </c>
    </row>
    <row r="233" spans="12:17" x14ac:dyDescent="0.35">
      <c r="L233" s="140">
        <v>231</v>
      </c>
      <c r="M233" s="140">
        <v>638</v>
      </c>
      <c r="N233" s="140">
        <f t="shared" si="7"/>
        <v>641.5</v>
      </c>
      <c r="O233" s="140">
        <f t="shared" si="6"/>
        <v>383.875</v>
      </c>
      <c r="Q233" s="140">
        <v>3</v>
      </c>
    </row>
    <row r="234" spans="12:17" x14ac:dyDescent="0.35">
      <c r="L234" s="140">
        <v>232</v>
      </c>
      <c r="M234" s="140">
        <v>628</v>
      </c>
      <c r="N234" s="140">
        <f t="shared" si="7"/>
        <v>616</v>
      </c>
      <c r="O234" s="140">
        <f t="shared" si="6"/>
        <v>383.875</v>
      </c>
      <c r="Q234" s="140">
        <v>6</v>
      </c>
    </row>
    <row r="235" spans="12:17" x14ac:dyDescent="0.35">
      <c r="L235" s="140">
        <v>233</v>
      </c>
      <c r="M235" s="140">
        <v>619</v>
      </c>
      <c r="N235" s="140">
        <f t="shared" si="7"/>
        <v>589.75</v>
      </c>
      <c r="O235" s="140">
        <f t="shared" si="6"/>
        <v>383.875</v>
      </c>
      <c r="Q235" s="140">
        <v>2</v>
      </c>
    </row>
    <row r="236" spans="12:17" x14ac:dyDescent="0.35">
      <c r="L236" s="140">
        <v>234</v>
      </c>
      <c r="M236" s="140">
        <v>570</v>
      </c>
      <c r="N236" s="140">
        <f t="shared" si="7"/>
        <v>567.75</v>
      </c>
      <c r="O236" s="140">
        <f t="shared" si="6"/>
        <v>383.875</v>
      </c>
      <c r="Q236" s="140">
        <v>4</v>
      </c>
    </row>
    <row r="237" spans="12:17" x14ac:dyDescent="0.35">
      <c r="L237" s="140">
        <v>235</v>
      </c>
      <c r="M237" s="140">
        <v>561</v>
      </c>
      <c r="N237" s="140">
        <f t="shared" si="7"/>
        <v>547.625</v>
      </c>
      <c r="O237" s="140">
        <f t="shared" si="6"/>
        <v>383.875</v>
      </c>
      <c r="Q237" s="140">
        <v>5</v>
      </c>
    </row>
    <row r="238" spans="12:17" x14ac:dyDescent="0.35">
      <c r="L238" s="140">
        <v>236</v>
      </c>
      <c r="M238" s="140">
        <v>550</v>
      </c>
      <c r="N238" s="140">
        <f t="shared" si="7"/>
        <v>526.75</v>
      </c>
      <c r="O238" s="140">
        <f t="shared" si="6"/>
        <v>383.875</v>
      </c>
      <c r="Q238" s="140">
        <v>5</v>
      </c>
    </row>
    <row r="239" spans="12:17" x14ac:dyDescent="0.35">
      <c r="L239" s="140">
        <v>237</v>
      </c>
      <c r="M239" s="140">
        <v>506</v>
      </c>
      <c r="N239" s="140">
        <f t="shared" si="7"/>
        <v>503.875</v>
      </c>
      <c r="O239" s="140">
        <f t="shared" si="6"/>
        <v>383.875</v>
      </c>
      <c r="Q239" s="140">
        <v>3</v>
      </c>
    </row>
    <row r="240" spans="12:17" x14ac:dyDescent="0.35">
      <c r="L240" s="140">
        <v>238</v>
      </c>
      <c r="M240" s="140">
        <v>470</v>
      </c>
      <c r="N240" s="140">
        <f t="shared" si="7"/>
        <v>484.125</v>
      </c>
      <c r="O240" s="140">
        <f t="shared" si="6"/>
        <v>383.875</v>
      </c>
      <c r="Q240" s="140">
        <v>7</v>
      </c>
    </row>
    <row r="241" spans="12:17" x14ac:dyDescent="0.35">
      <c r="L241" s="140">
        <v>239</v>
      </c>
      <c r="M241" s="140">
        <v>477</v>
      </c>
      <c r="N241" s="140">
        <f t="shared" si="7"/>
        <v>469.625</v>
      </c>
      <c r="O241" s="140">
        <f t="shared" si="6"/>
        <v>383.875</v>
      </c>
      <c r="Q241" s="140">
        <v>12</v>
      </c>
    </row>
    <row r="242" spans="12:17" x14ac:dyDescent="0.35">
      <c r="L242" s="140">
        <v>240</v>
      </c>
      <c r="M242" s="140">
        <v>461</v>
      </c>
      <c r="N242" s="140">
        <f t="shared" si="7"/>
        <v>450.25</v>
      </c>
      <c r="O242" s="140">
        <f t="shared" si="6"/>
        <v>383.875</v>
      </c>
      <c r="Q242" s="140">
        <v>9</v>
      </c>
    </row>
    <row r="243" spans="12:17" x14ac:dyDescent="0.35">
      <c r="L243" s="140">
        <v>241</v>
      </c>
      <c r="M243" s="140">
        <v>436</v>
      </c>
      <c r="N243" s="140">
        <f t="shared" si="7"/>
        <v>430</v>
      </c>
      <c r="O243" s="140">
        <f t="shared" si="6"/>
        <v>383.875</v>
      </c>
      <c r="Q243" s="140">
        <v>6</v>
      </c>
    </row>
    <row r="244" spans="12:17" x14ac:dyDescent="0.35">
      <c r="L244" s="140">
        <v>242</v>
      </c>
      <c r="M244" s="140">
        <v>412</v>
      </c>
      <c r="N244" s="140">
        <f t="shared" si="7"/>
        <v>414.5</v>
      </c>
      <c r="O244" s="140">
        <f t="shared" si="6"/>
        <v>383.875</v>
      </c>
      <c r="Q244" s="140">
        <v>12</v>
      </c>
    </row>
    <row r="245" spans="12:17" x14ac:dyDescent="0.35">
      <c r="L245" s="140">
        <v>243</v>
      </c>
      <c r="M245" s="140">
        <v>445</v>
      </c>
      <c r="N245" s="140">
        <f t="shared" si="7"/>
        <v>395</v>
      </c>
      <c r="O245" s="140">
        <f t="shared" si="6"/>
        <v>383.875</v>
      </c>
      <c r="Q245" s="140">
        <v>8</v>
      </c>
    </row>
    <row r="246" spans="12:17" x14ac:dyDescent="0.35">
      <c r="L246" s="140">
        <v>244</v>
      </c>
      <c r="M246" s="140">
        <v>395</v>
      </c>
      <c r="N246" s="140">
        <f t="shared" si="7"/>
        <v>374.75</v>
      </c>
      <c r="O246" s="140">
        <f t="shared" si="6"/>
        <v>383.875</v>
      </c>
      <c r="Q246" s="140">
        <v>6</v>
      </c>
    </row>
    <row r="247" spans="12:17" x14ac:dyDescent="0.35">
      <c r="L247" s="140">
        <v>245</v>
      </c>
      <c r="M247" s="140">
        <v>344</v>
      </c>
      <c r="N247" s="140">
        <f t="shared" si="7"/>
        <v>354.25</v>
      </c>
      <c r="O247" s="140">
        <f t="shared" si="6"/>
        <v>383.875</v>
      </c>
      <c r="Q247" s="140">
        <v>8</v>
      </c>
    </row>
    <row r="248" spans="12:17" x14ac:dyDescent="0.35">
      <c r="L248" s="140">
        <v>246</v>
      </c>
      <c r="M248" s="140">
        <v>346</v>
      </c>
      <c r="N248" s="140">
        <f t="shared" si="7"/>
        <v>338.375</v>
      </c>
      <c r="O248" s="140">
        <f t="shared" si="6"/>
        <v>383.875</v>
      </c>
      <c r="Q248" s="140">
        <v>6</v>
      </c>
    </row>
    <row r="249" spans="12:17" x14ac:dyDescent="0.35">
      <c r="L249" s="140">
        <v>247</v>
      </c>
      <c r="M249" s="140">
        <v>321</v>
      </c>
      <c r="N249" s="140">
        <f t="shared" si="7"/>
        <v>319.375</v>
      </c>
      <c r="O249" s="140">
        <f t="shared" si="6"/>
        <v>383.875</v>
      </c>
      <c r="Q249" s="140">
        <v>9</v>
      </c>
    </row>
    <row r="250" spans="12:17" x14ac:dyDescent="0.35">
      <c r="L250" s="140">
        <v>248</v>
      </c>
      <c r="M250" s="140">
        <v>299</v>
      </c>
      <c r="N250" s="140">
        <f t="shared" si="7"/>
        <v>305.375</v>
      </c>
      <c r="O250" s="140">
        <f t="shared" si="6"/>
        <v>383.875</v>
      </c>
      <c r="Q250" s="140">
        <v>6</v>
      </c>
    </row>
    <row r="251" spans="12:17" x14ac:dyDescent="0.35">
      <c r="L251" s="140">
        <v>249</v>
      </c>
      <c r="M251" s="140">
        <v>272</v>
      </c>
      <c r="N251" s="140">
        <f t="shared" si="7"/>
        <v>294.25</v>
      </c>
      <c r="O251" s="140">
        <f t="shared" si="6"/>
        <v>383.875</v>
      </c>
      <c r="Q251" s="140">
        <v>9</v>
      </c>
    </row>
    <row r="252" spans="12:17" x14ac:dyDescent="0.35">
      <c r="L252" s="140">
        <v>250</v>
      </c>
      <c r="M252" s="140">
        <v>285</v>
      </c>
      <c r="N252" s="140">
        <f t="shared" si="7"/>
        <v>278</v>
      </c>
      <c r="O252" s="140">
        <f t="shared" si="6"/>
        <v>383.875</v>
      </c>
      <c r="Q252" s="140">
        <v>5</v>
      </c>
    </row>
    <row r="253" spans="12:17" x14ac:dyDescent="0.35">
      <c r="L253" s="140">
        <v>251</v>
      </c>
      <c r="M253" s="140">
        <v>293</v>
      </c>
      <c r="N253" s="140">
        <f t="shared" si="7"/>
        <v>263.875</v>
      </c>
      <c r="O253" s="140">
        <f t="shared" si="6"/>
        <v>383.875</v>
      </c>
      <c r="Q253" s="140">
        <v>8</v>
      </c>
    </row>
    <row r="254" spans="12:17" x14ac:dyDescent="0.35">
      <c r="L254" s="140">
        <v>252</v>
      </c>
      <c r="M254" s="140">
        <v>283</v>
      </c>
      <c r="N254" s="140">
        <f t="shared" si="7"/>
        <v>250.125</v>
      </c>
      <c r="O254" s="140">
        <f t="shared" si="6"/>
        <v>383.875</v>
      </c>
      <c r="Q254" s="140">
        <v>3</v>
      </c>
    </row>
    <row r="255" spans="12:17" x14ac:dyDescent="0.35">
      <c r="L255" s="140">
        <v>253</v>
      </c>
      <c r="M255" s="140">
        <v>255</v>
      </c>
      <c r="N255" s="140">
        <f t="shared" si="7"/>
        <v>242.75</v>
      </c>
      <c r="O255" s="140">
        <f t="shared" si="6"/>
        <v>383.875</v>
      </c>
      <c r="Q255" s="140">
        <v>4</v>
      </c>
    </row>
    <row r="256" spans="12:17" x14ac:dyDescent="0.35">
      <c r="L256" s="140">
        <v>254</v>
      </c>
      <c r="M256" s="140">
        <v>216</v>
      </c>
      <c r="N256" s="140">
        <f t="shared" si="7"/>
        <v>230.5</v>
      </c>
      <c r="O256" s="140">
        <f t="shared" si="6"/>
        <v>383.875</v>
      </c>
      <c r="Q256" s="140">
        <v>8</v>
      </c>
    </row>
    <row r="257" spans="12:17" x14ac:dyDescent="0.35">
      <c r="L257" s="140">
        <v>255</v>
      </c>
      <c r="M257" s="140">
        <v>208</v>
      </c>
      <c r="N257" s="140">
        <f t="shared" si="7"/>
        <v>213.25</v>
      </c>
      <c r="O257" s="140">
        <f t="shared" si="6"/>
        <v>383.875</v>
      </c>
      <c r="Q257" s="140">
        <v>4</v>
      </c>
    </row>
    <row r="258" spans="12:17" x14ac:dyDescent="0.35">
      <c r="L258" s="140">
        <v>256</v>
      </c>
      <c r="M258" s="140">
        <v>189</v>
      </c>
      <c r="N258" s="140">
        <f t="shared" si="7"/>
        <v>197.125</v>
      </c>
      <c r="O258" s="140">
        <f t="shared" ref="O258:O321" si="8">MAX($A$35)/2</f>
        <v>383.875</v>
      </c>
      <c r="Q258" s="140">
        <v>5</v>
      </c>
    </row>
    <row r="259" spans="12:17" x14ac:dyDescent="0.35">
      <c r="L259" s="140">
        <v>257</v>
      </c>
      <c r="M259" s="140">
        <v>213</v>
      </c>
      <c r="N259" s="140">
        <f t="shared" si="7"/>
        <v>181.75</v>
      </c>
      <c r="O259" s="140">
        <f t="shared" si="8"/>
        <v>383.875</v>
      </c>
      <c r="Q259" s="140">
        <v>4</v>
      </c>
    </row>
    <row r="260" spans="12:17" x14ac:dyDescent="0.35">
      <c r="L260" s="140">
        <v>258</v>
      </c>
      <c r="M260" s="140">
        <v>187</v>
      </c>
      <c r="N260" s="140">
        <f t="shared" si="7"/>
        <v>171.875</v>
      </c>
      <c r="O260" s="140">
        <f t="shared" si="8"/>
        <v>383.875</v>
      </c>
      <c r="Q260" s="140">
        <v>6</v>
      </c>
    </row>
    <row r="261" spans="12:17" x14ac:dyDescent="0.35">
      <c r="L261" s="140">
        <v>259</v>
      </c>
      <c r="M261" s="140">
        <v>155</v>
      </c>
      <c r="N261" s="140">
        <f t="shared" ref="N261:N324" si="9">AVERAGE(M258:M265)</f>
        <v>159.25</v>
      </c>
      <c r="O261" s="140">
        <f t="shared" si="8"/>
        <v>383.875</v>
      </c>
      <c r="Q261" s="140">
        <v>5</v>
      </c>
    </row>
    <row r="262" spans="12:17" x14ac:dyDescent="0.35">
      <c r="L262" s="140">
        <v>260</v>
      </c>
      <c r="M262" s="140">
        <v>154</v>
      </c>
      <c r="N262" s="140">
        <f t="shared" si="9"/>
        <v>150.625</v>
      </c>
      <c r="O262" s="140">
        <f t="shared" si="8"/>
        <v>383.875</v>
      </c>
      <c r="Q262" s="140">
        <v>10</v>
      </c>
    </row>
    <row r="263" spans="12:17" x14ac:dyDescent="0.35">
      <c r="L263" s="140">
        <v>261</v>
      </c>
      <c r="M263" s="140">
        <v>132</v>
      </c>
      <c r="N263" s="140">
        <f t="shared" si="9"/>
        <v>137.875</v>
      </c>
      <c r="O263" s="140">
        <f t="shared" si="8"/>
        <v>383.875</v>
      </c>
      <c r="Q263" s="140">
        <v>15</v>
      </c>
    </row>
    <row r="264" spans="12:17" x14ac:dyDescent="0.35">
      <c r="L264" s="140">
        <v>262</v>
      </c>
      <c r="M264" s="140">
        <v>137</v>
      </c>
      <c r="N264" s="140">
        <f t="shared" si="9"/>
        <v>125.5</v>
      </c>
      <c r="O264" s="140">
        <f t="shared" si="8"/>
        <v>383.875</v>
      </c>
      <c r="Q264" s="140">
        <v>6</v>
      </c>
    </row>
    <row r="265" spans="12:17" x14ac:dyDescent="0.35">
      <c r="L265" s="140">
        <v>263</v>
      </c>
      <c r="M265" s="140">
        <v>107</v>
      </c>
      <c r="N265" s="140">
        <f t="shared" si="9"/>
        <v>117.75</v>
      </c>
      <c r="O265" s="140">
        <f t="shared" si="8"/>
        <v>383.875</v>
      </c>
      <c r="Q265" s="140">
        <v>4</v>
      </c>
    </row>
    <row r="266" spans="12:17" x14ac:dyDescent="0.35">
      <c r="L266" s="140">
        <v>264</v>
      </c>
      <c r="M266" s="140">
        <v>120</v>
      </c>
      <c r="N266" s="140">
        <f t="shared" si="9"/>
        <v>109.25</v>
      </c>
      <c r="O266" s="140">
        <f t="shared" si="8"/>
        <v>383.875</v>
      </c>
      <c r="Q266" s="140">
        <v>5</v>
      </c>
    </row>
    <row r="267" spans="12:17" x14ac:dyDescent="0.35">
      <c r="L267" s="140">
        <v>265</v>
      </c>
      <c r="M267" s="140">
        <v>111</v>
      </c>
      <c r="N267" s="140">
        <f t="shared" si="9"/>
        <v>103.625</v>
      </c>
      <c r="O267" s="140">
        <f t="shared" si="8"/>
        <v>383.875</v>
      </c>
      <c r="Q267" s="140">
        <v>6</v>
      </c>
    </row>
    <row r="268" spans="12:17" x14ac:dyDescent="0.35">
      <c r="L268" s="140">
        <v>266</v>
      </c>
      <c r="M268" s="140">
        <v>88</v>
      </c>
      <c r="N268" s="140">
        <f t="shared" si="9"/>
        <v>95.375</v>
      </c>
      <c r="O268" s="140">
        <f t="shared" si="8"/>
        <v>383.875</v>
      </c>
      <c r="Q268" s="140">
        <v>8</v>
      </c>
    </row>
    <row r="269" spans="12:17" x14ac:dyDescent="0.35">
      <c r="L269" s="140">
        <v>267</v>
      </c>
      <c r="M269" s="140">
        <v>93</v>
      </c>
      <c r="N269" s="140">
        <f t="shared" si="9"/>
        <v>89.5</v>
      </c>
      <c r="O269" s="140">
        <f t="shared" si="8"/>
        <v>383.875</v>
      </c>
      <c r="Q269" s="140">
        <v>9</v>
      </c>
    </row>
    <row r="270" spans="12:17" x14ac:dyDescent="0.35">
      <c r="L270" s="140">
        <v>268</v>
      </c>
      <c r="M270" s="140">
        <v>86</v>
      </c>
      <c r="N270" s="140">
        <f t="shared" si="9"/>
        <v>83.5</v>
      </c>
      <c r="O270" s="140">
        <f t="shared" si="8"/>
        <v>383.875</v>
      </c>
      <c r="Q270" s="140">
        <v>8</v>
      </c>
    </row>
    <row r="271" spans="12:17" x14ac:dyDescent="0.35">
      <c r="L271" s="140">
        <v>269</v>
      </c>
      <c r="M271" s="140">
        <v>87</v>
      </c>
      <c r="N271" s="140">
        <f t="shared" si="9"/>
        <v>76.5</v>
      </c>
      <c r="O271" s="140">
        <f t="shared" si="8"/>
        <v>383.875</v>
      </c>
      <c r="Q271" s="140">
        <v>4</v>
      </c>
    </row>
    <row r="272" spans="12:17" x14ac:dyDescent="0.35">
      <c r="L272" s="140">
        <v>270</v>
      </c>
      <c r="M272" s="140">
        <v>71</v>
      </c>
      <c r="N272" s="140">
        <f t="shared" si="9"/>
        <v>71.75</v>
      </c>
      <c r="O272" s="140">
        <f t="shared" si="8"/>
        <v>383.875</v>
      </c>
      <c r="Q272" s="140">
        <v>9</v>
      </c>
    </row>
    <row r="273" spans="12:17" x14ac:dyDescent="0.35">
      <c r="L273" s="140">
        <v>271</v>
      </c>
      <c r="M273" s="140">
        <v>60</v>
      </c>
      <c r="N273" s="140">
        <f t="shared" si="9"/>
        <v>65.875</v>
      </c>
      <c r="O273" s="140">
        <f t="shared" si="8"/>
        <v>383.875</v>
      </c>
      <c r="Q273" s="140">
        <v>5</v>
      </c>
    </row>
    <row r="274" spans="12:17" x14ac:dyDescent="0.35">
      <c r="L274" s="140">
        <v>272</v>
      </c>
      <c r="M274" s="140">
        <v>72</v>
      </c>
      <c r="N274" s="140">
        <f t="shared" si="9"/>
        <v>60.625</v>
      </c>
      <c r="O274" s="140">
        <f t="shared" si="8"/>
        <v>383.875</v>
      </c>
      <c r="Q274" s="140">
        <v>10</v>
      </c>
    </row>
    <row r="275" spans="12:17" x14ac:dyDescent="0.35">
      <c r="L275" s="140">
        <v>273</v>
      </c>
      <c r="M275" s="140">
        <v>55</v>
      </c>
      <c r="N275" s="140">
        <f t="shared" si="9"/>
        <v>55.25</v>
      </c>
      <c r="O275" s="140">
        <f t="shared" si="8"/>
        <v>383.875</v>
      </c>
      <c r="Q275" s="140">
        <v>10</v>
      </c>
    </row>
    <row r="276" spans="12:17" x14ac:dyDescent="0.35">
      <c r="L276" s="140">
        <v>274</v>
      </c>
      <c r="M276" s="140">
        <v>50</v>
      </c>
      <c r="N276" s="140">
        <f t="shared" si="9"/>
        <v>51.375</v>
      </c>
      <c r="O276" s="140">
        <f t="shared" si="8"/>
        <v>383.875</v>
      </c>
      <c r="Q276" s="140">
        <v>5</v>
      </c>
    </row>
    <row r="277" spans="12:17" x14ac:dyDescent="0.35">
      <c r="L277" s="140">
        <v>275</v>
      </c>
      <c r="M277" s="140">
        <v>46</v>
      </c>
      <c r="N277" s="140">
        <f t="shared" si="9"/>
        <v>47.625</v>
      </c>
      <c r="O277" s="140">
        <f t="shared" si="8"/>
        <v>383.875</v>
      </c>
      <c r="Q277" s="140">
        <v>8</v>
      </c>
    </row>
    <row r="278" spans="12:17" x14ac:dyDescent="0.35">
      <c r="L278" s="140">
        <v>276</v>
      </c>
      <c r="M278" s="140">
        <v>44</v>
      </c>
      <c r="N278" s="140">
        <f t="shared" si="9"/>
        <v>42.75</v>
      </c>
      <c r="O278" s="140">
        <f t="shared" si="8"/>
        <v>383.875</v>
      </c>
      <c r="Q278" s="140">
        <v>3</v>
      </c>
    </row>
    <row r="279" spans="12:17" x14ac:dyDescent="0.35">
      <c r="L279" s="140">
        <v>277</v>
      </c>
      <c r="M279" s="140">
        <v>44</v>
      </c>
      <c r="N279" s="140">
        <f t="shared" si="9"/>
        <v>39.125</v>
      </c>
      <c r="O279" s="140">
        <f t="shared" si="8"/>
        <v>383.875</v>
      </c>
      <c r="Q279" s="140">
        <v>9</v>
      </c>
    </row>
    <row r="280" spans="12:17" x14ac:dyDescent="0.35">
      <c r="L280" s="140">
        <v>278</v>
      </c>
      <c r="M280" s="140">
        <v>40</v>
      </c>
      <c r="N280" s="140">
        <f t="shared" si="9"/>
        <v>35.5</v>
      </c>
      <c r="O280" s="140">
        <f t="shared" si="8"/>
        <v>383.875</v>
      </c>
      <c r="Q280" s="140">
        <v>5</v>
      </c>
    </row>
    <row r="281" spans="12:17" x14ac:dyDescent="0.35">
      <c r="L281" s="140">
        <v>279</v>
      </c>
      <c r="M281" s="140">
        <v>30</v>
      </c>
      <c r="N281" s="140">
        <f t="shared" si="9"/>
        <v>32.125</v>
      </c>
      <c r="O281" s="140">
        <f t="shared" si="8"/>
        <v>383.875</v>
      </c>
      <c r="Q281" s="140">
        <v>9</v>
      </c>
    </row>
    <row r="282" spans="12:17" x14ac:dyDescent="0.35">
      <c r="L282" s="140">
        <v>280</v>
      </c>
      <c r="M282" s="140">
        <v>33</v>
      </c>
      <c r="N282" s="140">
        <f t="shared" si="9"/>
        <v>30.875</v>
      </c>
      <c r="O282" s="140">
        <f t="shared" si="8"/>
        <v>383.875</v>
      </c>
      <c r="Q282" s="140">
        <v>3</v>
      </c>
    </row>
    <row r="283" spans="12:17" x14ac:dyDescent="0.35">
      <c r="L283" s="140">
        <v>281</v>
      </c>
      <c r="M283" s="140">
        <v>26</v>
      </c>
      <c r="N283" s="140">
        <f t="shared" si="9"/>
        <v>28.75</v>
      </c>
      <c r="O283" s="140">
        <f t="shared" si="8"/>
        <v>383.875</v>
      </c>
      <c r="Q283" s="140">
        <v>7</v>
      </c>
    </row>
    <row r="284" spans="12:17" x14ac:dyDescent="0.35">
      <c r="L284" s="140">
        <v>282</v>
      </c>
      <c r="M284" s="140">
        <v>21</v>
      </c>
      <c r="N284" s="140">
        <f t="shared" si="9"/>
        <v>26.75</v>
      </c>
      <c r="O284" s="140">
        <f t="shared" si="8"/>
        <v>383.875</v>
      </c>
      <c r="Q284" s="140">
        <v>5</v>
      </c>
    </row>
    <row r="285" spans="12:17" x14ac:dyDescent="0.35">
      <c r="L285" s="140">
        <v>283</v>
      </c>
      <c r="M285" s="140">
        <v>19</v>
      </c>
      <c r="N285" s="140">
        <f t="shared" si="9"/>
        <v>26.125</v>
      </c>
      <c r="O285" s="140">
        <f t="shared" si="8"/>
        <v>383.875</v>
      </c>
      <c r="Q285" s="140">
        <v>5</v>
      </c>
    </row>
    <row r="286" spans="12:17" x14ac:dyDescent="0.35">
      <c r="L286" s="140">
        <v>284</v>
      </c>
      <c r="M286" s="140">
        <v>34</v>
      </c>
      <c r="N286" s="140">
        <f t="shared" si="9"/>
        <v>23.875</v>
      </c>
      <c r="O286" s="140">
        <f t="shared" si="8"/>
        <v>383.875</v>
      </c>
      <c r="Q286" s="140">
        <v>10</v>
      </c>
    </row>
    <row r="287" spans="12:17" x14ac:dyDescent="0.35">
      <c r="L287" s="140">
        <v>285</v>
      </c>
      <c r="M287" s="140">
        <v>27</v>
      </c>
      <c r="N287" s="140">
        <f t="shared" si="9"/>
        <v>23.125</v>
      </c>
      <c r="O287" s="140">
        <f t="shared" si="8"/>
        <v>383.875</v>
      </c>
      <c r="Q287" s="140">
        <v>6</v>
      </c>
    </row>
    <row r="288" spans="12:17" x14ac:dyDescent="0.35">
      <c r="L288" s="140">
        <v>286</v>
      </c>
      <c r="M288" s="140">
        <v>24</v>
      </c>
      <c r="N288" s="140">
        <f t="shared" si="9"/>
        <v>22</v>
      </c>
      <c r="O288" s="140">
        <f t="shared" si="8"/>
        <v>383.875</v>
      </c>
      <c r="Q288" s="140">
        <v>7</v>
      </c>
    </row>
    <row r="289" spans="12:17" x14ac:dyDescent="0.35">
      <c r="L289" s="140">
        <v>287</v>
      </c>
      <c r="M289" s="140">
        <v>25</v>
      </c>
      <c r="N289" s="140">
        <f t="shared" si="9"/>
        <v>21.5</v>
      </c>
      <c r="O289" s="140">
        <f t="shared" si="8"/>
        <v>383.875</v>
      </c>
      <c r="Q289" s="140">
        <v>10</v>
      </c>
    </row>
    <row r="290" spans="12:17" x14ac:dyDescent="0.35">
      <c r="L290" s="140">
        <v>288</v>
      </c>
      <c r="M290" s="140">
        <v>15</v>
      </c>
      <c r="N290" s="140">
        <f t="shared" si="9"/>
        <v>19.5</v>
      </c>
      <c r="O290" s="140">
        <f t="shared" si="8"/>
        <v>383.875</v>
      </c>
      <c r="Q290" s="140">
        <v>5</v>
      </c>
    </row>
    <row r="291" spans="12:17" x14ac:dyDescent="0.35">
      <c r="L291" s="140">
        <v>289</v>
      </c>
      <c r="M291" s="140">
        <v>20</v>
      </c>
      <c r="N291" s="140">
        <f t="shared" si="9"/>
        <v>18.5</v>
      </c>
      <c r="O291" s="140">
        <f t="shared" si="8"/>
        <v>383.875</v>
      </c>
      <c r="Q291" s="140">
        <v>6</v>
      </c>
    </row>
    <row r="292" spans="12:17" x14ac:dyDescent="0.35">
      <c r="L292" s="140">
        <v>290</v>
      </c>
      <c r="M292" s="140">
        <v>12</v>
      </c>
      <c r="N292" s="140">
        <f t="shared" si="9"/>
        <v>17.5</v>
      </c>
      <c r="O292" s="140">
        <f t="shared" si="8"/>
        <v>383.875</v>
      </c>
      <c r="Q292" s="140">
        <v>6</v>
      </c>
    </row>
    <row r="293" spans="12:17" x14ac:dyDescent="0.35">
      <c r="L293" s="140">
        <v>291</v>
      </c>
      <c r="M293" s="140">
        <v>15</v>
      </c>
      <c r="N293" s="140">
        <f t="shared" si="9"/>
        <v>16.875</v>
      </c>
      <c r="O293" s="140">
        <f t="shared" si="8"/>
        <v>383.875</v>
      </c>
      <c r="Q293" s="140">
        <v>6</v>
      </c>
    </row>
    <row r="294" spans="12:17" x14ac:dyDescent="0.35">
      <c r="L294" s="140">
        <v>292</v>
      </c>
      <c r="M294" s="140">
        <v>18</v>
      </c>
      <c r="N294" s="140">
        <f t="shared" si="9"/>
        <v>16</v>
      </c>
      <c r="O294" s="140">
        <f t="shared" si="8"/>
        <v>383.875</v>
      </c>
      <c r="Q294" s="140">
        <v>7</v>
      </c>
    </row>
    <row r="295" spans="12:17" x14ac:dyDescent="0.35">
      <c r="L295" s="140">
        <v>293</v>
      </c>
      <c r="M295" s="140">
        <v>19</v>
      </c>
      <c r="N295" s="140">
        <f t="shared" si="9"/>
        <v>15.375</v>
      </c>
      <c r="O295" s="140">
        <f t="shared" si="8"/>
        <v>383.875</v>
      </c>
      <c r="Q295" s="140">
        <v>6</v>
      </c>
    </row>
    <row r="296" spans="12:17" x14ac:dyDescent="0.35">
      <c r="L296" s="140">
        <v>294</v>
      </c>
      <c r="M296" s="140">
        <v>16</v>
      </c>
      <c r="N296" s="140">
        <f t="shared" si="9"/>
        <v>15.125</v>
      </c>
      <c r="O296" s="140">
        <f t="shared" si="8"/>
        <v>383.875</v>
      </c>
      <c r="Q296" s="140">
        <v>9</v>
      </c>
    </row>
    <row r="297" spans="12:17" x14ac:dyDescent="0.35">
      <c r="L297" s="140">
        <v>295</v>
      </c>
      <c r="M297" s="140">
        <v>20</v>
      </c>
      <c r="N297" s="140">
        <f t="shared" si="9"/>
        <v>14.125</v>
      </c>
      <c r="O297" s="140">
        <f t="shared" si="8"/>
        <v>383.875</v>
      </c>
      <c r="Q297" s="140">
        <v>8</v>
      </c>
    </row>
    <row r="298" spans="12:17" x14ac:dyDescent="0.35">
      <c r="L298" s="140">
        <v>296</v>
      </c>
      <c r="M298" s="140">
        <v>8</v>
      </c>
      <c r="N298" s="140">
        <f t="shared" si="9"/>
        <v>12.75</v>
      </c>
      <c r="O298" s="140">
        <f t="shared" si="8"/>
        <v>383.875</v>
      </c>
      <c r="Q298" s="140">
        <v>10</v>
      </c>
    </row>
    <row r="299" spans="12:17" x14ac:dyDescent="0.35">
      <c r="L299" s="140">
        <v>297</v>
      </c>
      <c r="M299" s="140">
        <v>15</v>
      </c>
      <c r="N299" s="140">
        <f t="shared" si="9"/>
        <v>11.375</v>
      </c>
      <c r="O299" s="140">
        <f t="shared" si="8"/>
        <v>383.875</v>
      </c>
      <c r="Q299" s="140">
        <v>8</v>
      </c>
    </row>
    <row r="300" spans="12:17" x14ac:dyDescent="0.35">
      <c r="L300" s="140">
        <v>298</v>
      </c>
      <c r="M300" s="140">
        <v>10</v>
      </c>
      <c r="N300" s="140">
        <f t="shared" si="9"/>
        <v>10.875</v>
      </c>
      <c r="O300" s="140">
        <f t="shared" si="8"/>
        <v>383.875</v>
      </c>
      <c r="Q300" s="140">
        <v>8</v>
      </c>
    </row>
    <row r="301" spans="12:17" x14ac:dyDescent="0.35">
      <c r="L301" s="140">
        <v>299</v>
      </c>
      <c r="M301" s="140">
        <v>7</v>
      </c>
      <c r="N301" s="140">
        <f t="shared" si="9"/>
        <v>9.5</v>
      </c>
      <c r="O301" s="140">
        <f t="shared" si="8"/>
        <v>383.875</v>
      </c>
      <c r="Q301" s="140">
        <v>8</v>
      </c>
    </row>
    <row r="302" spans="12:17" x14ac:dyDescent="0.35">
      <c r="L302" s="140">
        <v>300</v>
      </c>
      <c r="M302" s="140">
        <v>7</v>
      </c>
      <c r="N302" s="140">
        <f t="shared" si="9"/>
        <v>9.5</v>
      </c>
      <c r="O302" s="140">
        <f t="shared" si="8"/>
        <v>383.875</v>
      </c>
      <c r="Q302" s="140">
        <v>12</v>
      </c>
    </row>
    <row r="303" spans="12:17" x14ac:dyDescent="0.35">
      <c r="L303" s="140">
        <v>301</v>
      </c>
      <c r="M303" s="140">
        <v>8</v>
      </c>
      <c r="N303" s="140">
        <f t="shared" si="9"/>
        <v>8.75</v>
      </c>
      <c r="O303" s="140">
        <f t="shared" si="8"/>
        <v>383.875</v>
      </c>
      <c r="Q303" s="140">
        <v>8</v>
      </c>
    </row>
    <row r="304" spans="12:17" x14ac:dyDescent="0.35">
      <c r="L304" s="140">
        <v>302</v>
      </c>
      <c r="M304" s="140">
        <v>12</v>
      </c>
      <c r="N304" s="140">
        <f t="shared" si="9"/>
        <v>8.875</v>
      </c>
      <c r="O304" s="140">
        <f t="shared" si="8"/>
        <v>383.875</v>
      </c>
      <c r="Q304" s="140">
        <v>11</v>
      </c>
    </row>
    <row r="305" spans="12:17" x14ac:dyDescent="0.35">
      <c r="L305" s="140">
        <v>303</v>
      </c>
      <c r="M305" s="140">
        <v>9</v>
      </c>
      <c r="N305" s="140">
        <f t="shared" si="9"/>
        <v>8.875</v>
      </c>
      <c r="O305" s="140">
        <f t="shared" si="8"/>
        <v>383.875</v>
      </c>
      <c r="Q305" s="140">
        <v>10</v>
      </c>
    </row>
    <row r="306" spans="12:17" x14ac:dyDescent="0.35">
      <c r="L306" s="140">
        <v>304</v>
      </c>
      <c r="M306" s="140">
        <v>8</v>
      </c>
      <c r="N306" s="140">
        <f t="shared" si="9"/>
        <v>8.375</v>
      </c>
      <c r="O306" s="140">
        <f t="shared" si="8"/>
        <v>383.875</v>
      </c>
      <c r="Q306" s="140">
        <v>15</v>
      </c>
    </row>
    <row r="307" spans="12:17" x14ac:dyDescent="0.35">
      <c r="L307" s="140">
        <v>305</v>
      </c>
      <c r="M307" s="140">
        <v>9</v>
      </c>
      <c r="N307" s="140">
        <f t="shared" si="9"/>
        <v>8.25</v>
      </c>
      <c r="O307" s="140">
        <f t="shared" si="8"/>
        <v>383.875</v>
      </c>
      <c r="Q307" s="140">
        <v>10</v>
      </c>
    </row>
    <row r="308" spans="12:17" x14ac:dyDescent="0.35">
      <c r="L308" s="140">
        <v>306</v>
      </c>
      <c r="M308" s="140">
        <v>11</v>
      </c>
      <c r="N308" s="140">
        <f t="shared" si="9"/>
        <v>7.5</v>
      </c>
      <c r="O308" s="140">
        <f t="shared" si="8"/>
        <v>383.875</v>
      </c>
      <c r="Q308" s="140">
        <v>16</v>
      </c>
    </row>
    <row r="309" spans="12:17" x14ac:dyDescent="0.35">
      <c r="L309" s="140">
        <v>307</v>
      </c>
      <c r="M309" s="140">
        <v>7</v>
      </c>
      <c r="N309" s="140">
        <f t="shared" si="9"/>
        <v>7.75</v>
      </c>
      <c r="O309" s="140">
        <f t="shared" si="8"/>
        <v>383.875</v>
      </c>
      <c r="Q309" s="140">
        <v>11</v>
      </c>
    </row>
    <row r="310" spans="12:17" x14ac:dyDescent="0.35">
      <c r="L310" s="140">
        <v>308</v>
      </c>
      <c r="M310" s="140">
        <v>3</v>
      </c>
      <c r="N310" s="140">
        <f t="shared" si="9"/>
        <v>8.375</v>
      </c>
      <c r="O310" s="140">
        <f t="shared" si="8"/>
        <v>383.875</v>
      </c>
      <c r="Q310" s="140">
        <v>12</v>
      </c>
    </row>
    <row r="311" spans="12:17" x14ac:dyDescent="0.35">
      <c r="L311" s="140">
        <v>309</v>
      </c>
      <c r="M311" s="140">
        <v>7</v>
      </c>
      <c r="N311" s="140">
        <f t="shared" si="9"/>
        <v>7.75</v>
      </c>
      <c r="O311" s="140">
        <f t="shared" si="8"/>
        <v>383.875</v>
      </c>
      <c r="Q311" s="140">
        <v>13</v>
      </c>
    </row>
    <row r="312" spans="12:17" x14ac:dyDescent="0.35">
      <c r="L312" s="140">
        <v>310</v>
      </c>
      <c r="M312" s="140">
        <v>6</v>
      </c>
      <c r="N312" s="140">
        <f t="shared" si="9"/>
        <v>7.125</v>
      </c>
      <c r="O312" s="140">
        <f t="shared" si="8"/>
        <v>383.875</v>
      </c>
      <c r="Q312" s="140">
        <v>16</v>
      </c>
    </row>
    <row r="313" spans="12:17" x14ac:dyDescent="0.35">
      <c r="L313" s="140">
        <v>311</v>
      </c>
      <c r="M313" s="140">
        <v>11</v>
      </c>
      <c r="N313" s="140">
        <f t="shared" si="9"/>
        <v>7.625</v>
      </c>
      <c r="O313" s="140">
        <f t="shared" si="8"/>
        <v>383.875</v>
      </c>
      <c r="Q313" s="140">
        <v>11</v>
      </c>
    </row>
    <row r="314" spans="12:17" x14ac:dyDescent="0.35">
      <c r="L314" s="140">
        <v>312</v>
      </c>
      <c r="M314" s="140">
        <v>13</v>
      </c>
      <c r="N314" s="140">
        <f t="shared" si="9"/>
        <v>7.625</v>
      </c>
      <c r="O314" s="140">
        <f t="shared" si="8"/>
        <v>383.875</v>
      </c>
      <c r="Q314" s="140">
        <v>18</v>
      </c>
    </row>
    <row r="315" spans="12:17" x14ac:dyDescent="0.35">
      <c r="L315" s="140">
        <v>313</v>
      </c>
      <c r="M315" s="140">
        <v>4</v>
      </c>
      <c r="N315" s="140">
        <f t="shared" si="9"/>
        <v>7.375</v>
      </c>
      <c r="O315" s="140">
        <f t="shared" si="8"/>
        <v>383.875</v>
      </c>
      <c r="Q315" s="140">
        <v>11</v>
      </c>
    </row>
    <row r="316" spans="12:17" x14ac:dyDescent="0.35">
      <c r="L316" s="140">
        <v>314</v>
      </c>
      <c r="M316" s="140">
        <v>6</v>
      </c>
      <c r="N316" s="140">
        <f t="shared" si="9"/>
        <v>6.875</v>
      </c>
      <c r="O316" s="140">
        <f t="shared" si="8"/>
        <v>383.875</v>
      </c>
      <c r="Q316" s="140">
        <v>10</v>
      </c>
    </row>
    <row r="317" spans="12:17" x14ac:dyDescent="0.35">
      <c r="L317" s="140">
        <v>315</v>
      </c>
      <c r="M317" s="140">
        <v>11</v>
      </c>
      <c r="N317" s="140">
        <f t="shared" si="9"/>
        <v>5.75</v>
      </c>
      <c r="O317" s="140">
        <f t="shared" si="8"/>
        <v>383.875</v>
      </c>
      <c r="Q317" s="140">
        <v>16</v>
      </c>
    </row>
    <row r="318" spans="12:17" x14ac:dyDescent="0.35">
      <c r="L318" s="140">
        <v>316</v>
      </c>
      <c r="M318" s="140">
        <v>3</v>
      </c>
      <c r="N318" s="140">
        <f t="shared" si="9"/>
        <v>4.75</v>
      </c>
      <c r="O318" s="140">
        <f t="shared" si="8"/>
        <v>383.875</v>
      </c>
      <c r="Q318" s="140">
        <v>13</v>
      </c>
    </row>
    <row r="319" spans="12:17" x14ac:dyDescent="0.35">
      <c r="L319" s="140">
        <v>317</v>
      </c>
      <c r="M319" s="140">
        <v>5</v>
      </c>
      <c r="N319" s="140">
        <f t="shared" si="9"/>
        <v>5.375</v>
      </c>
      <c r="O319" s="140">
        <f t="shared" si="8"/>
        <v>383.875</v>
      </c>
      <c r="Q319" s="140">
        <v>11</v>
      </c>
    </row>
    <row r="320" spans="12:17" x14ac:dyDescent="0.35">
      <c r="L320" s="140">
        <v>318</v>
      </c>
      <c r="M320" s="140">
        <v>2</v>
      </c>
      <c r="N320" s="140">
        <f t="shared" si="9"/>
        <v>5.5</v>
      </c>
      <c r="O320" s="140">
        <f t="shared" si="8"/>
        <v>383.875</v>
      </c>
      <c r="Q320" s="140">
        <v>16</v>
      </c>
    </row>
    <row r="321" spans="12:17" x14ac:dyDescent="0.35">
      <c r="L321" s="140">
        <v>319</v>
      </c>
      <c r="M321" s="140">
        <v>2</v>
      </c>
      <c r="N321" s="140">
        <f t="shared" si="9"/>
        <v>5.125</v>
      </c>
      <c r="O321" s="140">
        <f t="shared" si="8"/>
        <v>383.875</v>
      </c>
      <c r="Q321" s="140">
        <v>15</v>
      </c>
    </row>
    <row r="322" spans="12:17" x14ac:dyDescent="0.35">
      <c r="L322" s="140">
        <v>320</v>
      </c>
      <c r="M322" s="140">
        <v>5</v>
      </c>
      <c r="N322" s="140">
        <f t="shared" si="9"/>
        <v>5.25</v>
      </c>
      <c r="O322" s="140">
        <f t="shared" ref="O322:O385" si="10">MAX($A$35)/2</f>
        <v>383.875</v>
      </c>
      <c r="Q322" s="140">
        <v>17</v>
      </c>
    </row>
    <row r="323" spans="12:17" x14ac:dyDescent="0.35">
      <c r="L323" s="140">
        <v>321</v>
      </c>
      <c r="M323" s="140">
        <v>9</v>
      </c>
      <c r="N323" s="140">
        <f t="shared" si="9"/>
        <v>5.625</v>
      </c>
      <c r="O323" s="140">
        <f t="shared" si="10"/>
        <v>383.875</v>
      </c>
      <c r="Q323" s="140">
        <v>17</v>
      </c>
    </row>
    <row r="324" spans="12:17" x14ac:dyDescent="0.35">
      <c r="L324" s="140">
        <v>322</v>
      </c>
      <c r="M324" s="140">
        <v>7</v>
      </c>
      <c r="N324" s="140">
        <f t="shared" si="9"/>
        <v>6</v>
      </c>
      <c r="O324" s="140">
        <f t="shared" si="10"/>
        <v>383.875</v>
      </c>
      <c r="Q324" s="140">
        <v>16</v>
      </c>
    </row>
    <row r="325" spans="12:17" x14ac:dyDescent="0.35">
      <c r="L325" s="140">
        <v>323</v>
      </c>
      <c r="M325" s="140">
        <v>8</v>
      </c>
      <c r="N325" s="140">
        <f t="shared" ref="N325:N388" si="11">AVERAGE(M322:M329)</f>
        <v>6.5</v>
      </c>
      <c r="O325" s="140">
        <f t="shared" si="10"/>
        <v>383.875</v>
      </c>
      <c r="Q325" s="140">
        <v>22</v>
      </c>
    </row>
    <row r="326" spans="12:17" x14ac:dyDescent="0.35">
      <c r="L326" s="140">
        <v>324</v>
      </c>
      <c r="M326" s="140">
        <v>4</v>
      </c>
      <c r="N326" s="140">
        <f t="shared" si="11"/>
        <v>7.25</v>
      </c>
      <c r="O326" s="140">
        <f t="shared" si="10"/>
        <v>383.875</v>
      </c>
      <c r="Q326" s="140">
        <v>17</v>
      </c>
    </row>
    <row r="327" spans="12:17" x14ac:dyDescent="0.35">
      <c r="L327" s="140">
        <v>325</v>
      </c>
      <c r="M327" s="140">
        <v>8</v>
      </c>
      <c r="N327" s="140">
        <f t="shared" si="11"/>
        <v>6.625</v>
      </c>
      <c r="O327" s="140">
        <f t="shared" si="10"/>
        <v>383.875</v>
      </c>
      <c r="Q327" s="140">
        <v>25</v>
      </c>
    </row>
    <row r="328" spans="12:17" x14ac:dyDescent="0.35">
      <c r="L328" s="140">
        <v>326</v>
      </c>
      <c r="M328" s="140">
        <v>5</v>
      </c>
      <c r="N328" s="140">
        <f t="shared" si="11"/>
        <v>6.125</v>
      </c>
      <c r="O328" s="140">
        <f t="shared" si="10"/>
        <v>383.875</v>
      </c>
      <c r="Q328" s="140">
        <v>16</v>
      </c>
    </row>
    <row r="329" spans="12:17" x14ac:dyDescent="0.35">
      <c r="L329" s="140">
        <v>327</v>
      </c>
      <c r="M329" s="140">
        <v>6</v>
      </c>
      <c r="N329" s="140">
        <f t="shared" si="11"/>
        <v>5.625</v>
      </c>
      <c r="O329" s="140">
        <f t="shared" si="10"/>
        <v>383.875</v>
      </c>
      <c r="Q329" s="140">
        <v>20</v>
      </c>
    </row>
    <row r="330" spans="12:17" x14ac:dyDescent="0.35">
      <c r="L330" s="140">
        <v>328</v>
      </c>
      <c r="M330" s="140">
        <v>11</v>
      </c>
      <c r="N330" s="140">
        <f t="shared" si="11"/>
        <v>5.375</v>
      </c>
      <c r="O330" s="140">
        <f t="shared" si="10"/>
        <v>383.875</v>
      </c>
      <c r="Q330" s="140">
        <v>20</v>
      </c>
    </row>
    <row r="331" spans="12:17" x14ac:dyDescent="0.35">
      <c r="L331" s="140">
        <v>329</v>
      </c>
      <c r="M331" s="140">
        <v>4</v>
      </c>
      <c r="N331" s="140">
        <f t="shared" si="11"/>
        <v>5.25</v>
      </c>
      <c r="O331" s="140">
        <f t="shared" si="10"/>
        <v>383.875</v>
      </c>
      <c r="Q331" s="140">
        <v>31</v>
      </c>
    </row>
    <row r="332" spans="12:17" x14ac:dyDescent="0.35">
      <c r="L332" s="140">
        <v>330</v>
      </c>
      <c r="M332" s="140">
        <v>3</v>
      </c>
      <c r="N332" s="140">
        <f t="shared" si="11"/>
        <v>5.125</v>
      </c>
      <c r="O332" s="140">
        <f t="shared" si="10"/>
        <v>383.875</v>
      </c>
      <c r="Q332" s="140">
        <v>27</v>
      </c>
    </row>
    <row r="333" spans="12:17" x14ac:dyDescent="0.35">
      <c r="L333" s="140">
        <v>331</v>
      </c>
      <c r="M333" s="140">
        <v>4</v>
      </c>
      <c r="N333" s="140">
        <f t="shared" si="11"/>
        <v>5.25</v>
      </c>
      <c r="O333" s="140">
        <f t="shared" si="10"/>
        <v>383.875</v>
      </c>
      <c r="Q333" s="140">
        <v>21</v>
      </c>
    </row>
    <row r="334" spans="12:17" x14ac:dyDescent="0.35">
      <c r="L334" s="140">
        <v>332</v>
      </c>
      <c r="M334" s="140">
        <v>2</v>
      </c>
      <c r="N334" s="140">
        <f t="shared" si="11"/>
        <v>4.375</v>
      </c>
      <c r="O334" s="140">
        <f t="shared" si="10"/>
        <v>383.875</v>
      </c>
      <c r="Q334" s="140">
        <v>19</v>
      </c>
    </row>
    <row r="335" spans="12:17" x14ac:dyDescent="0.35">
      <c r="L335" s="140">
        <v>333</v>
      </c>
      <c r="M335" s="140">
        <v>7</v>
      </c>
      <c r="N335" s="140">
        <f t="shared" si="11"/>
        <v>4.375</v>
      </c>
      <c r="O335" s="140">
        <f t="shared" si="10"/>
        <v>383.875</v>
      </c>
      <c r="Q335" s="140">
        <v>27</v>
      </c>
    </row>
    <row r="336" spans="12:17" x14ac:dyDescent="0.35">
      <c r="L336" s="140">
        <v>334</v>
      </c>
      <c r="M336" s="140">
        <v>4</v>
      </c>
      <c r="N336" s="140">
        <f t="shared" si="11"/>
        <v>5.25</v>
      </c>
      <c r="O336" s="140">
        <f t="shared" si="10"/>
        <v>383.875</v>
      </c>
      <c r="Q336" s="140">
        <v>33</v>
      </c>
    </row>
    <row r="337" spans="12:17" x14ac:dyDescent="0.35">
      <c r="L337" s="140">
        <v>335</v>
      </c>
      <c r="M337" s="140">
        <v>7</v>
      </c>
      <c r="N337" s="140">
        <f t="shared" si="11"/>
        <v>5.25</v>
      </c>
      <c r="O337" s="140">
        <f t="shared" si="10"/>
        <v>383.875</v>
      </c>
      <c r="Q337" s="140">
        <v>32</v>
      </c>
    </row>
    <row r="338" spans="12:17" x14ac:dyDescent="0.35">
      <c r="L338" s="140">
        <v>336</v>
      </c>
      <c r="M338" s="140">
        <v>4</v>
      </c>
      <c r="N338" s="140">
        <f t="shared" si="11"/>
        <v>5.5</v>
      </c>
      <c r="O338" s="140">
        <f t="shared" si="10"/>
        <v>383.875</v>
      </c>
      <c r="Q338" s="140">
        <v>26</v>
      </c>
    </row>
    <row r="339" spans="12:17" x14ac:dyDescent="0.35">
      <c r="L339" s="140">
        <v>337</v>
      </c>
      <c r="M339" s="140">
        <v>4</v>
      </c>
      <c r="N339" s="140">
        <f t="shared" si="11"/>
        <v>5.125</v>
      </c>
      <c r="O339" s="140">
        <f t="shared" si="10"/>
        <v>383.875</v>
      </c>
      <c r="Q339" s="140">
        <v>29</v>
      </c>
    </row>
    <row r="340" spans="12:17" x14ac:dyDescent="0.35">
      <c r="L340" s="140">
        <v>338</v>
      </c>
      <c r="M340" s="140">
        <v>10</v>
      </c>
      <c r="N340" s="140">
        <f t="shared" si="11"/>
        <v>5.125</v>
      </c>
      <c r="O340" s="140">
        <f t="shared" si="10"/>
        <v>383.875</v>
      </c>
      <c r="Q340" s="140">
        <v>30</v>
      </c>
    </row>
    <row r="341" spans="12:17" x14ac:dyDescent="0.35">
      <c r="L341" s="140">
        <v>339</v>
      </c>
      <c r="M341" s="140">
        <v>4</v>
      </c>
      <c r="N341" s="140">
        <f t="shared" si="11"/>
        <v>4.875</v>
      </c>
      <c r="O341" s="140">
        <f t="shared" si="10"/>
        <v>383.875</v>
      </c>
      <c r="Q341" s="140">
        <v>38</v>
      </c>
    </row>
    <row r="342" spans="12:17" x14ac:dyDescent="0.35">
      <c r="L342" s="140">
        <v>340</v>
      </c>
      <c r="M342" s="140">
        <v>4</v>
      </c>
      <c r="N342" s="140">
        <f t="shared" si="11"/>
        <v>5</v>
      </c>
      <c r="O342" s="140">
        <f t="shared" si="10"/>
        <v>383.875</v>
      </c>
      <c r="Q342" s="140">
        <v>35</v>
      </c>
    </row>
    <row r="343" spans="12:17" x14ac:dyDescent="0.35">
      <c r="L343" s="140">
        <v>341</v>
      </c>
      <c r="M343" s="140">
        <v>4</v>
      </c>
      <c r="N343" s="140">
        <f t="shared" si="11"/>
        <v>5</v>
      </c>
      <c r="O343" s="140">
        <f t="shared" si="10"/>
        <v>383.875</v>
      </c>
      <c r="Q343" s="140">
        <v>45</v>
      </c>
    </row>
    <row r="344" spans="12:17" x14ac:dyDescent="0.35">
      <c r="L344" s="140">
        <v>342</v>
      </c>
      <c r="M344" s="140">
        <v>4</v>
      </c>
      <c r="N344" s="140">
        <f t="shared" si="11"/>
        <v>5</v>
      </c>
      <c r="O344" s="140">
        <f t="shared" si="10"/>
        <v>383.875</v>
      </c>
      <c r="Q344" s="140">
        <v>46</v>
      </c>
    </row>
    <row r="345" spans="12:17" x14ac:dyDescent="0.35">
      <c r="L345" s="140">
        <v>343</v>
      </c>
      <c r="M345" s="140">
        <v>5</v>
      </c>
      <c r="N345" s="140">
        <f t="shared" si="11"/>
        <v>4.875</v>
      </c>
      <c r="O345" s="140">
        <f t="shared" si="10"/>
        <v>383.875</v>
      </c>
      <c r="Q345" s="140">
        <v>28</v>
      </c>
    </row>
    <row r="346" spans="12:17" x14ac:dyDescent="0.35">
      <c r="L346" s="140">
        <v>344</v>
      </c>
      <c r="M346" s="140">
        <v>5</v>
      </c>
      <c r="N346" s="140">
        <f t="shared" si="11"/>
        <v>4.875</v>
      </c>
      <c r="O346" s="140">
        <f t="shared" si="10"/>
        <v>383.875</v>
      </c>
      <c r="Q346" s="140">
        <v>52</v>
      </c>
    </row>
    <row r="347" spans="12:17" x14ac:dyDescent="0.35">
      <c r="L347" s="140">
        <v>345</v>
      </c>
      <c r="M347" s="140">
        <v>4</v>
      </c>
      <c r="N347" s="140">
        <f t="shared" si="11"/>
        <v>5.125</v>
      </c>
      <c r="O347" s="140">
        <f t="shared" si="10"/>
        <v>383.875</v>
      </c>
      <c r="Q347" s="140">
        <v>39</v>
      </c>
    </row>
    <row r="348" spans="12:17" x14ac:dyDescent="0.35">
      <c r="L348" s="140">
        <v>346</v>
      </c>
      <c r="M348" s="140">
        <v>10</v>
      </c>
      <c r="N348" s="140">
        <f t="shared" si="11"/>
        <v>5.125</v>
      </c>
      <c r="O348" s="140">
        <f t="shared" si="10"/>
        <v>383.875</v>
      </c>
      <c r="Q348" s="140">
        <v>47</v>
      </c>
    </row>
    <row r="349" spans="12:17" x14ac:dyDescent="0.35">
      <c r="L349" s="140">
        <v>347</v>
      </c>
      <c r="M349" s="140">
        <v>3</v>
      </c>
      <c r="N349" s="140">
        <f t="shared" si="11"/>
        <v>4.75</v>
      </c>
      <c r="O349" s="140">
        <f t="shared" si="10"/>
        <v>383.875</v>
      </c>
      <c r="Q349" s="140">
        <v>62</v>
      </c>
    </row>
    <row r="350" spans="12:17" x14ac:dyDescent="0.35">
      <c r="L350" s="140">
        <v>348</v>
      </c>
      <c r="M350" s="140">
        <v>4</v>
      </c>
      <c r="N350" s="140">
        <f t="shared" si="11"/>
        <v>4.875</v>
      </c>
      <c r="O350" s="140">
        <f t="shared" si="10"/>
        <v>383.875</v>
      </c>
      <c r="Q350" s="140">
        <v>59</v>
      </c>
    </row>
    <row r="351" spans="12:17" x14ac:dyDescent="0.35">
      <c r="L351" s="140">
        <v>349</v>
      </c>
      <c r="M351" s="140">
        <v>6</v>
      </c>
      <c r="N351" s="140">
        <f t="shared" si="11"/>
        <v>4.75</v>
      </c>
      <c r="O351" s="140">
        <f t="shared" si="10"/>
        <v>383.875</v>
      </c>
      <c r="Q351" s="140">
        <v>51</v>
      </c>
    </row>
    <row r="352" spans="12:17" x14ac:dyDescent="0.35">
      <c r="L352" s="140">
        <v>350</v>
      </c>
      <c r="M352" s="140">
        <v>4</v>
      </c>
      <c r="N352" s="140">
        <f t="shared" si="11"/>
        <v>4.25</v>
      </c>
      <c r="O352" s="140">
        <f t="shared" si="10"/>
        <v>383.875</v>
      </c>
      <c r="Q352" s="140">
        <v>48</v>
      </c>
    </row>
    <row r="353" spans="12:17" x14ac:dyDescent="0.35">
      <c r="L353" s="140">
        <v>351</v>
      </c>
      <c r="M353" s="140">
        <v>2</v>
      </c>
      <c r="N353" s="140">
        <f t="shared" si="11"/>
        <v>4.625</v>
      </c>
      <c r="O353" s="140">
        <f t="shared" si="10"/>
        <v>383.875</v>
      </c>
      <c r="Q353" s="140">
        <v>62</v>
      </c>
    </row>
    <row r="354" spans="12:17" x14ac:dyDescent="0.35">
      <c r="L354" s="140">
        <v>352</v>
      </c>
      <c r="M354" s="140">
        <v>6</v>
      </c>
      <c r="N354" s="140">
        <f t="shared" si="11"/>
        <v>4.75</v>
      </c>
      <c r="O354" s="140">
        <f t="shared" si="10"/>
        <v>383.875</v>
      </c>
      <c r="Q354" s="140">
        <v>58</v>
      </c>
    </row>
    <row r="355" spans="12:17" x14ac:dyDescent="0.35">
      <c r="L355" s="140">
        <v>353</v>
      </c>
      <c r="M355" s="140">
        <v>3</v>
      </c>
      <c r="N355" s="140">
        <f t="shared" si="11"/>
        <v>5</v>
      </c>
      <c r="O355" s="140">
        <f t="shared" si="10"/>
        <v>383.875</v>
      </c>
      <c r="Q355" s="140">
        <v>57</v>
      </c>
    </row>
    <row r="356" spans="12:17" x14ac:dyDescent="0.35">
      <c r="L356" s="140">
        <v>354</v>
      </c>
      <c r="M356" s="140">
        <v>6</v>
      </c>
      <c r="N356" s="140">
        <f t="shared" si="11"/>
        <v>4.625</v>
      </c>
      <c r="O356" s="140">
        <f t="shared" si="10"/>
        <v>383.875</v>
      </c>
      <c r="Q356" s="140">
        <v>77</v>
      </c>
    </row>
    <row r="357" spans="12:17" x14ac:dyDescent="0.35">
      <c r="L357" s="140">
        <v>355</v>
      </c>
      <c r="M357" s="140">
        <v>6</v>
      </c>
      <c r="N357" s="140">
        <f t="shared" si="11"/>
        <v>4.875</v>
      </c>
      <c r="O357" s="140">
        <f t="shared" si="10"/>
        <v>383.875</v>
      </c>
      <c r="Q357" s="140">
        <v>65</v>
      </c>
    </row>
    <row r="358" spans="12:17" x14ac:dyDescent="0.35">
      <c r="L358" s="140">
        <v>356</v>
      </c>
      <c r="M358" s="140">
        <v>5</v>
      </c>
      <c r="N358" s="140">
        <f t="shared" si="11"/>
        <v>4.375</v>
      </c>
      <c r="O358" s="140">
        <f t="shared" si="10"/>
        <v>383.875</v>
      </c>
      <c r="Q358" s="140">
        <v>77</v>
      </c>
    </row>
    <row r="359" spans="12:17" x14ac:dyDescent="0.35">
      <c r="L359" s="140">
        <v>357</v>
      </c>
      <c r="M359" s="140">
        <v>8</v>
      </c>
      <c r="N359" s="140">
        <f t="shared" si="11"/>
        <v>4.75</v>
      </c>
      <c r="O359" s="140">
        <f t="shared" si="10"/>
        <v>383.875</v>
      </c>
      <c r="Q359" s="140">
        <v>67</v>
      </c>
    </row>
    <row r="360" spans="12:17" x14ac:dyDescent="0.35">
      <c r="L360" s="140">
        <v>358</v>
      </c>
      <c r="M360" s="140">
        <v>1</v>
      </c>
      <c r="N360" s="140">
        <f t="shared" si="11"/>
        <v>4.625</v>
      </c>
      <c r="O360" s="140">
        <f t="shared" si="10"/>
        <v>383.875</v>
      </c>
      <c r="Q360" s="140">
        <v>81</v>
      </c>
    </row>
    <row r="361" spans="12:17" x14ac:dyDescent="0.35">
      <c r="L361" s="140">
        <v>359</v>
      </c>
      <c r="M361" s="140">
        <v>4</v>
      </c>
      <c r="N361" s="140">
        <f t="shared" si="11"/>
        <v>5.125</v>
      </c>
      <c r="O361" s="140">
        <f t="shared" si="10"/>
        <v>383.875</v>
      </c>
      <c r="Q361" s="140">
        <v>80</v>
      </c>
    </row>
    <row r="362" spans="12:17" x14ac:dyDescent="0.35">
      <c r="L362" s="140">
        <v>360</v>
      </c>
      <c r="M362" s="140">
        <v>2</v>
      </c>
      <c r="N362" s="140">
        <f t="shared" si="11"/>
        <v>5.125</v>
      </c>
      <c r="O362" s="140">
        <f t="shared" si="10"/>
        <v>383.875</v>
      </c>
      <c r="Q362" s="140">
        <v>62</v>
      </c>
    </row>
    <row r="363" spans="12:17" x14ac:dyDescent="0.35">
      <c r="L363" s="140">
        <v>361</v>
      </c>
      <c r="M363" s="140">
        <v>6</v>
      </c>
      <c r="N363" s="140">
        <f t="shared" si="11"/>
        <v>4.75</v>
      </c>
      <c r="O363" s="140">
        <f t="shared" si="10"/>
        <v>383.875</v>
      </c>
      <c r="Q363" s="140">
        <v>86</v>
      </c>
    </row>
    <row r="364" spans="12:17" x14ac:dyDescent="0.35">
      <c r="L364" s="140">
        <v>362</v>
      </c>
      <c r="M364" s="140">
        <v>5</v>
      </c>
      <c r="N364" s="140">
        <f t="shared" si="11"/>
        <v>5.125</v>
      </c>
      <c r="O364" s="140">
        <f t="shared" si="10"/>
        <v>383.875</v>
      </c>
      <c r="Q364" s="140">
        <v>100</v>
      </c>
    </row>
    <row r="365" spans="12:17" x14ac:dyDescent="0.35">
      <c r="L365" s="140">
        <v>363</v>
      </c>
      <c r="M365" s="140">
        <v>10</v>
      </c>
      <c r="N365" s="140">
        <f t="shared" si="11"/>
        <v>5.25</v>
      </c>
      <c r="O365" s="140">
        <f t="shared" si="10"/>
        <v>383.875</v>
      </c>
      <c r="Q365" s="140">
        <v>77</v>
      </c>
    </row>
    <row r="366" spans="12:17" x14ac:dyDescent="0.35">
      <c r="L366" s="140">
        <v>364</v>
      </c>
      <c r="M366" s="140">
        <v>5</v>
      </c>
      <c r="N366" s="140">
        <f t="shared" si="11"/>
        <v>5.25</v>
      </c>
      <c r="O366" s="140">
        <f t="shared" si="10"/>
        <v>383.875</v>
      </c>
      <c r="Q366" s="140">
        <v>91</v>
      </c>
    </row>
    <row r="367" spans="12:17" x14ac:dyDescent="0.35">
      <c r="L367" s="140">
        <v>365</v>
      </c>
      <c r="M367" s="140">
        <v>5</v>
      </c>
      <c r="N367" s="140">
        <f t="shared" si="11"/>
        <v>4.875</v>
      </c>
      <c r="O367" s="140">
        <f t="shared" si="10"/>
        <v>383.875</v>
      </c>
      <c r="Q367" s="140">
        <v>96</v>
      </c>
    </row>
    <row r="368" spans="12:17" x14ac:dyDescent="0.35">
      <c r="L368" s="140">
        <v>366</v>
      </c>
      <c r="M368" s="140">
        <v>4</v>
      </c>
      <c r="N368" s="140">
        <f t="shared" si="11"/>
        <v>4.5</v>
      </c>
      <c r="O368" s="140">
        <f t="shared" si="10"/>
        <v>383.875</v>
      </c>
      <c r="Q368" s="140">
        <v>98</v>
      </c>
    </row>
    <row r="369" spans="12:17" x14ac:dyDescent="0.35">
      <c r="L369" s="140">
        <v>367</v>
      </c>
      <c r="M369" s="140">
        <v>5</v>
      </c>
      <c r="N369" s="140">
        <f t="shared" si="11"/>
        <v>3.5</v>
      </c>
      <c r="O369" s="140">
        <f t="shared" si="10"/>
        <v>383.875</v>
      </c>
      <c r="Q369" s="140">
        <v>97</v>
      </c>
    </row>
    <row r="370" spans="12:17" x14ac:dyDescent="0.35">
      <c r="L370" s="140">
        <v>368</v>
      </c>
      <c r="M370" s="140">
        <v>2</v>
      </c>
      <c r="N370" s="140">
        <f t="shared" si="11"/>
        <v>3.5</v>
      </c>
      <c r="O370" s="140">
        <f t="shared" si="10"/>
        <v>383.875</v>
      </c>
      <c r="Q370" s="140">
        <v>115</v>
      </c>
    </row>
    <row r="371" spans="12:17" x14ac:dyDescent="0.35">
      <c r="L371" s="140">
        <v>369</v>
      </c>
      <c r="M371" s="140">
        <v>3</v>
      </c>
      <c r="N371" s="140">
        <f t="shared" si="11"/>
        <v>3.75</v>
      </c>
      <c r="O371" s="140">
        <f t="shared" si="10"/>
        <v>383.875</v>
      </c>
      <c r="Q371" s="140">
        <v>106</v>
      </c>
    </row>
    <row r="372" spans="12:17" x14ac:dyDescent="0.35">
      <c r="L372" s="140">
        <v>370</v>
      </c>
      <c r="M372" s="140">
        <v>2</v>
      </c>
      <c r="N372" s="140">
        <f t="shared" si="11"/>
        <v>3.875</v>
      </c>
      <c r="O372" s="140">
        <f t="shared" si="10"/>
        <v>383.875</v>
      </c>
      <c r="Q372" s="140">
        <v>118</v>
      </c>
    </row>
    <row r="373" spans="12:17" x14ac:dyDescent="0.35">
      <c r="L373" s="140">
        <v>371</v>
      </c>
      <c r="M373" s="140">
        <v>2</v>
      </c>
      <c r="N373" s="140">
        <f t="shared" si="11"/>
        <v>4.375</v>
      </c>
      <c r="O373" s="140">
        <f t="shared" si="10"/>
        <v>383.875</v>
      </c>
      <c r="Q373" s="140">
        <v>114</v>
      </c>
    </row>
    <row r="374" spans="12:17" x14ac:dyDescent="0.35">
      <c r="L374" s="140">
        <v>372</v>
      </c>
      <c r="M374" s="140">
        <v>5</v>
      </c>
      <c r="N374" s="140">
        <f t="shared" si="11"/>
        <v>4.75</v>
      </c>
      <c r="O374" s="140">
        <f t="shared" si="10"/>
        <v>383.875</v>
      </c>
      <c r="Q374" s="140">
        <v>127</v>
      </c>
    </row>
    <row r="375" spans="12:17" x14ac:dyDescent="0.35">
      <c r="L375" s="140">
        <v>373</v>
      </c>
      <c r="M375" s="140">
        <v>7</v>
      </c>
      <c r="N375" s="140">
        <f t="shared" si="11"/>
        <v>4.75</v>
      </c>
      <c r="O375" s="140">
        <f t="shared" si="10"/>
        <v>383.875</v>
      </c>
      <c r="Q375" s="140">
        <v>142</v>
      </c>
    </row>
    <row r="376" spans="12:17" x14ac:dyDescent="0.35">
      <c r="L376" s="140">
        <v>374</v>
      </c>
      <c r="M376" s="140">
        <v>5</v>
      </c>
      <c r="N376" s="140">
        <f t="shared" si="11"/>
        <v>5.125</v>
      </c>
      <c r="O376" s="140">
        <f t="shared" si="10"/>
        <v>383.875</v>
      </c>
      <c r="Q376" s="140">
        <v>117</v>
      </c>
    </row>
    <row r="377" spans="12:17" x14ac:dyDescent="0.35">
      <c r="L377" s="140">
        <v>375</v>
      </c>
      <c r="M377" s="140">
        <v>9</v>
      </c>
      <c r="N377" s="140">
        <f t="shared" si="11"/>
        <v>5.875</v>
      </c>
      <c r="O377" s="140">
        <f t="shared" si="10"/>
        <v>383.875</v>
      </c>
      <c r="Q377" s="140">
        <v>148</v>
      </c>
    </row>
    <row r="378" spans="12:17" x14ac:dyDescent="0.35">
      <c r="L378" s="140">
        <v>376</v>
      </c>
      <c r="M378" s="140">
        <v>5</v>
      </c>
      <c r="N378" s="140">
        <f t="shared" si="11"/>
        <v>5.625</v>
      </c>
      <c r="O378" s="140">
        <f t="shared" si="10"/>
        <v>383.875</v>
      </c>
      <c r="Q378" s="140">
        <v>143</v>
      </c>
    </row>
    <row r="379" spans="12:17" x14ac:dyDescent="0.35">
      <c r="L379" s="140">
        <v>377</v>
      </c>
      <c r="M379" s="140">
        <v>3</v>
      </c>
      <c r="N379" s="140">
        <f t="shared" si="11"/>
        <v>5.375</v>
      </c>
      <c r="O379" s="140">
        <f t="shared" si="10"/>
        <v>383.875</v>
      </c>
      <c r="Q379" s="140">
        <v>148</v>
      </c>
    </row>
    <row r="380" spans="12:17" x14ac:dyDescent="0.35">
      <c r="L380" s="140">
        <v>378</v>
      </c>
      <c r="M380" s="140">
        <v>5</v>
      </c>
      <c r="N380" s="140">
        <f t="shared" si="11"/>
        <v>5.125</v>
      </c>
      <c r="O380" s="140">
        <f t="shared" si="10"/>
        <v>383.875</v>
      </c>
      <c r="Q380" s="140">
        <v>174</v>
      </c>
    </row>
    <row r="381" spans="12:17" x14ac:dyDescent="0.35">
      <c r="L381" s="140">
        <v>379</v>
      </c>
      <c r="M381" s="140">
        <v>8</v>
      </c>
      <c r="N381" s="140">
        <f t="shared" si="11"/>
        <v>4.75</v>
      </c>
      <c r="O381" s="140">
        <f t="shared" si="10"/>
        <v>383.875</v>
      </c>
      <c r="Q381" s="140">
        <v>181</v>
      </c>
    </row>
    <row r="382" spans="12:17" x14ac:dyDescent="0.35">
      <c r="L382" s="140">
        <v>380</v>
      </c>
      <c r="M382" s="140">
        <v>3</v>
      </c>
      <c r="N382" s="140">
        <f t="shared" si="11"/>
        <v>4.875</v>
      </c>
      <c r="O382" s="140">
        <f t="shared" si="10"/>
        <v>383.875</v>
      </c>
      <c r="Q382" s="140">
        <v>181</v>
      </c>
    </row>
    <row r="383" spans="12:17" x14ac:dyDescent="0.35">
      <c r="L383" s="140">
        <v>381</v>
      </c>
      <c r="M383" s="140">
        <v>5</v>
      </c>
      <c r="N383" s="140">
        <f t="shared" si="11"/>
        <v>5</v>
      </c>
      <c r="O383" s="140">
        <f t="shared" si="10"/>
        <v>383.875</v>
      </c>
      <c r="Q383" s="140">
        <v>178</v>
      </c>
    </row>
    <row r="384" spans="12:17" x14ac:dyDescent="0.35">
      <c r="L384" s="140">
        <v>382</v>
      </c>
      <c r="M384" s="140">
        <v>3</v>
      </c>
      <c r="N384" s="140">
        <f t="shared" si="11"/>
        <v>4.5</v>
      </c>
      <c r="O384" s="140">
        <f t="shared" si="10"/>
        <v>383.875</v>
      </c>
      <c r="Q384" s="140">
        <v>192</v>
      </c>
    </row>
    <row r="385" spans="12:17" x14ac:dyDescent="0.35">
      <c r="L385" s="140">
        <v>383</v>
      </c>
      <c r="M385" s="140">
        <v>6</v>
      </c>
      <c r="N385" s="140">
        <f t="shared" si="11"/>
        <v>3.875</v>
      </c>
      <c r="O385" s="140">
        <f t="shared" si="10"/>
        <v>383.875</v>
      </c>
      <c r="Q385" s="140">
        <v>210</v>
      </c>
    </row>
    <row r="386" spans="12:17" x14ac:dyDescent="0.35">
      <c r="L386" s="140">
        <v>384</v>
      </c>
      <c r="M386" s="140">
        <v>6</v>
      </c>
      <c r="N386" s="140">
        <f t="shared" si="11"/>
        <v>4.75</v>
      </c>
      <c r="O386" s="140">
        <f t="shared" ref="O386:O449" si="12">MAX($A$35)/2</f>
        <v>383.875</v>
      </c>
      <c r="Q386" s="140">
        <v>218</v>
      </c>
    </row>
    <row r="387" spans="12:17" x14ac:dyDescent="0.35">
      <c r="L387" s="140">
        <v>385</v>
      </c>
      <c r="M387" s="140">
        <v>4</v>
      </c>
      <c r="N387" s="140">
        <f t="shared" si="11"/>
        <v>4.375</v>
      </c>
      <c r="O387" s="140">
        <f t="shared" si="12"/>
        <v>383.875</v>
      </c>
      <c r="Q387" s="140">
        <v>193</v>
      </c>
    </row>
    <row r="388" spans="12:17" x14ac:dyDescent="0.35">
      <c r="L388" s="140">
        <v>386</v>
      </c>
      <c r="M388" s="140">
        <v>1</v>
      </c>
      <c r="N388" s="140">
        <f t="shared" si="11"/>
        <v>4.25</v>
      </c>
      <c r="O388" s="140">
        <f t="shared" si="12"/>
        <v>383.875</v>
      </c>
      <c r="Q388" s="140">
        <v>221</v>
      </c>
    </row>
    <row r="389" spans="12:17" x14ac:dyDescent="0.35">
      <c r="L389" s="140">
        <v>387</v>
      </c>
      <c r="M389" s="140">
        <v>3</v>
      </c>
      <c r="N389" s="140">
        <f t="shared" ref="N389:N452" si="13">AVERAGE(M386:M393)</f>
        <v>4.25</v>
      </c>
      <c r="O389" s="140">
        <f t="shared" si="12"/>
        <v>383.875</v>
      </c>
      <c r="Q389" s="140">
        <v>226</v>
      </c>
    </row>
    <row r="390" spans="12:17" x14ac:dyDescent="0.35">
      <c r="L390" s="140">
        <v>388</v>
      </c>
      <c r="M390" s="140">
        <v>10</v>
      </c>
      <c r="N390" s="140">
        <f t="shared" si="13"/>
        <v>4.25</v>
      </c>
      <c r="O390" s="140">
        <f t="shared" si="12"/>
        <v>383.875</v>
      </c>
      <c r="Q390" s="140">
        <v>271</v>
      </c>
    </row>
    <row r="391" spans="12:17" x14ac:dyDescent="0.35">
      <c r="L391" s="140">
        <v>389</v>
      </c>
      <c r="M391" s="140">
        <v>2</v>
      </c>
      <c r="N391" s="140">
        <f t="shared" si="13"/>
        <v>3.875</v>
      </c>
      <c r="O391" s="140">
        <f t="shared" si="12"/>
        <v>383.875</v>
      </c>
      <c r="Q391" s="140">
        <v>233</v>
      </c>
    </row>
    <row r="392" spans="12:17" x14ac:dyDescent="0.35">
      <c r="L392" s="140">
        <v>390</v>
      </c>
      <c r="M392" s="140">
        <v>2</v>
      </c>
      <c r="N392" s="140">
        <f t="shared" si="13"/>
        <v>4.375</v>
      </c>
      <c r="O392" s="140">
        <f t="shared" si="12"/>
        <v>383.875</v>
      </c>
      <c r="Q392" s="140">
        <v>260</v>
      </c>
    </row>
    <row r="393" spans="12:17" x14ac:dyDescent="0.35">
      <c r="L393" s="140">
        <v>391</v>
      </c>
      <c r="M393" s="140">
        <v>6</v>
      </c>
      <c r="N393" s="140">
        <f t="shared" si="13"/>
        <v>4.25</v>
      </c>
      <c r="O393" s="140">
        <f t="shared" si="12"/>
        <v>383.875</v>
      </c>
      <c r="Q393" s="140">
        <v>241</v>
      </c>
    </row>
    <row r="394" spans="12:17" x14ac:dyDescent="0.35">
      <c r="L394" s="140">
        <v>392</v>
      </c>
      <c r="M394" s="140">
        <v>6</v>
      </c>
      <c r="N394" s="140">
        <f t="shared" si="13"/>
        <v>4</v>
      </c>
      <c r="O394" s="140">
        <f t="shared" si="12"/>
        <v>383.875</v>
      </c>
      <c r="Q394" s="140">
        <v>280</v>
      </c>
    </row>
    <row r="395" spans="12:17" x14ac:dyDescent="0.35">
      <c r="L395" s="140">
        <v>393</v>
      </c>
      <c r="M395" s="140">
        <v>1</v>
      </c>
      <c r="N395" s="140">
        <f t="shared" si="13"/>
        <v>4.875</v>
      </c>
      <c r="O395" s="140">
        <f t="shared" si="12"/>
        <v>383.875</v>
      </c>
      <c r="Q395" s="140">
        <v>278</v>
      </c>
    </row>
    <row r="396" spans="12:17" x14ac:dyDescent="0.35">
      <c r="L396" s="140">
        <v>394</v>
      </c>
      <c r="M396" s="140">
        <v>5</v>
      </c>
      <c r="N396" s="140">
        <f t="shared" si="13"/>
        <v>5.125</v>
      </c>
      <c r="O396" s="140">
        <f t="shared" si="12"/>
        <v>383.875</v>
      </c>
      <c r="Q396" s="140">
        <v>276</v>
      </c>
    </row>
    <row r="397" spans="12:17" x14ac:dyDescent="0.35">
      <c r="L397" s="140">
        <v>395</v>
      </c>
      <c r="M397" s="140">
        <v>2</v>
      </c>
      <c r="N397" s="140">
        <f t="shared" si="13"/>
        <v>5.25</v>
      </c>
      <c r="O397" s="140">
        <f t="shared" si="12"/>
        <v>383.875</v>
      </c>
      <c r="Q397" s="140">
        <v>277</v>
      </c>
    </row>
    <row r="398" spans="12:17" x14ac:dyDescent="0.35">
      <c r="L398" s="140">
        <v>396</v>
      </c>
      <c r="M398" s="140">
        <v>8</v>
      </c>
      <c r="N398" s="140">
        <f t="shared" si="13"/>
        <v>5</v>
      </c>
      <c r="O398" s="140">
        <f t="shared" si="12"/>
        <v>383.875</v>
      </c>
      <c r="Q398" s="140">
        <v>300</v>
      </c>
    </row>
    <row r="399" spans="12:17" x14ac:dyDescent="0.35">
      <c r="L399" s="140">
        <v>397</v>
      </c>
      <c r="M399" s="140">
        <v>9</v>
      </c>
      <c r="N399" s="140">
        <f t="shared" si="13"/>
        <v>5.625</v>
      </c>
      <c r="O399" s="140">
        <f t="shared" si="12"/>
        <v>383.875</v>
      </c>
      <c r="Q399" s="140">
        <v>320</v>
      </c>
    </row>
    <row r="400" spans="12:17" x14ac:dyDescent="0.35">
      <c r="L400" s="140">
        <v>398</v>
      </c>
      <c r="M400" s="140">
        <v>4</v>
      </c>
      <c r="N400" s="140">
        <f t="shared" si="13"/>
        <v>5.125</v>
      </c>
      <c r="O400" s="140">
        <f t="shared" si="12"/>
        <v>383.875</v>
      </c>
      <c r="Q400" s="140">
        <v>320</v>
      </c>
    </row>
    <row r="401" spans="12:17" x14ac:dyDescent="0.35">
      <c r="L401" s="140">
        <v>399</v>
      </c>
      <c r="M401" s="140">
        <v>7</v>
      </c>
      <c r="N401" s="140">
        <f t="shared" si="13"/>
        <v>5.5</v>
      </c>
      <c r="O401" s="140">
        <f t="shared" si="12"/>
        <v>383.875</v>
      </c>
      <c r="Q401" s="140">
        <v>324</v>
      </c>
    </row>
    <row r="402" spans="12:17" x14ac:dyDescent="0.35">
      <c r="L402" s="140">
        <v>400</v>
      </c>
      <c r="M402" s="140">
        <v>4</v>
      </c>
      <c r="N402" s="140">
        <f t="shared" si="13"/>
        <v>5.25</v>
      </c>
      <c r="O402" s="140">
        <f t="shared" si="12"/>
        <v>383.875</v>
      </c>
      <c r="Q402" s="140">
        <v>322</v>
      </c>
    </row>
    <row r="403" spans="12:17" x14ac:dyDescent="0.35">
      <c r="L403" s="140">
        <v>401</v>
      </c>
      <c r="M403" s="140">
        <v>6</v>
      </c>
      <c r="N403" s="140">
        <f t="shared" si="13"/>
        <v>4.75</v>
      </c>
      <c r="O403" s="140">
        <f t="shared" si="12"/>
        <v>383.875</v>
      </c>
      <c r="Q403" s="140">
        <v>323</v>
      </c>
    </row>
    <row r="404" spans="12:17" x14ac:dyDescent="0.35">
      <c r="L404" s="140">
        <v>402</v>
      </c>
      <c r="M404" s="140">
        <v>1</v>
      </c>
      <c r="N404" s="140">
        <f t="shared" si="13"/>
        <v>4.5</v>
      </c>
      <c r="O404" s="140">
        <f t="shared" si="12"/>
        <v>383.875</v>
      </c>
      <c r="Q404" s="140">
        <v>373</v>
      </c>
    </row>
    <row r="405" spans="12:17" x14ac:dyDescent="0.35">
      <c r="L405" s="140">
        <v>403</v>
      </c>
      <c r="M405" s="140">
        <v>5</v>
      </c>
      <c r="N405" s="140">
        <f t="shared" si="13"/>
        <v>4.875</v>
      </c>
      <c r="O405" s="140">
        <f t="shared" si="12"/>
        <v>383.875</v>
      </c>
      <c r="Q405" s="140">
        <v>356</v>
      </c>
    </row>
    <row r="406" spans="12:17" x14ac:dyDescent="0.35">
      <c r="L406" s="140">
        <v>404</v>
      </c>
      <c r="M406" s="140">
        <v>6</v>
      </c>
      <c r="N406" s="140">
        <f t="shared" si="13"/>
        <v>4.875</v>
      </c>
      <c r="O406" s="140">
        <f t="shared" si="12"/>
        <v>383.875</v>
      </c>
      <c r="Q406" s="140">
        <v>388</v>
      </c>
    </row>
    <row r="407" spans="12:17" x14ac:dyDescent="0.35">
      <c r="L407" s="140">
        <v>405</v>
      </c>
      <c r="M407" s="140">
        <v>5</v>
      </c>
      <c r="N407" s="140">
        <f t="shared" si="13"/>
        <v>4.375</v>
      </c>
      <c r="O407" s="140">
        <f t="shared" si="12"/>
        <v>383.875</v>
      </c>
      <c r="Q407" s="140">
        <v>399</v>
      </c>
    </row>
    <row r="408" spans="12:17" x14ac:dyDescent="0.35">
      <c r="L408" s="140">
        <v>406</v>
      </c>
      <c r="M408" s="140">
        <v>2</v>
      </c>
      <c r="N408" s="140">
        <f t="shared" si="13"/>
        <v>5</v>
      </c>
      <c r="O408" s="140">
        <f t="shared" si="12"/>
        <v>383.875</v>
      </c>
      <c r="Q408" s="140">
        <v>404</v>
      </c>
    </row>
    <row r="409" spans="12:17" x14ac:dyDescent="0.35">
      <c r="L409" s="140">
        <v>407</v>
      </c>
      <c r="M409" s="140">
        <v>10</v>
      </c>
      <c r="N409" s="140">
        <f t="shared" si="13"/>
        <v>4.5</v>
      </c>
      <c r="O409" s="140">
        <f t="shared" si="12"/>
        <v>383.875</v>
      </c>
      <c r="Q409" s="140">
        <v>408</v>
      </c>
    </row>
    <row r="410" spans="12:17" x14ac:dyDescent="0.35">
      <c r="L410" s="140">
        <v>408</v>
      </c>
      <c r="M410" s="140">
        <v>4</v>
      </c>
      <c r="N410" s="140">
        <f t="shared" si="13"/>
        <v>4.5</v>
      </c>
      <c r="O410" s="140">
        <f t="shared" si="12"/>
        <v>383.875</v>
      </c>
      <c r="Q410" s="140">
        <v>403</v>
      </c>
    </row>
    <row r="411" spans="12:17" x14ac:dyDescent="0.35">
      <c r="L411" s="140">
        <v>409</v>
      </c>
      <c r="M411" s="140">
        <v>2</v>
      </c>
      <c r="N411" s="140">
        <f t="shared" si="13"/>
        <v>4.625</v>
      </c>
      <c r="O411" s="140">
        <f t="shared" si="12"/>
        <v>383.875</v>
      </c>
      <c r="Q411" s="140">
        <v>406</v>
      </c>
    </row>
    <row r="412" spans="12:17" x14ac:dyDescent="0.35">
      <c r="L412" s="140">
        <v>410</v>
      </c>
      <c r="M412" s="140">
        <v>6</v>
      </c>
      <c r="N412" s="140">
        <f t="shared" si="13"/>
        <v>4.875</v>
      </c>
      <c r="O412" s="140">
        <f t="shared" si="12"/>
        <v>383.875</v>
      </c>
      <c r="Q412" s="140">
        <v>390</v>
      </c>
    </row>
    <row r="413" spans="12:17" x14ac:dyDescent="0.35">
      <c r="L413" s="140">
        <v>411</v>
      </c>
      <c r="M413" s="140">
        <v>1</v>
      </c>
      <c r="N413" s="140">
        <f t="shared" si="13"/>
        <v>4.125</v>
      </c>
      <c r="O413" s="140">
        <f t="shared" si="12"/>
        <v>383.875</v>
      </c>
      <c r="Q413" s="140">
        <v>452</v>
      </c>
    </row>
    <row r="414" spans="12:17" x14ac:dyDescent="0.35">
      <c r="L414" s="140">
        <v>412</v>
      </c>
      <c r="M414" s="140">
        <v>6</v>
      </c>
      <c r="N414" s="140">
        <f t="shared" si="13"/>
        <v>4</v>
      </c>
      <c r="O414" s="140">
        <f t="shared" si="12"/>
        <v>383.875</v>
      </c>
      <c r="Q414" s="140">
        <v>440</v>
      </c>
    </row>
    <row r="415" spans="12:17" x14ac:dyDescent="0.35">
      <c r="L415" s="140">
        <v>413</v>
      </c>
      <c r="M415" s="140">
        <v>6</v>
      </c>
      <c r="N415" s="140">
        <f t="shared" si="13"/>
        <v>4.125</v>
      </c>
      <c r="O415" s="140">
        <f t="shared" si="12"/>
        <v>383.875</v>
      </c>
      <c r="Q415" s="140">
        <v>496</v>
      </c>
    </row>
    <row r="416" spans="12:17" x14ac:dyDescent="0.35">
      <c r="L416" s="140">
        <v>414</v>
      </c>
      <c r="M416" s="140">
        <v>4</v>
      </c>
      <c r="N416" s="140">
        <f t="shared" si="13"/>
        <v>4.125</v>
      </c>
      <c r="O416" s="140">
        <f t="shared" si="12"/>
        <v>383.875</v>
      </c>
      <c r="Q416" s="140">
        <v>476</v>
      </c>
    </row>
    <row r="417" spans="12:17" x14ac:dyDescent="0.35">
      <c r="L417" s="140">
        <v>415</v>
      </c>
      <c r="M417" s="140">
        <v>4</v>
      </c>
      <c r="N417" s="140">
        <f t="shared" si="13"/>
        <v>4.75</v>
      </c>
      <c r="O417" s="140">
        <f t="shared" si="12"/>
        <v>383.875</v>
      </c>
      <c r="Q417" s="140">
        <v>503</v>
      </c>
    </row>
    <row r="418" spans="12:17" x14ac:dyDescent="0.35">
      <c r="L418" s="140">
        <v>416</v>
      </c>
      <c r="M418" s="140">
        <v>3</v>
      </c>
      <c r="N418" s="140">
        <f t="shared" si="13"/>
        <v>4.5</v>
      </c>
      <c r="O418" s="140">
        <f t="shared" si="12"/>
        <v>383.875</v>
      </c>
      <c r="Q418" s="140">
        <v>499</v>
      </c>
    </row>
    <row r="419" spans="12:17" x14ac:dyDescent="0.35">
      <c r="L419" s="140">
        <v>417</v>
      </c>
      <c r="M419" s="140">
        <v>3</v>
      </c>
      <c r="N419" s="140">
        <f t="shared" si="13"/>
        <v>4.375</v>
      </c>
      <c r="O419" s="140">
        <f t="shared" si="12"/>
        <v>383.875</v>
      </c>
      <c r="Q419" s="140">
        <v>532</v>
      </c>
    </row>
    <row r="420" spans="12:17" x14ac:dyDescent="0.35">
      <c r="L420" s="140">
        <v>418</v>
      </c>
      <c r="M420" s="140">
        <v>6</v>
      </c>
      <c r="N420" s="140">
        <f t="shared" si="13"/>
        <v>4.75</v>
      </c>
      <c r="O420" s="140">
        <f t="shared" si="12"/>
        <v>383.875</v>
      </c>
      <c r="Q420" s="140">
        <v>495</v>
      </c>
    </row>
    <row r="421" spans="12:17" x14ac:dyDescent="0.35">
      <c r="L421" s="140">
        <v>419</v>
      </c>
      <c r="M421" s="140">
        <v>6</v>
      </c>
      <c r="N421" s="140">
        <f t="shared" si="13"/>
        <v>4.875</v>
      </c>
      <c r="O421" s="140">
        <f t="shared" si="12"/>
        <v>383.875</v>
      </c>
      <c r="Q421" s="140">
        <v>521</v>
      </c>
    </row>
    <row r="422" spans="12:17" x14ac:dyDescent="0.35">
      <c r="L422" s="140">
        <v>420</v>
      </c>
      <c r="M422" s="140">
        <v>4</v>
      </c>
      <c r="N422" s="140">
        <f t="shared" si="13"/>
        <v>5.25</v>
      </c>
      <c r="O422" s="140">
        <f t="shared" si="12"/>
        <v>383.875</v>
      </c>
      <c r="Q422" s="140">
        <v>548</v>
      </c>
    </row>
    <row r="423" spans="12:17" x14ac:dyDescent="0.35">
      <c r="L423" s="140">
        <v>421</v>
      </c>
      <c r="M423" s="140">
        <v>5</v>
      </c>
      <c r="N423" s="140">
        <f t="shared" si="13"/>
        <v>5.75</v>
      </c>
      <c r="O423" s="140">
        <f t="shared" si="12"/>
        <v>383.875</v>
      </c>
      <c r="Q423" s="140">
        <v>568</v>
      </c>
    </row>
    <row r="424" spans="12:17" x14ac:dyDescent="0.35">
      <c r="L424" s="140">
        <v>422</v>
      </c>
      <c r="M424" s="140">
        <v>7</v>
      </c>
      <c r="N424" s="140">
        <f t="shared" si="13"/>
        <v>5.625</v>
      </c>
      <c r="O424" s="140">
        <f t="shared" si="12"/>
        <v>383.875</v>
      </c>
      <c r="Q424" s="140">
        <v>568</v>
      </c>
    </row>
    <row r="425" spans="12:17" x14ac:dyDescent="0.35">
      <c r="L425" s="140">
        <v>423</v>
      </c>
      <c r="M425" s="140">
        <v>5</v>
      </c>
      <c r="N425" s="140">
        <f t="shared" si="13"/>
        <v>5.375</v>
      </c>
      <c r="O425" s="140">
        <f t="shared" si="12"/>
        <v>383.875</v>
      </c>
      <c r="Q425" s="140">
        <v>563</v>
      </c>
    </row>
    <row r="426" spans="12:17" x14ac:dyDescent="0.35">
      <c r="L426" s="140">
        <v>424</v>
      </c>
      <c r="M426" s="140">
        <v>6</v>
      </c>
      <c r="N426" s="140">
        <f t="shared" si="13"/>
        <v>5.25</v>
      </c>
      <c r="O426" s="140">
        <f t="shared" si="12"/>
        <v>383.875</v>
      </c>
      <c r="Q426" s="140">
        <v>589</v>
      </c>
    </row>
    <row r="427" spans="12:17" x14ac:dyDescent="0.35">
      <c r="L427" s="140">
        <v>425</v>
      </c>
      <c r="M427" s="140">
        <v>7</v>
      </c>
      <c r="N427" s="140">
        <f t="shared" si="13"/>
        <v>5.25</v>
      </c>
      <c r="O427" s="140">
        <f t="shared" si="12"/>
        <v>383.875</v>
      </c>
      <c r="Q427" s="140">
        <v>567</v>
      </c>
    </row>
    <row r="428" spans="12:17" x14ac:dyDescent="0.35">
      <c r="L428" s="140">
        <v>426</v>
      </c>
      <c r="M428" s="140">
        <v>5</v>
      </c>
      <c r="N428" s="140">
        <f t="shared" si="13"/>
        <v>5</v>
      </c>
      <c r="O428" s="140">
        <f t="shared" si="12"/>
        <v>383.875</v>
      </c>
      <c r="Q428" s="140">
        <v>651</v>
      </c>
    </row>
    <row r="429" spans="12:17" x14ac:dyDescent="0.35">
      <c r="L429" s="140">
        <v>427</v>
      </c>
      <c r="M429" s="140">
        <v>4</v>
      </c>
      <c r="N429" s="140">
        <f t="shared" si="13"/>
        <v>5</v>
      </c>
      <c r="O429" s="140">
        <f t="shared" si="12"/>
        <v>383.875</v>
      </c>
      <c r="Q429" s="140">
        <v>603</v>
      </c>
    </row>
    <row r="430" spans="12:17" x14ac:dyDescent="0.35">
      <c r="L430" s="140">
        <v>428</v>
      </c>
      <c r="M430" s="140">
        <v>3</v>
      </c>
      <c r="N430" s="140">
        <f t="shared" si="13"/>
        <v>4.5</v>
      </c>
      <c r="O430" s="140">
        <f t="shared" si="12"/>
        <v>383.875</v>
      </c>
      <c r="Q430" s="140">
        <v>604</v>
      </c>
    </row>
    <row r="431" spans="12:17" x14ac:dyDescent="0.35">
      <c r="L431" s="140">
        <v>429</v>
      </c>
      <c r="M431" s="140">
        <v>5</v>
      </c>
      <c r="N431" s="140">
        <f t="shared" si="13"/>
        <v>4.5</v>
      </c>
      <c r="O431" s="140">
        <f t="shared" si="12"/>
        <v>383.875</v>
      </c>
      <c r="Q431" s="140">
        <v>652</v>
      </c>
    </row>
    <row r="432" spans="12:17" x14ac:dyDescent="0.35">
      <c r="L432" s="140">
        <v>430</v>
      </c>
      <c r="M432" s="140">
        <v>5</v>
      </c>
      <c r="N432" s="140">
        <f t="shared" si="13"/>
        <v>4.75</v>
      </c>
      <c r="O432" s="140">
        <f t="shared" si="12"/>
        <v>383.875</v>
      </c>
      <c r="Q432" s="140">
        <v>662</v>
      </c>
    </row>
    <row r="433" spans="12:17" x14ac:dyDescent="0.35">
      <c r="L433" s="140">
        <v>431</v>
      </c>
      <c r="M433" s="140">
        <v>5</v>
      </c>
      <c r="N433" s="140">
        <f t="shared" si="13"/>
        <v>5.25</v>
      </c>
      <c r="O433" s="140">
        <f t="shared" si="12"/>
        <v>383.875</v>
      </c>
      <c r="Q433" s="140">
        <v>653</v>
      </c>
    </row>
    <row r="434" spans="12:17" x14ac:dyDescent="0.35">
      <c r="L434" s="140">
        <v>432</v>
      </c>
      <c r="M434" s="140">
        <v>2</v>
      </c>
      <c r="N434" s="140">
        <f t="shared" si="13"/>
        <v>5.5</v>
      </c>
      <c r="O434" s="140">
        <f t="shared" si="12"/>
        <v>383.875</v>
      </c>
      <c r="Q434" s="140">
        <v>667</v>
      </c>
    </row>
    <row r="435" spans="12:17" x14ac:dyDescent="0.35">
      <c r="L435" s="140">
        <v>433</v>
      </c>
      <c r="M435" s="140">
        <v>7</v>
      </c>
      <c r="N435" s="140">
        <f t="shared" si="13"/>
        <v>5.75</v>
      </c>
      <c r="O435" s="140">
        <f t="shared" si="12"/>
        <v>383.875</v>
      </c>
      <c r="Q435" s="140">
        <v>676</v>
      </c>
    </row>
    <row r="436" spans="12:17" x14ac:dyDescent="0.35">
      <c r="L436" s="140">
        <v>434</v>
      </c>
      <c r="M436" s="140">
        <v>7</v>
      </c>
      <c r="N436" s="140">
        <f t="shared" si="13"/>
        <v>5.75</v>
      </c>
      <c r="O436" s="140">
        <f t="shared" si="12"/>
        <v>383.875</v>
      </c>
      <c r="Q436" s="140">
        <v>704</v>
      </c>
    </row>
    <row r="437" spans="12:17" x14ac:dyDescent="0.35">
      <c r="L437" s="140">
        <v>435</v>
      </c>
      <c r="M437" s="140">
        <v>8</v>
      </c>
      <c r="N437" s="140">
        <f t="shared" si="13"/>
        <v>5.625</v>
      </c>
      <c r="O437" s="140">
        <f t="shared" si="12"/>
        <v>383.875</v>
      </c>
      <c r="Q437" s="140">
        <v>760</v>
      </c>
    </row>
    <row r="438" spans="12:17" x14ac:dyDescent="0.35">
      <c r="L438" s="140">
        <v>436</v>
      </c>
      <c r="M438" s="140">
        <v>5</v>
      </c>
      <c r="N438" s="140">
        <f t="shared" si="13"/>
        <v>5.75</v>
      </c>
      <c r="O438" s="140">
        <f t="shared" si="12"/>
        <v>383.875</v>
      </c>
      <c r="Q438" s="140">
        <v>713</v>
      </c>
    </row>
    <row r="439" spans="12:17" x14ac:dyDescent="0.35">
      <c r="L439" s="140">
        <v>437</v>
      </c>
      <c r="M439" s="140">
        <v>7</v>
      </c>
      <c r="N439" s="140">
        <f t="shared" si="13"/>
        <v>5.625</v>
      </c>
      <c r="O439" s="140">
        <f t="shared" si="12"/>
        <v>383.875</v>
      </c>
      <c r="Q439" s="140">
        <v>672</v>
      </c>
    </row>
    <row r="440" spans="12:17" x14ac:dyDescent="0.35">
      <c r="L440" s="140">
        <v>438</v>
      </c>
      <c r="M440" s="140">
        <v>5</v>
      </c>
      <c r="N440" s="140">
        <f t="shared" si="13"/>
        <v>5.25</v>
      </c>
      <c r="O440" s="140">
        <f t="shared" si="12"/>
        <v>383.875</v>
      </c>
      <c r="Q440" s="140">
        <v>739</v>
      </c>
    </row>
    <row r="441" spans="12:17" x14ac:dyDescent="0.35">
      <c r="L441" s="140">
        <v>439</v>
      </c>
      <c r="M441" s="140">
        <v>4</v>
      </c>
      <c r="N441" s="140">
        <f t="shared" si="13"/>
        <v>4.75</v>
      </c>
      <c r="O441" s="140">
        <f t="shared" si="12"/>
        <v>383.875</v>
      </c>
      <c r="Q441" s="140">
        <v>805</v>
      </c>
    </row>
    <row r="442" spans="12:17" x14ac:dyDescent="0.35">
      <c r="L442" s="140">
        <v>440</v>
      </c>
      <c r="M442" s="140">
        <v>3</v>
      </c>
      <c r="N442" s="140">
        <f t="shared" si="13"/>
        <v>4.5</v>
      </c>
      <c r="O442" s="140">
        <f t="shared" si="12"/>
        <v>383.875</v>
      </c>
      <c r="Q442" s="140">
        <v>798</v>
      </c>
    </row>
    <row r="443" spans="12:17" x14ac:dyDescent="0.35">
      <c r="L443" s="140">
        <v>441</v>
      </c>
      <c r="M443" s="140">
        <v>6</v>
      </c>
      <c r="N443" s="140">
        <f t="shared" si="13"/>
        <v>4.5</v>
      </c>
      <c r="O443" s="140">
        <f t="shared" si="12"/>
        <v>383.875</v>
      </c>
      <c r="Q443" s="140">
        <v>792</v>
      </c>
    </row>
    <row r="444" spans="12:17" x14ac:dyDescent="0.35">
      <c r="L444" s="140">
        <v>442</v>
      </c>
      <c r="M444" s="140">
        <v>4</v>
      </c>
      <c r="N444" s="140">
        <f t="shared" si="13"/>
        <v>4.75</v>
      </c>
      <c r="O444" s="140">
        <f t="shared" si="12"/>
        <v>383.875</v>
      </c>
      <c r="Q444" s="140">
        <v>736</v>
      </c>
    </row>
    <row r="445" spans="12:17" x14ac:dyDescent="0.35">
      <c r="L445" s="140">
        <v>443</v>
      </c>
      <c r="M445" s="140">
        <v>4</v>
      </c>
      <c r="N445" s="140">
        <f t="shared" si="13"/>
        <v>4.375</v>
      </c>
      <c r="O445" s="140">
        <f t="shared" si="12"/>
        <v>383.875</v>
      </c>
      <c r="Q445" s="140">
        <v>792</v>
      </c>
    </row>
    <row r="446" spans="12:17" x14ac:dyDescent="0.35">
      <c r="L446" s="140">
        <v>444</v>
      </c>
      <c r="M446" s="140">
        <v>3</v>
      </c>
      <c r="N446" s="140">
        <f t="shared" si="13"/>
        <v>4.625</v>
      </c>
      <c r="O446" s="140">
        <f t="shared" si="12"/>
        <v>383.875</v>
      </c>
      <c r="Q446" s="140">
        <v>803</v>
      </c>
    </row>
    <row r="447" spans="12:17" x14ac:dyDescent="0.35">
      <c r="L447" s="140">
        <v>445</v>
      </c>
      <c r="M447" s="140">
        <v>7</v>
      </c>
      <c r="N447" s="140">
        <f t="shared" si="13"/>
        <v>4.25</v>
      </c>
      <c r="O447" s="140">
        <f t="shared" si="12"/>
        <v>383.875</v>
      </c>
      <c r="Q447" s="140">
        <v>822</v>
      </c>
    </row>
    <row r="448" spans="12:17" x14ac:dyDescent="0.35">
      <c r="L448" s="140">
        <v>446</v>
      </c>
      <c r="M448" s="140">
        <v>7</v>
      </c>
      <c r="N448" s="140">
        <f t="shared" si="13"/>
        <v>4.875</v>
      </c>
      <c r="O448" s="140">
        <f t="shared" si="12"/>
        <v>383.875</v>
      </c>
      <c r="Q448" s="140">
        <v>861</v>
      </c>
    </row>
    <row r="449" spans="12:17" x14ac:dyDescent="0.35">
      <c r="L449" s="140">
        <v>447</v>
      </c>
      <c r="M449" s="140">
        <v>1</v>
      </c>
      <c r="N449" s="140">
        <f t="shared" si="13"/>
        <v>5.125</v>
      </c>
      <c r="O449" s="140">
        <f t="shared" si="12"/>
        <v>383.875</v>
      </c>
      <c r="Q449" s="140">
        <v>851</v>
      </c>
    </row>
    <row r="450" spans="12:17" x14ac:dyDescent="0.35">
      <c r="L450" s="140">
        <v>448</v>
      </c>
      <c r="M450" s="140">
        <v>5</v>
      </c>
      <c r="N450" s="140">
        <f t="shared" si="13"/>
        <v>5.375</v>
      </c>
      <c r="O450" s="140">
        <f t="shared" ref="O450:O513" si="14">MAX($A$35)/2</f>
        <v>383.875</v>
      </c>
      <c r="Q450" s="140">
        <v>849</v>
      </c>
    </row>
    <row r="451" spans="12:17" x14ac:dyDescent="0.35">
      <c r="L451" s="140">
        <v>449</v>
      </c>
      <c r="M451" s="140">
        <v>3</v>
      </c>
      <c r="N451" s="140">
        <f t="shared" si="13"/>
        <v>5</v>
      </c>
      <c r="O451" s="140">
        <f t="shared" si="14"/>
        <v>383.875</v>
      </c>
      <c r="Q451" s="140">
        <v>821</v>
      </c>
    </row>
    <row r="452" spans="12:17" x14ac:dyDescent="0.35">
      <c r="L452" s="140">
        <v>450</v>
      </c>
      <c r="M452" s="140">
        <v>9</v>
      </c>
      <c r="N452" s="140">
        <f t="shared" si="13"/>
        <v>4.375</v>
      </c>
      <c r="O452" s="140">
        <f t="shared" si="14"/>
        <v>383.875</v>
      </c>
      <c r="Q452" s="140">
        <v>837</v>
      </c>
    </row>
    <row r="453" spans="12:17" x14ac:dyDescent="0.35">
      <c r="L453" s="140">
        <v>451</v>
      </c>
      <c r="M453" s="140">
        <v>6</v>
      </c>
      <c r="N453" s="140">
        <f t="shared" ref="N453:N516" si="15">AVERAGE(M450:M457)</f>
        <v>4.75</v>
      </c>
      <c r="O453" s="140">
        <f t="shared" si="14"/>
        <v>383.875</v>
      </c>
      <c r="Q453" s="140">
        <v>888</v>
      </c>
    </row>
    <row r="454" spans="12:17" x14ac:dyDescent="0.35">
      <c r="L454" s="140">
        <v>452</v>
      </c>
      <c r="M454" s="140">
        <v>5</v>
      </c>
      <c r="N454" s="140">
        <f t="shared" si="15"/>
        <v>4.125</v>
      </c>
      <c r="O454" s="140">
        <f t="shared" si="14"/>
        <v>383.875</v>
      </c>
      <c r="Q454" s="140">
        <v>886</v>
      </c>
    </row>
    <row r="455" spans="12:17" x14ac:dyDescent="0.35">
      <c r="L455" s="140">
        <v>453</v>
      </c>
      <c r="M455" s="140">
        <v>4</v>
      </c>
      <c r="N455" s="140">
        <f t="shared" si="15"/>
        <v>4.125</v>
      </c>
      <c r="O455" s="140">
        <f t="shared" si="14"/>
        <v>383.875</v>
      </c>
      <c r="Q455" s="140">
        <v>890</v>
      </c>
    </row>
    <row r="456" spans="12:17" x14ac:dyDescent="0.35">
      <c r="L456" s="140">
        <v>454</v>
      </c>
      <c r="M456" s="140">
        <v>2</v>
      </c>
      <c r="N456" s="140">
        <f t="shared" si="15"/>
        <v>3.5</v>
      </c>
      <c r="O456" s="140">
        <f t="shared" si="14"/>
        <v>383.875</v>
      </c>
      <c r="Q456" s="140">
        <v>856</v>
      </c>
    </row>
    <row r="457" spans="12:17" x14ac:dyDescent="0.35">
      <c r="L457" s="140">
        <v>455</v>
      </c>
      <c r="M457" s="140">
        <v>4</v>
      </c>
      <c r="N457" s="140">
        <f t="shared" si="15"/>
        <v>3.25</v>
      </c>
      <c r="O457" s="140">
        <f t="shared" si="14"/>
        <v>383.875</v>
      </c>
      <c r="Q457" s="140">
        <v>896</v>
      </c>
    </row>
    <row r="458" spans="12:17" x14ac:dyDescent="0.35">
      <c r="L458" s="140">
        <v>456</v>
      </c>
      <c r="M458" s="140">
        <v>0</v>
      </c>
      <c r="N458" s="140">
        <f t="shared" si="15"/>
        <v>3</v>
      </c>
      <c r="O458" s="140">
        <f t="shared" si="14"/>
        <v>383.875</v>
      </c>
      <c r="Q458" s="140">
        <v>884</v>
      </c>
    </row>
    <row r="459" spans="12:17" x14ac:dyDescent="0.35">
      <c r="L459" s="140">
        <v>457</v>
      </c>
      <c r="M459" s="140">
        <v>3</v>
      </c>
      <c r="N459" s="140">
        <f t="shared" si="15"/>
        <v>2.625</v>
      </c>
      <c r="O459" s="140">
        <f t="shared" si="14"/>
        <v>383.875</v>
      </c>
      <c r="Q459" s="140">
        <v>882</v>
      </c>
    </row>
    <row r="460" spans="12:17" x14ac:dyDescent="0.35">
      <c r="L460" s="140">
        <v>458</v>
      </c>
      <c r="M460" s="140">
        <v>4</v>
      </c>
      <c r="N460" s="140">
        <f t="shared" si="15"/>
        <v>2.625</v>
      </c>
      <c r="O460" s="140">
        <f t="shared" si="14"/>
        <v>383.875</v>
      </c>
      <c r="Q460" s="140">
        <v>891</v>
      </c>
    </row>
    <row r="461" spans="12:17" x14ac:dyDescent="0.35">
      <c r="L461" s="140">
        <v>459</v>
      </c>
      <c r="M461" s="140">
        <v>4</v>
      </c>
      <c r="N461" s="140">
        <f t="shared" si="15"/>
        <v>2.5</v>
      </c>
      <c r="O461" s="140">
        <f t="shared" si="14"/>
        <v>383.875</v>
      </c>
      <c r="Q461" s="140">
        <v>951</v>
      </c>
    </row>
    <row r="462" spans="12:17" x14ac:dyDescent="0.35">
      <c r="L462" s="140">
        <v>460</v>
      </c>
      <c r="M462" s="140">
        <v>3</v>
      </c>
      <c r="N462" s="140">
        <f t="shared" si="15"/>
        <v>2.875</v>
      </c>
      <c r="O462" s="140">
        <f t="shared" si="14"/>
        <v>383.875</v>
      </c>
      <c r="Q462" s="140">
        <v>890</v>
      </c>
    </row>
    <row r="463" spans="12:17" x14ac:dyDescent="0.35">
      <c r="L463" s="140">
        <v>461</v>
      </c>
      <c r="M463" s="140">
        <v>1</v>
      </c>
      <c r="N463" s="140">
        <f t="shared" si="15"/>
        <v>2.875</v>
      </c>
      <c r="O463" s="140">
        <f t="shared" si="14"/>
        <v>383.875</v>
      </c>
      <c r="Q463" s="140">
        <v>889</v>
      </c>
    </row>
    <row r="464" spans="12:17" x14ac:dyDescent="0.35">
      <c r="L464" s="140">
        <v>462</v>
      </c>
      <c r="M464" s="140">
        <v>2</v>
      </c>
      <c r="N464" s="140">
        <f t="shared" si="15"/>
        <v>2.625</v>
      </c>
      <c r="O464" s="140">
        <f t="shared" si="14"/>
        <v>383.875</v>
      </c>
      <c r="Q464" s="140">
        <v>911</v>
      </c>
    </row>
    <row r="465" spans="12:17" x14ac:dyDescent="0.35">
      <c r="L465" s="140">
        <v>463</v>
      </c>
      <c r="M465" s="140">
        <v>3</v>
      </c>
      <c r="N465" s="140">
        <f t="shared" si="15"/>
        <v>2.375</v>
      </c>
      <c r="O465" s="140">
        <f t="shared" si="14"/>
        <v>383.875</v>
      </c>
      <c r="Q465" s="140">
        <v>974</v>
      </c>
    </row>
    <row r="466" spans="12:17" x14ac:dyDescent="0.35">
      <c r="L466" s="140">
        <v>464</v>
      </c>
      <c r="M466" s="140">
        <v>3</v>
      </c>
      <c r="N466" s="140">
        <f t="shared" si="15"/>
        <v>2.125</v>
      </c>
      <c r="O466" s="140">
        <f t="shared" si="14"/>
        <v>383.875</v>
      </c>
      <c r="Q466" s="140">
        <v>856</v>
      </c>
    </row>
    <row r="467" spans="12:17" x14ac:dyDescent="0.35">
      <c r="L467" s="140">
        <v>465</v>
      </c>
      <c r="M467" s="140">
        <v>3</v>
      </c>
      <c r="N467" s="140">
        <f t="shared" si="15"/>
        <v>2.5</v>
      </c>
      <c r="O467" s="140">
        <f t="shared" si="14"/>
        <v>383.875</v>
      </c>
      <c r="Q467" s="140">
        <v>932</v>
      </c>
    </row>
    <row r="468" spans="12:17" x14ac:dyDescent="0.35">
      <c r="L468" s="140">
        <v>466</v>
      </c>
      <c r="M468" s="140">
        <v>2</v>
      </c>
      <c r="N468" s="140">
        <f t="shared" si="15"/>
        <v>2.5</v>
      </c>
      <c r="O468" s="140">
        <f t="shared" si="14"/>
        <v>383.875</v>
      </c>
      <c r="Q468" s="140">
        <v>924</v>
      </c>
    </row>
    <row r="469" spans="12:17" x14ac:dyDescent="0.35">
      <c r="L469" s="140">
        <v>467</v>
      </c>
      <c r="M469" s="140">
        <v>2</v>
      </c>
      <c r="N469" s="140">
        <f t="shared" si="15"/>
        <v>2.375</v>
      </c>
      <c r="O469" s="140">
        <f t="shared" si="14"/>
        <v>383.875</v>
      </c>
      <c r="Q469" s="140">
        <v>910</v>
      </c>
    </row>
    <row r="470" spans="12:17" x14ac:dyDescent="0.35">
      <c r="L470" s="140">
        <v>468</v>
      </c>
      <c r="M470" s="140">
        <v>1</v>
      </c>
      <c r="N470" s="140">
        <f t="shared" si="15"/>
        <v>2.125</v>
      </c>
      <c r="O470" s="140">
        <f t="shared" si="14"/>
        <v>383.875</v>
      </c>
      <c r="Q470" s="140">
        <v>927</v>
      </c>
    </row>
    <row r="471" spans="12:17" x14ac:dyDescent="0.35">
      <c r="L471" s="140">
        <v>469</v>
      </c>
      <c r="M471" s="140">
        <v>4</v>
      </c>
      <c r="N471" s="140">
        <f t="shared" si="15"/>
        <v>2.25</v>
      </c>
      <c r="O471" s="140">
        <f t="shared" si="14"/>
        <v>383.875</v>
      </c>
      <c r="Q471" s="140">
        <v>997</v>
      </c>
    </row>
    <row r="472" spans="12:17" x14ac:dyDescent="0.35">
      <c r="L472" s="140">
        <v>470</v>
      </c>
      <c r="M472" s="140">
        <v>2</v>
      </c>
      <c r="N472" s="140">
        <f t="shared" si="15"/>
        <v>2.5</v>
      </c>
      <c r="O472" s="140">
        <f t="shared" si="14"/>
        <v>383.875</v>
      </c>
      <c r="Q472" s="140">
        <v>987</v>
      </c>
    </row>
    <row r="473" spans="12:17" x14ac:dyDescent="0.35">
      <c r="L473" s="140">
        <v>471</v>
      </c>
      <c r="M473" s="140">
        <v>2</v>
      </c>
      <c r="N473" s="140">
        <f t="shared" si="15"/>
        <v>2.375</v>
      </c>
      <c r="O473" s="140">
        <f t="shared" si="14"/>
        <v>383.875</v>
      </c>
      <c r="Q473" s="140">
        <v>946</v>
      </c>
    </row>
    <row r="474" spans="12:17" x14ac:dyDescent="0.35">
      <c r="L474" s="140">
        <v>472</v>
      </c>
      <c r="M474" s="140">
        <v>1</v>
      </c>
      <c r="N474" s="140">
        <f t="shared" si="15"/>
        <v>2.625</v>
      </c>
      <c r="O474" s="140">
        <f t="shared" si="14"/>
        <v>383.875</v>
      </c>
      <c r="Q474" s="140">
        <v>976</v>
      </c>
    </row>
    <row r="475" spans="12:17" x14ac:dyDescent="0.35">
      <c r="L475" s="140">
        <v>473</v>
      </c>
      <c r="M475" s="140">
        <v>4</v>
      </c>
      <c r="N475" s="140">
        <f t="shared" si="15"/>
        <v>2.25</v>
      </c>
      <c r="O475" s="140">
        <f t="shared" si="14"/>
        <v>383.875</v>
      </c>
      <c r="Q475" s="140">
        <v>891</v>
      </c>
    </row>
    <row r="476" spans="12:17" x14ac:dyDescent="0.35">
      <c r="L476" s="140">
        <v>474</v>
      </c>
      <c r="M476" s="140">
        <v>4</v>
      </c>
      <c r="N476" s="140">
        <f t="shared" si="15"/>
        <v>2.375</v>
      </c>
      <c r="O476" s="140">
        <f t="shared" si="14"/>
        <v>383.875</v>
      </c>
      <c r="Q476" s="140">
        <v>984</v>
      </c>
    </row>
    <row r="477" spans="12:17" x14ac:dyDescent="0.35">
      <c r="L477" s="140">
        <v>475</v>
      </c>
      <c r="M477" s="140">
        <v>1</v>
      </c>
      <c r="N477" s="140">
        <f t="shared" si="15"/>
        <v>2.5</v>
      </c>
      <c r="O477" s="140">
        <f t="shared" si="14"/>
        <v>383.875</v>
      </c>
      <c r="Q477" s="140">
        <v>951</v>
      </c>
    </row>
    <row r="478" spans="12:17" x14ac:dyDescent="0.35">
      <c r="L478" s="140">
        <v>476</v>
      </c>
      <c r="M478" s="140">
        <v>3</v>
      </c>
      <c r="N478" s="140">
        <f t="shared" si="15"/>
        <v>2.75</v>
      </c>
      <c r="O478" s="140">
        <f t="shared" si="14"/>
        <v>383.875</v>
      </c>
      <c r="Q478" s="140">
        <v>984</v>
      </c>
    </row>
    <row r="479" spans="12:17" x14ac:dyDescent="0.35">
      <c r="L479" s="140">
        <v>477</v>
      </c>
      <c r="M479" s="140">
        <v>1</v>
      </c>
      <c r="N479" s="140">
        <f t="shared" si="15"/>
        <v>2.5</v>
      </c>
      <c r="O479" s="140">
        <f t="shared" si="14"/>
        <v>383.875</v>
      </c>
      <c r="Q479" s="140">
        <v>973</v>
      </c>
    </row>
    <row r="480" spans="12:17" x14ac:dyDescent="0.35">
      <c r="L480" s="140">
        <v>478</v>
      </c>
      <c r="M480" s="140">
        <v>3</v>
      </c>
      <c r="N480" s="140">
        <f t="shared" si="15"/>
        <v>2.125</v>
      </c>
      <c r="O480" s="140">
        <f t="shared" si="14"/>
        <v>383.875</v>
      </c>
      <c r="Q480" s="140">
        <v>940</v>
      </c>
    </row>
    <row r="481" spans="12:17" x14ac:dyDescent="0.35">
      <c r="L481" s="140">
        <v>479</v>
      </c>
      <c r="M481" s="140">
        <v>3</v>
      </c>
      <c r="N481" s="140">
        <f t="shared" si="15"/>
        <v>2.125</v>
      </c>
      <c r="O481" s="140">
        <f t="shared" si="14"/>
        <v>383.875</v>
      </c>
      <c r="Q481" s="140">
        <v>990</v>
      </c>
    </row>
    <row r="482" spans="12:17" x14ac:dyDescent="0.35">
      <c r="L482" s="140">
        <v>480</v>
      </c>
      <c r="M482" s="140">
        <v>3</v>
      </c>
      <c r="N482" s="140">
        <f t="shared" si="15"/>
        <v>2</v>
      </c>
      <c r="O482" s="140">
        <f t="shared" si="14"/>
        <v>383.875</v>
      </c>
      <c r="Q482" s="140">
        <v>994</v>
      </c>
    </row>
    <row r="483" spans="12:17" x14ac:dyDescent="0.35">
      <c r="L483" s="140">
        <v>481</v>
      </c>
      <c r="M483" s="140">
        <v>2</v>
      </c>
      <c r="N483" s="140">
        <f t="shared" si="15"/>
        <v>1.875</v>
      </c>
      <c r="O483" s="140">
        <f t="shared" si="14"/>
        <v>383.875</v>
      </c>
      <c r="Q483" s="140">
        <v>958</v>
      </c>
    </row>
    <row r="484" spans="12:17" x14ac:dyDescent="0.35">
      <c r="L484" s="140">
        <v>482</v>
      </c>
      <c r="M484" s="140">
        <v>1</v>
      </c>
      <c r="N484" s="140">
        <f t="shared" si="15"/>
        <v>1.875</v>
      </c>
      <c r="O484" s="140">
        <f t="shared" si="14"/>
        <v>383.875</v>
      </c>
      <c r="Q484" s="140">
        <v>981</v>
      </c>
    </row>
    <row r="485" spans="12:17" x14ac:dyDescent="0.35">
      <c r="L485" s="140">
        <v>483</v>
      </c>
      <c r="M485" s="140">
        <v>1</v>
      </c>
      <c r="N485" s="140">
        <f t="shared" si="15"/>
        <v>1.5</v>
      </c>
      <c r="O485" s="140">
        <f t="shared" si="14"/>
        <v>383.875</v>
      </c>
      <c r="Q485" s="140">
        <v>976</v>
      </c>
    </row>
    <row r="486" spans="12:17" x14ac:dyDescent="0.35">
      <c r="L486" s="140">
        <v>484</v>
      </c>
      <c r="M486" s="140">
        <v>2</v>
      </c>
      <c r="N486" s="140">
        <f t="shared" si="15"/>
        <v>1.625</v>
      </c>
      <c r="O486" s="140">
        <f t="shared" si="14"/>
        <v>383.875</v>
      </c>
      <c r="Q486" s="140">
        <v>955</v>
      </c>
    </row>
    <row r="487" spans="12:17" x14ac:dyDescent="0.35">
      <c r="L487" s="140">
        <v>485</v>
      </c>
      <c r="M487" s="140">
        <v>0</v>
      </c>
      <c r="N487" s="140">
        <f t="shared" si="15"/>
        <v>1.875</v>
      </c>
      <c r="O487" s="140">
        <f t="shared" si="14"/>
        <v>383.875</v>
      </c>
      <c r="Q487" s="140">
        <v>906</v>
      </c>
    </row>
    <row r="488" spans="12:17" x14ac:dyDescent="0.35">
      <c r="L488" s="140">
        <v>486</v>
      </c>
      <c r="M488" s="140">
        <v>3</v>
      </c>
      <c r="N488" s="140">
        <f t="shared" si="15"/>
        <v>2.125</v>
      </c>
      <c r="O488" s="140">
        <f t="shared" si="14"/>
        <v>383.875</v>
      </c>
      <c r="Q488" s="140">
        <v>976</v>
      </c>
    </row>
    <row r="489" spans="12:17" x14ac:dyDescent="0.35">
      <c r="L489" s="140">
        <v>487</v>
      </c>
      <c r="M489" s="140">
        <v>0</v>
      </c>
      <c r="N489" s="140">
        <f t="shared" si="15"/>
        <v>2.125</v>
      </c>
      <c r="O489" s="140">
        <f t="shared" si="14"/>
        <v>383.875</v>
      </c>
      <c r="Q489" s="140">
        <v>936</v>
      </c>
    </row>
    <row r="490" spans="12:17" x14ac:dyDescent="0.35">
      <c r="L490" s="140">
        <v>488</v>
      </c>
      <c r="M490" s="140">
        <v>4</v>
      </c>
      <c r="N490" s="140">
        <f t="shared" si="15"/>
        <v>2.125</v>
      </c>
      <c r="O490" s="140">
        <f t="shared" si="14"/>
        <v>383.875</v>
      </c>
      <c r="Q490" s="140">
        <v>963</v>
      </c>
    </row>
    <row r="491" spans="12:17" x14ac:dyDescent="0.35">
      <c r="L491" s="140">
        <v>489</v>
      </c>
      <c r="M491" s="140">
        <v>4</v>
      </c>
      <c r="N491" s="140">
        <f t="shared" si="15"/>
        <v>2.25</v>
      </c>
      <c r="O491" s="140">
        <f t="shared" si="14"/>
        <v>383.875</v>
      </c>
      <c r="Q491" s="140">
        <v>932</v>
      </c>
    </row>
    <row r="492" spans="12:17" x14ac:dyDescent="0.35">
      <c r="L492" s="140">
        <v>490</v>
      </c>
      <c r="M492" s="140">
        <v>3</v>
      </c>
      <c r="N492" s="140">
        <f t="shared" si="15"/>
        <v>1.875</v>
      </c>
      <c r="O492" s="140">
        <f t="shared" si="14"/>
        <v>383.875</v>
      </c>
      <c r="Q492" s="140">
        <v>918</v>
      </c>
    </row>
    <row r="493" spans="12:17" x14ac:dyDescent="0.35">
      <c r="L493" s="140">
        <v>491</v>
      </c>
      <c r="M493" s="140">
        <v>1</v>
      </c>
      <c r="N493" s="140">
        <f t="shared" si="15"/>
        <v>1.875</v>
      </c>
      <c r="O493" s="140">
        <f t="shared" si="14"/>
        <v>383.875</v>
      </c>
      <c r="Q493" s="140">
        <v>935</v>
      </c>
    </row>
    <row r="494" spans="12:17" x14ac:dyDescent="0.35">
      <c r="L494" s="140">
        <v>492</v>
      </c>
      <c r="M494" s="140">
        <v>2</v>
      </c>
      <c r="N494" s="140">
        <f t="shared" si="15"/>
        <v>1.75</v>
      </c>
      <c r="O494" s="140">
        <f t="shared" si="14"/>
        <v>383.875</v>
      </c>
      <c r="Q494" s="140">
        <v>901</v>
      </c>
    </row>
    <row r="495" spans="12:17" x14ac:dyDescent="0.35">
      <c r="L495" s="140">
        <v>493</v>
      </c>
      <c r="M495" s="140">
        <v>1</v>
      </c>
      <c r="N495" s="140">
        <f t="shared" si="15"/>
        <v>1.375</v>
      </c>
      <c r="O495" s="140">
        <f t="shared" si="14"/>
        <v>383.875</v>
      </c>
      <c r="Q495" s="140">
        <v>910</v>
      </c>
    </row>
    <row r="496" spans="12:17" x14ac:dyDescent="0.35">
      <c r="L496" s="140">
        <v>494</v>
      </c>
      <c r="M496" s="140">
        <v>0</v>
      </c>
      <c r="N496" s="140">
        <f t="shared" si="15"/>
        <v>1.125</v>
      </c>
      <c r="O496" s="140">
        <f t="shared" si="14"/>
        <v>383.875</v>
      </c>
      <c r="Q496" s="140">
        <v>953</v>
      </c>
    </row>
    <row r="497" spans="12:17" x14ac:dyDescent="0.35">
      <c r="L497" s="140">
        <v>495</v>
      </c>
      <c r="M497" s="140">
        <v>0</v>
      </c>
      <c r="N497" s="140">
        <f t="shared" si="15"/>
        <v>1.25</v>
      </c>
      <c r="O497" s="140">
        <f t="shared" si="14"/>
        <v>383.875</v>
      </c>
      <c r="Q497" s="140">
        <v>982</v>
      </c>
    </row>
    <row r="498" spans="12:17" x14ac:dyDescent="0.35">
      <c r="L498" s="140">
        <v>496</v>
      </c>
      <c r="M498" s="140">
        <v>3</v>
      </c>
      <c r="N498" s="140">
        <f t="shared" si="15"/>
        <v>1</v>
      </c>
      <c r="O498" s="140">
        <f t="shared" si="14"/>
        <v>383.875</v>
      </c>
      <c r="Q498" s="140">
        <v>932</v>
      </c>
    </row>
    <row r="499" spans="12:17" x14ac:dyDescent="0.35">
      <c r="L499" s="140">
        <v>497</v>
      </c>
      <c r="M499" s="140">
        <v>1</v>
      </c>
      <c r="N499" s="140">
        <f t="shared" si="15"/>
        <v>1.125</v>
      </c>
      <c r="O499" s="140">
        <f t="shared" si="14"/>
        <v>383.875</v>
      </c>
      <c r="Q499" s="140">
        <v>915</v>
      </c>
    </row>
    <row r="500" spans="12:17" x14ac:dyDescent="0.35">
      <c r="L500" s="140">
        <v>498</v>
      </c>
      <c r="M500" s="140">
        <v>1</v>
      </c>
      <c r="N500" s="140">
        <f t="shared" si="15"/>
        <v>1.25</v>
      </c>
      <c r="O500" s="140">
        <f t="shared" si="14"/>
        <v>383.875</v>
      </c>
      <c r="Q500" s="140">
        <v>954</v>
      </c>
    </row>
    <row r="501" spans="12:17" x14ac:dyDescent="0.35">
      <c r="L501" s="140">
        <v>499</v>
      </c>
      <c r="M501" s="140">
        <v>2</v>
      </c>
      <c r="N501" s="140">
        <f t="shared" si="15"/>
        <v>1.25</v>
      </c>
      <c r="O501" s="140">
        <f t="shared" si="14"/>
        <v>383.875</v>
      </c>
      <c r="Q501" s="140">
        <v>960</v>
      </c>
    </row>
    <row r="502" spans="12:17" x14ac:dyDescent="0.35">
      <c r="L502" s="140">
        <v>500</v>
      </c>
      <c r="M502" s="140">
        <v>0</v>
      </c>
      <c r="N502" s="140">
        <f t="shared" si="15"/>
        <v>0.875</v>
      </c>
      <c r="O502" s="140">
        <f t="shared" si="14"/>
        <v>383.875</v>
      </c>
      <c r="Q502" s="140">
        <v>948</v>
      </c>
    </row>
    <row r="503" spans="12:17" x14ac:dyDescent="0.35">
      <c r="L503" s="140">
        <v>501</v>
      </c>
      <c r="M503" s="140">
        <v>2</v>
      </c>
      <c r="N503" s="140">
        <f t="shared" si="15"/>
        <v>0.75</v>
      </c>
      <c r="O503" s="140">
        <f t="shared" si="14"/>
        <v>383.875</v>
      </c>
      <c r="Q503" s="140">
        <v>942</v>
      </c>
    </row>
    <row r="504" spans="12:17" x14ac:dyDescent="0.35">
      <c r="L504" s="140">
        <v>502</v>
      </c>
      <c r="M504" s="140">
        <v>1</v>
      </c>
      <c r="N504" s="140">
        <f t="shared" si="15"/>
        <v>0.875</v>
      </c>
      <c r="O504" s="140">
        <f t="shared" si="14"/>
        <v>383.875</v>
      </c>
      <c r="Q504" s="140">
        <v>909</v>
      </c>
    </row>
    <row r="505" spans="12:17" x14ac:dyDescent="0.35">
      <c r="L505" s="140">
        <v>503</v>
      </c>
      <c r="M505" s="140">
        <v>0</v>
      </c>
      <c r="N505" s="140">
        <f t="shared" si="15"/>
        <v>0.75</v>
      </c>
      <c r="O505" s="140">
        <f t="shared" si="14"/>
        <v>383.875</v>
      </c>
      <c r="Q505" s="140">
        <v>988</v>
      </c>
    </row>
    <row r="506" spans="12:17" x14ac:dyDescent="0.35">
      <c r="L506" s="140">
        <v>504</v>
      </c>
      <c r="M506" s="140">
        <v>0</v>
      </c>
      <c r="N506" s="140">
        <f t="shared" si="15"/>
        <v>0.75</v>
      </c>
      <c r="O506" s="140">
        <f t="shared" si="14"/>
        <v>383.875</v>
      </c>
      <c r="Q506" s="140">
        <v>908</v>
      </c>
    </row>
    <row r="507" spans="12:17" x14ac:dyDescent="0.35">
      <c r="L507" s="140">
        <v>505</v>
      </c>
      <c r="M507" s="140">
        <v>0</v>
      </c>
      <c r="N507" s="140">
        <f t="shared" si="15"/>
        <v>0.875</v>
      </c>
      <c r="O507" s="140">
        <f t="shared" si="14"/>
        <v>383.875</v>
      </c>
      <c r="Q507" s="140">
        <v>941</v>
      </c>
    </row>
    <row r="508" spans="12:17" x14ac:dyDescent="0.35">
      <c r="L508" s="140">
        <v>506</v>
      </c>
      <c r="M508" s="140">
        <v>2</v>
      </c>
      <c r="N508" s="140">
        <f t="shared" si="15"/>
        <v>0.75</v>
      </c>
      <c r="O508" s="140">
        <f t="shared" si="14"/>
        <v>383.875</v>
      </c>
      <c r="Q508" s="140">
        <v>924</v>
      </c>
    </row>
    <row r="509" spans="12:17" x14ac:dyDescent="0.35">
      <c r="L509" s="140">
        <v>507</v>
      </c>
      <c r="M509" s="140">
        <v>1</v>
      </c>
      <c r="N509" s="140">
        <f t="shared" si="15"/>
        <v>0.75</v>
      </c>
      <c r="O509" s="140">
        <f t="shared" si="14"/>
        <v>383.875</v>
      </c>
      <c r="Q509" s="140">
        <v>893</v>
      </c>
    </row>
    <row r="510" spans="12:17" x14ac:dyDescent="0.35">
      <c r="L510" s="140">
        <v>508</v>
      </c>
      <c r="M510" s="140">
        <v>0</v>
      </c>
      <c r="N510" s="140">
        <f t="shared" si="15"/>
        <v>0.875</v>
      </c>
      <c r="O510" s="140">
        <f t="shared" si="14"/>
        <v>383.875</v>
      </c>
      <c r="Q510" s="140">
        <v>904</v>
      </c>
    </row>
    <row r="511" spans="12:17" x14ac:dyDescent="0.35">
      <c r="L511" s="140">
        <v>509</v>
      </c>
      <c r="M511" s="140">
        <v>3</v>
      </c>
      <c r="N511" s="140">
        <f t="shared" si="15"/>
        <v>1.125</v>
      </c>
      <c r="O511" s="140">
        <f t="shared" si="14"/>
        <v>383.875</v>
      </c>
      <c r="Q511" s="140">
        <v>901</v>
      </c>
    </row>
    <row r="512" spans="12:17" x14ac:dyDescent="0.35">
      <c r="L512" s="140">
        <v>510</v>
      </c>
      <c r="M512" s="140">
        <v>0</v>
      </c>
      <c r="N512" s="140">
        <f t="shared" si="15"/>
        <v>1</v>
      </c>
      <c r="O512" s="140">
        <f t="shared" si="14"/>
        <v>383.875</v>
      </c>
      <c r="Q512" s="140">
        <v>847</v>
      </c>
    </row>
    <row r="513" spans="12:17" x14ac:dyDescent="0.35">
      <c r="L513" s="140">
        <v>511</v>
      </c>
      <c r="M513" s="140">
        <v>0</v>
      </c>
      <c r="N513" s="140">
        <f t="shared" si="15"/>
        <v>0.875</v>
      </c>
      <c r="O513" s="140">
        <f t="shared" si="14"/>
        <v>383.875</v>
      </c>
      <c r="Q513" s="140">
        <v>875</v>
      </c>
    </row>
    <row r="514" spans="12:17" x14ac:dyDescent="0.35">
      <c r="L514" s="140">
        <v>512</v>
      </c>
      <c r="M514" s="140">
        <v>1</v>
      </c>
      <c r="N514" s="140">
        <f t="shared" si="15"/>
        <v>0.875</v>
      </c>
      <c r="O514" s="140">
        <f t="shared" ref="O514:O577" si="16">MAX($A$35)/2</f>
        <v>383.875</v>
      </c>
      <c r="Q514" s="140">
        <v>838</v>
      </c>
    </row>
    <row r="515" spans="12:17" x14ac:dyDescent="0.35">
      <c r="L515" s="140">
        <v>513</v>
      </c>
      <c r="M515" s="140">
        <v>2</v>
      </c>
      <c r="N515" s="140">
        <f t="shared" si="15"/>
        <v>0.625</v>
      </c>
      <c r="O515" s="140">
        <f t="shared" si="16"/>
        <v>383.875</v>
      </c>
      <c r="Q515" s="140">
        <v>837</v>
      </c>
    </row>
    <row r="516" spans="12:17" x14ac:dyDescent="0.35">
      <c r="L516" s="140">
        <v>514</v>
      </c>
      <c r="M516" s="140">
        <v>1</v>
      </c>
      <c r="N516" s="140">
        <f t="shared" si="15"/>
        <v>0.625</v>
      </c>
      <c r="O516" s="140">
        <f t="shared" si="16"/>
        <v>383.875</v>
      </c>
      <c r="Q516" s="140">
        <v>856</v>
      </c>
    </row>
    <row r="517" spans="12:17" x14ac:dyDescent="0.35">
      <c r="L517" s="140">
        <v>515</v>
      </c>
      <c r="M517" s="140">
        <v>0</v>
      </c>
      <c r="N517" s="140">
        <f t="shared" ref="N517:N580" si="17">AVERAGE(M514:M521)</f>
        <v>0.875</v>
      </c>
      <c r="O517" s="140">
        <f t="shared" si="16"/>
        <v>383.875</v>
      </c>
      <c r="Q517" s="140">
        <v>810</v>
      </c>
    </row>
    <row r="518" spans="12:17" x14ac:dyDescent="0.35">
      <c r="L518" s="140">
        <v>516</v>
      </c>
      <c r="M518" s="140">
        <v>0</v>
      </c>
      <c r="N518" s="140">
        <f t="shared" si="17"/>
        <v>0.75</v>
      </c>
      <c r="O518" s="140">
        <f t="shared" si="16"/>
        <v>383.875</v>
      </c>
      <c r="Q518" s="140">
        <v>872</v>
      </c>
    </row>
    <row r="519" spans="12:17" x14ac:dyDescent="0.35">
      <c r="L519" s="140">
        <v>517</v>
      </c>
      <c r="M519" s="140">
        <v>1</v>
      </c>
      <c r="N519" s="140">
        <f t="shared" si="17"/>
        <v>0.875</v>
      </c>
      <c r="O519" s="140">
        <f t="shared" si="16"/>
        <v>383.875</v>
      </c>
      <c r="Q519" s="140">
        <v>817</v>
      </c>
    </row>
    <row r="520" spans="12:17" x14ac:dyDescent="0.35">
      <c r="L520" s="140">
        <v>518</v>
      </c>
      <c r="M520" s="140">
        <v>0</v>
      </c>
      <c r="N520" s="140">
        <f t="shared" si="17"/>
        <v>0.875</v>
      </c>
      <c r="O520" s="140">
        <f t="shared" si="16"/>
        <v>383.875</v>
      </c>
      <c r="Q520" s="140">
        <v>857</v>
      </c>
    </row>
    <row r="521" spans="12:17" x14ac:dyDescent="0.35">
      <c r="L521" s="140">
        <v>519</v>
      </c>
      <c r="M521" s="140">
        <v>2</v>
      </c>
      <c r="N521" s="140">
        <f t="shared" si="17"/>
        <v>0.875</v>
      </c>
      <c r="O521" s="140">
        <f t="shared" si="16"/>
        <v>383.875</v>
      </c>
      <c r="Q521" s="140">
        <v>786</v>
      </c>
    </row>
    <row r="522" spans="12:17" x14ac:dyDescent="0.35">
      <c r="L522" s="140">
        <v>520</v>
      </c>
      <c r="M522" s="140">
        <v>0</v>
      </c>
      <c r="N522" s="140">
        <f t="shared" si="17"/>
        <v>1</v>
      </c>
      <c r="O522" s="140">
        <f t="shared" si="16"/>
        <v>383.875</v>
      </c>
      <c r="Q522" s="140">
        <v>826</v>
      </c>
    </row>
    <row r="523" spans="12:17" x14ac:dyDescent="0.35">
      <c r="L523" s="140">
        <v>521</v>
      </c>
      <c r="M523" s="140">
        <v>3</v>
      </c>
      <c r="N523" s="140">
        <f t="shared" si="17"/>
        <v>1</v>
      </c>
      <c r="O523" s="140">
        <f t="shared" si="16"/>
        <v>383.875</v>
      </c>
      <c r="Q523" s="140">
        <v>799</v>
      </c>
    </row>
    <row r="524" spans="12:17" x14ac:dyDescent="0.35">
      <c r="L524" s="140">
        <v>522</v>
      </c>
      <c r="M524" s="140">
        <v>1</v>
      </c>
      <c r="N524" s="140">
        <f t="shared" si="17"/>
        <v>1</v>
      </c>
      <c r="O524" s="140">
        <f t="shared" si="16"/>
        <v>383.875</v>
      </c>
      <c r="Q524" s="140">
        <v>811</v>
      </c>
    </row>
    <row r="525" spans="12:17" x14ac:dyDescent="0.35">
      <c r="L525" s="140">
        <v>523</v>
      </c>
      <c r="M525" s="140">
        <v>0</v>
      </c>
      <c r="N525" s="140">
        <f t="shared" si="17"/>
        <v>0.75</v>
      </c>
      <c r="O525" s="140">
        <f t="shared" si="16"/>
        <v>383.875</v>
      </c>
      <c r="Q525" s="140">
        <v>837</v>
      </c>
    </row>
    <row r="526" spans="12:17" x14ac:dyDescent="0.35">
      <c r="L526" s="140">
        <v>524</v>
      </c>
      <c r="M526" s="140">
        <v>1</v>
      </c>
      <c r="N526" s="140">
        <f t="shared" si="17"/>
        <v>0.75</v>
      </c>
      <c r="O526" s="140">
        <f t="shared" si="16"/>
        <v>383.875</v>
      </c>
      <c r="Q526" s="140">
        <v>821</v>
      </c>
    </row>
    <row r="527" spans="12:17" x14ac:dyDescent="0.35">
      <c r="L527" s="140">
        <v>525</v>
      </c>
      <c r="M527" s="140">
        <v>1</v>
      </c>
      <c r="N527" s="140">
        <f t="shared" si="17"/>
        <v>0.5</v>
      </c>
      <c r="O527" s="140">
        <f t="shared" si="16"/>
        <v>383.875</v>
      </c>
      <c r="Q527" s="140">
        <v>757</v>
      </c>
    </row>
    <row r="528" spans="12:17" x14ac:dyDescent="0.35">
      <c r="L528" s="140">
        <v>526</v>
      </c>
      <c r="M528" s="140">
        <v>0</v>
      </c>
      <c r="N528" s="140">
        <f t="shared" si="17"/>
        <v>0.375</v>
      </c>
      <c r="O528" s="140">
        <f t="shared" si="16"/>
        <v>383.875</v>
      </c>
      <c r="Q528" s="140">
        <v>824</v>
      </c>
    </row>
    <row r="529" spans="12:17" x14ac:dyDescent="0.35">
      <c r="L529" s="140">
        <v>527</v>
      </c>
      <c r="M529" s="140">
        <v>0</v>
      </c>
      <c r="N529" s="140">
        <f t="shared" si="17"/>
        <v>0.375</v>
      </c>
      <c r="O529" s="140">
        <f t="shared" si="16"/>
        <v>383.875</v>
      </c>
      <c r="Q529" s="140">
        <v>806</v>
      </c>
    </row>
    <row r="530" spans="12:17" x14ac:dyDescent="0.35">
      <c r="L530" s="140">
        <v>528</v>
      </c>
      <c r="M530" s="140">
        <v>0</v>
      </c>
      <c r="N530" s="140">
        <f t="shared" si="17"/>
        <v>0.5</v>
      </c>
      <c r="O530" s="140">
        <f t="shared" si="16"/>
        <v>383.875</v>
      </c>
      <c r="Q530" s="140">
        <v>739</v>
      </c>
    </row>
    <row r="531" spans="12:17" x14ac:dyDescent="0.35">
      <c r="L531" s="140">
        <v>529</v>
      </c>
      <c r="M531" s="140">
        <v>1</v>
      </c>
      <c r="N531" s="140">
        <f t="shared" si="17"/>
        <v>0.375</v>
      </c>
      <c r="O531" s="140">
        <f t="shared" si="16"/>
        <v>383.875</v>
      </c>
      <c r="Q531" s="140">
        <v>777</v>
      </c>
    </row>
    <row r="532" spans="12:17" x14ac:dyDescent="0.35">
      <c r="L532" s="140">
        <v>530</v>
      </c>
      <c r="M532" s="140">
        <v>0</v>
      </c>
      <c r="N532" s="140">
        <f t="shared" si="17"/>
        <v>0.375</v>
      </c>
      <c r="O532" s="140">
        <f t="shared" si="16"/>
        <v>383.875</v>
      </c>
      <c r="Q532" s="140">
        <v>729</v>
      </c>
    </row>
    <row r="533" spans="12:17" x14ac:dyDescent="0.35">
      <c r="L533" s="140">
        <v>531</v>
      </c>
      <c r="M533" s="140">
        <v>0</v>
      </c>
      <c r="N533" s="140">
        <f t="shared" si="17"/>
        <v>0.625</v>
      </c>
      <c r="O533" s="140">
        <f t="shared" si="16"/>
        <v>383.875</v>
      </c>
      <c r="Q533" s="140">
        <v>767</v>
      </c>
    </row>
    <row r="534" spans="12:17" x14ac:dyDescent="0.35">
      <c r="L534" s="140">
        <v>532</v>
      </c>
      <c r="M534" s="140">
        <v>2</v>
      </c>
      <c r="N534" s="140">
        <f t="shared" si="17"/>
        <v>0.625</v>
      </c>
      <c r="O534" s="140">
        <f t="shared" si="16"/>
        <v>383.875</v>
      </c>
      <c r="Q534" s="140">
        <v>708</v>
      </c>
    </row>
    <row r="535" spans="12:17" x14ac:dyDescent="0.35">
      <c r="L535" s="140">
        <v>533</v>
      </c>
      <c r="M535" s="140">
        <v>0</v>
      </c>
      <c r="N535" s="140">
        <f t="shared" si="17"/>
        <v>0.625</v>
      </c>
      <c r="O535" s="140">
        <f t="shared" si="16"/>
        <v>383.875</v>
      </c>
      <c r="Q535" s="140">
        <v>722</v>
      </c>
    </row>
    <row r="536" spans="12:17" x14ac:dyDescent="0.35">
      <c r="L536" s="140">
        <v>534</v>
      </c>
      <c r="M536" s="140">
        <v>0</v>
      </c>
      <c r="N536" s="140">
        <f t="shared" si="17"/>
        <v>0.625</v>
      </c>
      <c r="O536" s="140">
        <f t="shared" si="16"/>
        <v>383.875</v>
      </c>
      <c r="Q536" s="140">
        <v>706</v>
      </c>
    </row>
    <row r="537" spans="12:17" x14ac:dyDescent="0.35">
      <c r="L537" s="140">
        <v>535</v>
      </c>
      <c r="M537" s="140">
        <v>2</v>
      </c>
      <c r="N537" s="140">
        <f t="shared" si="17"/>
        <v>0.75</v>
      </c>
      <c r="O537" s="140">
        <f t="shared" si="16"/>
        <v>383.875</v>
      </c>
      <c r="Q537" s="140">
        <v>706</v>
      </c>
    </row>
    <row r="538" spans="12:17" x14ac:dyDescent="0.35">
      <c r="L538" s="140">
        <v>536</v>
      </c>
      <c r="M538" s="140">
        <v>0</v>
      </c>
      <c r="N538" s="140">
        <f t="shared" si="17"/>
        <v>0.5</v>
      </c>
      <c r="O538" s="140">
        <f t="shared" si="16"/>
        <v>383.875</v>
      </c>
      <c r="Q538" s="140">
        <v>715</v>
      </c>
    </row>
    <row r="539" spans="12:17" x14ac:dyDescent="0.35">
      <c r="L539" s="140">
        <v>537</v>
      </c>
      <c r="M539" s="140">
        <v>1</v>
      </c>
      <c r="N539" s="140">
        <f t="shared" si="17"/>
        <v>0.625</v>
      </c>
      <c r="O539" s="140">
        <f t="shared" si="16"/>
        <v>383.875</v>
      </c>
      <c r="Q539" s="140">
        <v>687</v>
      </c>
    </row>
    <row r="540" spans="12:17" x14ac:dyDescent="0.35">
      <c r="L540" s="140">
        <v>538</v>
      </c>
      <c r="M540" s="140">
        <v>0</v>
      </c>
      <c r="N540" s="140">
        <f t="shared" si="17"/>
        <v>0.625</v>
      </c>
      <c r="O540" s="140">
        <f t="shared" si="16"/>
        <v>383.875</v>
      </c>
      <c r="Q540" s="140">
        <v>695</v>
      </c>
    </row>
    <row r="541" spans="12:17" x14ac:dyDescent="0.35">
      <c r="L541" s="140">
        <v>539</v>
      </c>
      <c r="M541" s="140">
        <v>1</v>
      </c>
      <c r="N541" s="140">
        <f t="shared" si="17"/>
        <v>0.375</v>
      </c>
      <c r="O541" s="140">
        <f t="shared" si="16"/>
        <v>383.875</v>
      </c>
      <c r="Q541" s="140">
        <v>679</v>
      </c>
    </row>
    <row r="542" spans="12:17" x14ac:dyDescent="0.35">
      <c r="L542" s="140">
        <v>540</v>
      </c>
      <c r="M542" s="140">
        <v>0</v>
      </c>
      <c r="N542" s="140">
        <f t="shared" si="17"/>
        <v>0.375</v>
      </c>
      <c r="O542" s="140">
        <f t="shared" si="16"/>
        <v>383.875</v>
      </c>
      <c r="Q542" s="140">
        <v>643</v>
      </c>
    </row>
    <row r="543" spans="12:17" x14ac:dyDescent="0.35">
      <c r="L543" s="140">
        <v>541</v>
      </c>
      <c r="M543" s="140">
        <v>1</v>
      </c>
      <c r="N543" s="140">
        <f t="shared" si="17"/>
        <v>0.375</v>
      </c>
      <c r="O543" s="140">
        <f t="shared" si="16"/>
        <v>383.875</v>
      </c>
      <c r="Q543" s="140">
        <v>646</v>
      </c>
    </row>
    <row r="544" spans="12:17" x14ac:dyDescent="0.35">
      <c r="L544" s="140">
        <v>542</v>
      </c>
      <c r="M544" s="140">
        <v>0</v>
      </c>
      <c r="N544" s="140">
        <f t="shared" si="17"/>
        <v>0.5</v>
      </c>
      <c r="O544" s="140">
        <f t="shared" si="16"/>
        <v>383.875</v>
      </c>
      <c r="Q544" s="140">
        <v>627</v>
      </c>
    </row>
    <row r="545" spans="12:17" x14ac:dyDescent="0.35">
      <c r="L545" s="140">
        <v>543</v>
      </c>
      <c r="M545" s="140">
        <v>0</v>
      </c>
      <c r="N545" s="140">
        <f t="shared" si="17"/>
        <v>0.625</v>
      </c>
      <c r="O545" s="140">
        <f t="shared" si="16"/>
        <v>383.875</v>
      </c>
      <c r="Q545" s="140">
        <v>672</v>
      </c>
    </row>
    <row r="546" spans="12:17" x14ac:dyDescent="0.35">
      <c r="L546" s="140">
        <v>544</v>
      </c>
      <c r="M546" s="140">
        <v>0</v>
      </c>
      <c r="N546" s="140">
        <f t="shared" si="17"/>
        <v>0.625</v>
      </c>
      <c r="O546" s="140">
        <f t="shared" si="16"/>
        <v>383.875</v>
      </c>
      <c r="Q546" s="140">
        <v>660</v>
      </c>
    </row>
    <row r="547" spans="12:17" x14ac:dyDescent="0.35">
      <c r="L547" s="140">
        <v>545</v>
      </c>
      <c r="M547" s="140">
        <v>1</v>
      </c>
      <c r="N547" s="140">
        <f t="shared" si="17"/>
        <v>0.5</v>
      </c>
      <c r="O547" s="140">
        <f t="shared" si="16"/>
        <v>383.875</v>
      </c>
      <c r="Q547" s="140">
        <v>633</v>
      </c>
    </row>
    <row r="548" spans="12:17" x14ac:dyDescent="0.35">
      <c r="L548" s="140">
        <v>546</v>
      </c>
      <c r="M548" s="140">
        <v>1</v>
      </c>
      <c r="N548" s="140">
        <f t="shared" si="17"/>
        <v>0.5</v>
      </c>
      <c r="O548" s="140">
        <f t="shared" si="16"/>
        <v>383.875</v>
      </c>
      <c r="Q548" s="140">
        <v>616</v>
      </c>
    </row>
    <row r="549" spans="12:17" x14ac:dyDescent="0.35">
      <c r="L549" s="140">
        <v>547</v>
      </c>
      <c r="M549" s="140">
        <v>2</v>
      </c>
      <c r="N549" s="140">
        <f t="shared" si="17"/>
        <v>0.5</v>
      </c>
      <c r="O549" s="140">
        <f t="shared" si="16"/>
        <v>383.875</v>
      </c>
      <c r="Q549" s="140">
        <v>626</v>
      </c>
    </row>
    <row r="550" spans="12:17" x14ac:dyDescent="0.35">
      <c r="L550" s="140">
        <v>548</v>
      </c>
      <c r="M550" s="140">
        <v>0</v>
      </c>
      <c r="N550" s="140">
        <f t="shared" si="17"/>
        <v>0.5</v>
      </c>
      <c r="O550" s="140">
        <f t="shared" si="16"/>
        <v>383.875</v>
      </c>
      <c r="Q550" s="140">
        <v>552</v>
      </c>
    </row>
    <row r="551" spans="12:17" x14ac:dyDescent="0.35">
      <c r="L551" s="140">
        <v>549</v>
      </c>
      <c r="M551" s="140">
        <v>0</v>
      </c>
      <c r="N551" s="140">
        <f t="shared" si="17"/>
        <v>0.5</v>
      </c>
      <c r="O551" s="140">
        <f t="shared" si="16"/>
        <v>383.875</v>
      </c>
      <c r="Q551" s="140">
        <v>611</v>
      </c>
    </row>
    <row r="552" spans="12:17" x14ac:dyDescent="0.35">
      <c r="L552" s="140">
        <v>550</v>
      </c>
      <c r="M552" s="140">
        <v>0</v>
      </c>
      <c r="N552" s="140">
        <f t="shared" si="17"/>
        <v>0.375</v>
      </c>
      <c r="O552" s="140">
        <f t="shared" si="16"/>
        <v>383.875</v>
      </c>
      <c r="Q552" s="140">
        <v>589</v>
      </c>
    </row>
    <row r="553" spans="12:17" x14ac:dyDescent="0.35">
      <c r="L553" s="140">
        <v>551</v>
      </c>
      <c r="M553" s="140">
        <v>0</v>
      </c>
      <c r="N553" s="140">
        <f t="shared" si="17"/>
        <v>0.125</v>
      </c>
      <c r="O553" s="140">
        <f t="shared" si="16"/>
        <v>383.875</v>
      </c>
      <c r="Q553" s="140">
        <v>551</v>
      </c>
    </row>
    <row r="554" spans="12:17" x14ac:dyDescent="0.35">
      <c r="L554" s="140">
        <v>552</v>
      </c>
      <c r="M554" s="140">
        <v>0</v>
      </c>
      <c r="N554" s="140">
        <f t="shared" si="17"/>
        <v>0.25</v>
      </c>
      <c r="O554" s="140">
        <f t="shared" si="16"/>
        <v>383.875</v>
      </c>
      <c r="Q554" s="140">
        <v>607</v>
      </c>
    </row>
    <row r="555" spans="12:17" x14ac:dyDescent="0.35">
      <c r="L555" s="140">
        <v>553</v>
      </c>
      <c r="M555" s="140">
        <v>1</v>
      </c>
      <c r="N555" s="140">
        <f t="shared" si="17"/>
        <v>0.25</v>
      </c>
      <c r="O555" s="140">
        <f t="shared" si="16"/>
        <v>383.875</v>
      </c>
      <c r="Q555" s="140">
        <v>537</v>
      </c>
    </row>
    <row r="556" spans="12:17" x14ac:dyDescent="0.35">
      <c r="L556" s="140">
        <v>554</v>
      </c>
      <c r="M556" s="140">
        <v>0</v>
      </c>
      <c r="N556" s="140">
        <f t="shared" si="17"/>
        <v>0.625</v>
      </c>
      <c r="O556" s="140">
        <f t="shared" si="16"/>
        <v>383.875</v>
      </c>
      <c r="Q556" s="140">
        <v>612</v>
      </c>
    </row>
    <row r="557" spans="12:17" x14ac:dyDescent="0.35">
      <c r="L557" s="140">
        <v>555</v>
      </c>
      <c r="M557" s="140">
        <v>0</v>
      </c>
      <c r="N557" s="140">
        <f t="shared" si="17"/>
        <v>0.75</v>
      </c>
      <c r="O557" s="140">
        <f t="shared" si="16"/>
        <v>383.875</v>
      </c>
      <c r="Q557" s="140">
        <v>557</v>
      </c>
    </row>
    <row r="558" spans="12:17" x14ac:dyDescent="0.35">
      <c r="L558" s="140">
        <v>556</v>
      </c>
      <c r="M558" s="140">
        <v>1</v>
      </c>
      <c r="N558" s="140">
        <f t="shared" si="17"/>
        <v>0.875</v>
      </c>
      <c r="O558" s="140">
        <f t="shared" si="16"/>
        <v>383.875</v>
      </c>
      <c r="Q558" s="140">
        <v>557</v>
      </c>
    </row>
    <row r="559" spans="12:17" x14ac:dyDescent="0.35">
      <c r="L559" s="140">
        <v>557</v>
      </c>
      <c r="M559" s="140">
        <v>0</v>
      </c>
      <c r="N559" s="140">
        <f t="shared" si="17"/>
        <v>0.875</v>
      </c>
      <c r="O559" s="140">
        <f t="shared" si="16"/>
        <v>383.875</v>
      </c>
      <c r="Q559" s="140">
        <v>525</v>
      </c>
    </row>
    <row r="560" spans="12:17" x14ac:dyDescent="0.35">
      <c r="L560" s="140">
        <v>558</v>
      </c>
      <c r="M560" s="140">
        <v>3</v>
      </c>
      <c r="N560" s="140">
        <f t="shared" si="17"/>
        <v>0.875</v>
      </c>
      <c r="O560" s="140">
        <f t="shared" si="16"/>
        <v>383.875</v>
      </c>
      <c r="Q560" s="140">
        <v>500</v>
      </c>
    </row>
    <row r="561" spans="12:17" x14ac:dyDescent="0.35">
      <c r="L561" s="140">
        <v>559</v>
      </c>
      <c r="M561" s="140">
        <v>1</v>
      </c>
      <c r="N561" s="140">
        <f t="shared" si="17"/>
        <v>0.875</v>
      </c>
      <c r="O561" s="140">
        <f t="shared" si="16"/>
        <v>383.875</v>
      </c>
      <c r="Q561" s="140">
        <v>507</v>
      </c>
    </row>
    <row r="562" spans="12:17" x14ac:dyDescent="0.35">
      <c r="L562" s="140">
        <v>560</v>
      </c>
      <c r="M562" s="140">
        <v>1</v>
      </c>
      <c r="N562" s="140">
        <f t="shared" si="17"/>
        <v>0.75</v>
      </c>
      <c r="O562" s="140">
        <f t="shared" si="16"/>
        <v>383.875</v>
      </c>
      <c r="Q562" s="140">
        <v>475</v>
      </c>
    </row>
    <row r="563" spans="12:17" x14ac:dyDescent="0.35">
      <c r="L563" s="140">
        <v>561</v>
      </c>
      <c r="M563" s="140">
        <v>1</v>
      </c>
      <c r="N563" s="140">
        <f t="shared" si="17"/>
        <v>0.75</v>
      </c>
      <c r="O563" s="140">
        <f t="shared" si="16"/>
        <v>383.875</v>
      </c>
      <c r="Q563" s="140">
        <v>523</v>
      </c>
    </row>
    <row r="564" spans="12:17" x14ac:dyDescent="0.35">
      <c r="L564" s="140">
        <v>562</v>
      </c>
      <c r="M564" s="140">
        <v>0</v>
      </c>
      <c r="N564" s="140">
        <f t="shared" si="17"/>
        <v>0.375</v>
      </c>
      <c r="O564" s="140">
        <f t="shared" si="16"/>
        <v>383.875</v>
      </c>
      <c r="Q564" s="140">
        <v>442</v>
      </c>
    </row>
    <row r="565" spans="12:17" x14ac:dyDescent="0.35">
      <c r="L565" s="140">
        <v>563</v>
      </c>
      <c r="M565" s="140">
        <v>0</v>
      </c>
      <c r="N565" s="140">
        <f t="shared" si="17"/>
        <v>0.375</v>
      </c>
      <c r="O565" s="140">
        <f t="shared" si="16"/>
        <v>383.875</v>
      </c>
      <c r="Q565" s="140">
        <v>486</v>
      </c>
    </row>
    <row r="566" spans="12:17" x14ac:dyDescent="0.35">
      <c r="L566" s="140">
        <v>564</v>
      </c>
      <c r="M566" s="140">
        <v>0</v>
      </c>
      <c r="N566" s="140">
        <f t="shared" si="17"/>
        <v>0.25</v>
      </c>
      <c r="O566" s="140">
        <f t="shared" si="16"/>
        <v>383.875</v>
      </c>
      <c r="Q566" s="140">
        <v>447</v>
      </c>
    </row>
    <row r="567" spans="12:17" x14ac:dyDescent="0.35">
      <c r="L567" s="140">
        <v>565</v>
      </c>
      <c r="M567" s="140">
        <v>0</v>
      </c>
      <c r="N567" s="140">
        <f t="shared" si="17"/>
        <v>0.125</v>
      </c>
      <c r="O567" s="140">
        <f t="shared" si="16"/>
        <v>383.875</v>
      </c>
      <c r="Q567" s="140">
        <v>479</v>
      </c>
    </row>
    <row r="568" spans="12:17" x14ac:dyDescent="0.35">
      <c r="L568" s="140">
        <v>566</v>
      </c>
      <c r="M568" s="140">
        <v>0</v>
      </c>
      <c r="N568" s="140">
        <f t="shared" si="17"/>
        <v>0.125</v>
      </c>
      <c r="O568" s="140">
        <f t="shared" si="16"/>
        <v>383.875</v>
      </c>
      <c r="Q568" s="140">
        <v>450</v>
      </c>
    </row>
    <row r="569" spans="12:17" x14ac:dyDescent="0.35">
      <c r="L569" s="140">
        <v>567</v>
      </c>
      <c r="M569" s="140">
        <v>1</v>
      </c>
      <c r="N569" s="140">
        <f t="shared" si="17"/>
        <v>0.25</v>
      </c>
      <c r="O569" s="140">
        <f t="shared" si="16"/>
        <v>383.875</v>
      </c>
      <c r="Q569" s="140">
        <v>437</v>
      </c>
    </row>
    <row r="570" spans="12:17" x14ac:dyDescent="0.35">
      <c r="L570" s="140">
        <v>568</v>
      </c>
      <c r="M570" s="140">
        <v>0</v>
      </c>
      <c r="N570" s="140">
        <f t="shared" si="17"/>
        <v>0.5</v>
      </c>
      <c r="O570" s="140">
        <f t="shared" si="16"/>
        <v>383.875</v>
      </c>
      <c r="Q570" s="140">
        <v>420</v>
      </c>
    </row>
    <row r="571" spans="12:17" x14ac:dyDescent="0.35">
      <c r="L571" s="140">
        <v>569</v>
      </c>
      <c r="M571" s="140">
        <v>0</v>
      </c>
      <c r="N571" s="140">
        <f t="shared" si="17"/>
        <v>0.5</v>
      </c>
      <c r="O571" s="140">
        <f t="shared" si="16"/>
        <v>383.875</v>
      </c>
      <c r="Q571" s="140">
        <v>389</v>
      </c>
    </row>
    <row r="572" spans="12:17" x14ac:dyDescent="0.35">
      <c r="L572" s="140">
        <v>570</v>
      </c>
      <c r="M572" s="140">
        <v>0</v>
      </c>
      <c r="N572" s="140">
        <f t="shared" si="17"/>
        <v>0.5</v>
      </c>
      <c r="O572" s="140">
        <f t="shared" si="16"/>
        <v>383.875</v>
      </c>
      <c r="Q572" s="140">
        <v>442</v>
      </c>
    </row>
    <row r="573" spans="12:17" x14ac:dyDescent="0.35">
      <c r="L573" s="140">
        <v>571</v>
      </c>
      <c r="M573" s="140">
        <v>1</v>
      </c>
      <c r="N573" s="140">
        <f t="shared" si="17"/>
        <v>0.375</v>
      </c>
      <c r="O573" s="140">
        <f t="shared" si="16"/>
        <v>383.875</v>
      </c>
      <c r="Q573" s="140">
        <v>402</v>
      </c>
    </row>
    <row r="574" spans="12:17" x14ac:dyDescent="0.35">
      <c r="L574" s="140">
        <v>572</v>
      </c>
      <c r="M574" s="140">
        <v>2</v>
      </c>
      <c r="N574" s="140">
        <f t="shared" si="17"/>
        <v>0.375</v>
      </c>
      <c r="O574" s="140">
        <f t="shared" si="16"/>
        <v>383.875</v>
      </c>
      <c r="Q574" s="140">
        <v>429</v>
      </c>
    </row>
    <row r="575" spans="12:17" x14ac:dyDescent="0.35">
      <c r="L575" s="140">
        <v>573</v>
      </c>
      <c r="M575" s="140">
        <v>0</v>
      </c>
      <c r="N575" s="140">
        <f t="shared" si="17"/>
        <v>0.5</v>
      </c>
      <c r="O575" s="140">
        <f t="shared" si="16"/>
        <v>383.875</v>
      </c>
      <c r="Q575" s="140">
        <v>385</v>
      </c>
    </row>
    <row r="576" spans="12:17" x14ac:dyDescent="0.35">
      <c r="L576" s="140">
        <v>574</v>
      </c>
      <c r="M576" s="140">
        <v>0</v>
      </c>
      <c r="N576" s="140">
        <f t="shared" si="17"/>
        <v>0.5</v>
      </c>
      <c r="O576" s="140">
        <f t="shared" si="16"/>
        <v>383.875</v>
      </c>
      <c r="Q576" s="140">
        <v>424</v>
      </c>
    </row>
    <row r="577" spans="12:17" x14ac:dyDescent="0.35">
      <c r="L577" s="140">
        <v>575</v>
      </c>
      <c r="M577" s="140">
        <v>0</v>
      </c>
      <c r="N577" s="140">
        <f t="shared" si="17"/>
        <v>0.375</v>
      </c>
      <c r="O577" s="140">
        <f t="shared" si="16"/>
        <v>383.875</v>
      </c>
      <c r="Q577" s="140">
        <v>402</v>
      </c>
    </row>
    <row r="578" spans="12:17" x14ac:dyDescent="0.35">
      <c r="L578" s="140">
        <v>576</v>
      </c>
      <c r="M578" s="140">
        <v>0</v>
      </c>
      <c r="N578" s="140">
        <f t="shared" si="17"/>
        <v>0.125</v>
      </c>
      <c r="O578" s="140">
        <f t="shared" ref="O578:O641" si="18">MAX($A$35)/2</f>
        <v>383.875</v>
      </c>
      <c r="Q578" s="140">
        <v>380</v>
      </c>
    </row>
    <row r="579" spans="12:17" x14ac:dyDescent="0.35">
      <c r="L579" s="140">
        <v>577</v>
      </c>
      <c r="M579" s="140">
        <v>1</v>
      </c>
      <c r="N579" s="140">
        <f t="shared" si="17"/>
        <v>0.125</v>
      </c>
      <c r="O579" s="140">
        <f t="shared" si="18"/>
        <v>383.875</v>
      </c>
      <c r="Q579" s="140">
        <v>385</v>
      </c>
    </row>
    <row r="580" spans="12:17" x14ac:dyDescent="0.35">
      <c r="L580" s="140">
        <v>578</v>
      </c>
      <c r="M580" s="140">
        <v>0</v>
      </c>
      <c r="N580" s="140">
        <f t="shared" si="17"/>
        <v>0.25</v>
      </c>
      <c r="O580" s="140">
        <f t="shared" si="18"/>
        <v>383.875</v>
      </c>
      <c r="Q580" s="140">
        <v>391</v>
      </c>
    </row>
    <row r="581" spans="12:17" x14ac:dyDescent="0.35">
      <c r="L581" s="140">
        <v>579</v>
      </c>
      <c r="M581" s="140">
        <v>0</v>
      </c>
      <c r="N581" s="140">
        <f t="shared" ref="N581:N644" si="19">AVERAGE(M578:M585)</f>
        <v>0.25</v>
      </c>
      <c r="O581" s="140">
        <f t="shared" si="18"/>
        <v>383.875</v>
      </c>
      <c r="Q581" s="140">
        <v>363</v>
      </c>
    </row>
    <row r="582" spans="12:17" x14ac:dyDescent="0.35">
      <c r="L582" s="140">
        <v>580</v>
      </c>
      <c r="M582" s="140">
        <v>0</v>
      </c>
      <c r="N582" s="140">
        <f t="shared" si="19"/>
        <v>0.25</v>
      </c>
      <c r="O582" s="140">
        <f t="shared" si="18"/>
        <v>383.875</v>
      </c>
      <c r="Q582" s="140">
        <v>341</v>
      </c>
    </row>
    <row r="583" spans="12:17" x14ac:dyDescent="0.35">
      <c r="L583" s="140">
        <v>581</v>
      </c>
      <c r="M583" s="140">
        <v>0</v>
      </c>
      <c r="N583" s="140">
        <f t="shared" si="19"/>
        <v>0.25</v>
      </c>
      <c r="O583" s="140">
        <f t="shared" si="18"/>
        <v>383.875</v>
      </c>
      <c r="Q583" s="140">
        <v>340</v>
      </c>
    </row>
    <row r="584" spans="12:17" x14ac:dyDescent="0.35">
      <c r="L584" s="140">
        <v>582</v>
      </c>
      <c r="M584" s="140">
        <v>1</v>
      </c>
      <c r="N584" s="140">
        <f t="shared" si="19"/>
        <v>0.5</v>
      </c>
      <c r="O584" s="140">
        <f t="shared" si="18"/>
        <v>383.875</v>
      </c>
      <c r="Q584" s="140">
        <v>345</v>
      </c>
    </row>
    <row r="585" spans="12:17" x14ac:dyDescent="0.35">
      <c r="L585" s="140">
        <v>583</v>
      </c>
      <c r="M585" s="140">
        <v>0</v>
      </c>
      <c r="N585" s="140">
        <f t="shared" si="19"/>
        <v>0.75</v>
      </c>
      <c r="O585" s="140">
        <f t="shared" si="18"/>
        <v>383.875</v>
      </c>
      <c r="Q585" s="140">
        <v>289</v>
      </c>
    </row>
    <row r="586" spans="12:17" x14ac:dyDescent="0.35">
      <c r="L586" s="140">
        <v>584</v>
      </c>
      <c r="M586" s="140">
        <v>0</v>
      </c>
      <c r="N586" s="140">
        <f t="shared" si="19"/>
        <v>0.75</v>
      </c>
      <c r="O586" s="140">
        <f t="shared" si="18"/>
        <v>383.875</v>
      </c>
      <c r="Q586" s="140">
        <v>318</v>
      </c>
    </row>
    <row r="587" spans="12:17" x14ac:dyDescent="0.35">
      <c r="L587" s="140">
        <v>585</v>
      </c>
      <c r="M587" s="140">
        <v>1</v>
      </c>
      <c r="N587" s="140">
        <f t="shared" si="19"/>
        <v>0.75</v>
      </c>
      <c r="O587" s="140">
        <f t="shared" si="18"/>
        <v>383.875</v>
      </c>
      <c r="Q587" s="140">
        <v>311</v>
      </c>
    </row>
    <row r="588" spans="12:17" x14ac:dyDescent="0.35">
      <c r="L588" s="140">
        <v>586</v>
      </c>
      <c r="M588" s="140">
        <v>2</v>
      </c>
      <c r="N588" s="140">
        <f t="shared" si="19"/>
        <v>1</v>
      </c>
      <c r="O588" s="140">
        <f t="shared" si="18"/>
        <v>383.875</v>
      </c>
      <c r="Q588" s="140">
        <v>327</v>
      </c>
    </row>
    <row r="589" spans="12:17" x14ac:dyDescent="0.35">
      <c r="L589" s="140">
        <v>587</v>
      </c>
      <c r="M589" s="140">
        <v>2</v>
      </c>
      <c r="N589" s="140">
        <f t="shared" si="19"/>
        <v>1.125</v>
      </c>
      <c r="O589" s="140">
        <f t="shared" si="18"/>
        <v>383.875</v>
      </c>
      <c r="Q589" s="140">
        <v>282</v>
      </c>
    </row>
    <row r="590" spans="12:17" x14ac:dyDescent="0.35">
      <c r="L590" s="140">
        <v>588</v>
      </c>
      <c r="M590" s="140">
        <v>0</v>
      </c>
      <c r="N590" s="140">
        <f t="shared" si="19"/>
        <v>1.125</v>
      </c>
      <c r="O590" s="140">
        <f t="shared" si="18"/>
        <v>383.875</v>
      </c>
      <c r="Q590" s="140">
        <v>295</v>
      </c>
    </row>
    <row r="591" spans="12:17" x14ac:dyDescent="0.35">
      <c r="L591" s="140">
        <v>589</v>
      </c>
      <c r="M591" s="140">
        <v>0</v>
      </c>
      <c r="N591" s="140">
        <f t="shared" si="19"/>
        <v>1.125</v>
      </c>
      <c r="O591" s="140">
        <f t="shared" si="18"/>
        <v>383.875</v>
      </c>
      <c r="Q591" s="140">
        <v>269</v>
      </c>
    </row>
    <row r="592" spans="12:17" x14ac:dyDescent="0.35">
      <c r="L592" s="140">
        <v>590</v>
      </c>
      <c r="M592" s="140">
        <v>3</v>
      </c>
      <c r="N592" s="140">
        <f t="shared" si="19"/>
        <v>0.875</v>
      </c>
      <c r="O592" s="140">
        <f t="shared" si="18"/>
        <v>383.875</v>
      </c>
      <c r="Q592" s="140">
        <v>287</v>
      </c>
    </row>
    <row r="593" spans="12:17" x14ac:dyDescent="0.35">
      <c r="L593" s="140">
        <v>591</v>
      </c>
      <c r="M593" s="140">
        <v>1</v>
      </c>
      <c r="N593" s="140">
        <f t="shared" si="19"/>
        <v>0.625</v>
      </c>
      <c r="O593" s="140">
        <f t="shared" si="18"/>
        <v>383.875</v>
      </c>
      <c r="Q593" s="140">
        <v>290</v>
      </c>
    </row>
    <row r="594" spans="12:17" x14ac:dyDescent="0.35">
      <c r="L594" s="140">
        <v>592</v>
      </c>
      <c r="M594" s="140">
        <v>0</v>
      </c>
      <c r="N594" s="140">
        <f t="shared" si="19"/>
        <v>0.75</v>
      </c>
      <c r="O594" s="140">
        <f t="shared" si="18"/>
        <v>383.875</v>
      </c>
      <c r="Q594" s="140">
        <v>268</v>
      </c>
    </row>
    <row r="595" spans="12:17" x14ac:dyDescent="0.35">
      <c r="L595" s="140">
        <v>593</v>
      </c>
      <c r="M595" s="140">
        <v>1</v>
      </c>
      <c r="N595" s="140">
        <f t="shared" si="19"/>
        <v>0.875</v>
      </c>
      <c r="O595" s="140">
        <f t="shared" si="18"/>
        <v>383.875</v>
      </c>
      <c r="Q595" s="140">
        <v>280</v>
      </c>
    </row>
    <row r="596" spans="12:17" x14ac:dyDescent="0.35">
      <c r="L596" s="140">
        <v>594</v>
      </c>
      <c r="M596" s="140">
        <v>0</v>
      </c>
      <c r="N596" s="140">
        <f t="shared" si="19"/>
        <v>0.5</v>
      </c>
      <c r="O596" s="140">
        <f t="shared" si="18"/>
        <v>383.875</v>
      </c>
      <c r="Q596" s="140">
        <v>263</v>
      </c>
    </row>
    <row r="597" spans="12:17" x14ac:dyDescent="0.35">
      <c r="L597" s="140">
        <v>595</v>
      </c>
      <c r="M597" s="140">
        <v>0</v>
      </c>
      <c r="N597" s="140">
        <f t="shared" si="19"/>
        <v>0.375</v>
      </c>
      <c r="O597" s="140">
        <f t="shared" si="18"/>
        <v>383.875</v>
      </c>
      <c r="Q597" s="140">
        <v>237</v>
      </c>
    </row>
    <row r="598" spans="12:17" x14ac:dyDescent="0.35">
      <c r="L598" s="140">
        <v>596</v>
      </c>
      <c r="M598" s="140">
        <v>1</v>
      </c>
      <c r="N598" s="140">
        <f t="shared" si="19"/>
        <v>0.375</v>
      </c>
      <c r="O598" s="140">
        <f t="shared" si="18"/>
        <v>383.875</v>
      </c>
      <c r="Q598" s="140">
        <v>233</v>
      </c>
    </row>
    <row r="599" spans="12:17" x14ac:dyDescent="0.35">
      <c r="L599" s="140">
        <v>597</v>
      </c>
      <c r="M599" s="140">
        <v>1</v>
      </c>
      <c r="N599" s="140">
        <f t="shared" si="19"/>
        <v>0.25</v>
      </c>
      <c r="O599" s="140">
        <f t="shared" si="18"/>
        <v>383.875</v>
      </c>
      <c r="Q599" s="140">
        <v>229</v>
      </c>
    </row>
    <row r="600" spans="12:17" x14ac:dyDescent="0.35">
      <c r="L600" s="140">
        <v>598</v>
      </c>
      <c r="M600" s="140">
        <v>0</v>
      </c>
      <c r="N600" s="140">
        <f t="shared" si="19"/>
        <v>0.25</v>
      </c>
      <c r="O600" s="140">
        <f t="shared" si="18"/>
        <v>383.875</v>
      </c>
      <c r="Q600" s="140">
        <v>230</v>
      </c>
    </row>
    <row r="601" spans="12:17" x14ac:dyDescent="0.35">
      <c r="L601" s="140">
        <v>599</v>
      </c>
      <c r="M601" s="140">
        <v>0</v>
      </c>
      <c r="N601" s="140">
        <f t="shared" si="19"/>
        <v>0.375</v>
      </c>
      <c r="O601" s="140">
        <f t="shared" si="18"/>
        <v>383.875</v>
      </c>
      <c r="Q601" s="140">
        <v>235</v>
      </c>
    </row>
    <row r="602" spans="12:17" x14ac:dyDescent="0.35">
      <c r="L602" s="140">
        <v>600</v>
      </c>
      <c r="M602" s="140">
        <v>0</v>
      </c>
      <c r="N602" s="140">
        <f t="shared" si="19"/>
        <v>0.375</v>
      </c>
      <c r="O602" s="140">
        <f t="shared" si="18"/>
        <v>383.875</v>
      </c>
      <c r="Q602" s="140">
        <v>230</v>
      </c>
    </row>
    <row r="603" spans="12:17" x14ac:dyDescent="0.35">
      <c r="L603" s="140">
        <v>601</v>
      </c>
      <c r="M603" s="140">
        <v>0</v>
      </c>
      <c r="N603" s="140">
        <f t="shared" si="19"/>
        <v>0.25</v>
      </c>
      <c r="O603" s="140">
        <f t="shared" si="18"/>
        <v>383.875</v>
      </c>
      <c r="Q603" s="140">
        <v>227</v>
      </c>
    </row>
    <row r="604" spans="12:17" x14ac:dyDescent="0.35">
      <c r="L604" s="140">
        <v>602</v>
      </c>
      <c r="M604" s="140">
        <v>0</v>
      </c>
      <c r="N604" s="140">
        <f t="shared" si="19"/>
        <v>0.375</v>
      </c>
      <c r="O604" s="140">
        <f t="shared" si="18"/>
        <v>383.875</v>
      </c>
      <c r="Q604" s="140">
        <v>191</v>
      </c>
    </row>
    <row r="605" spans="12:17" x14ac:dyDescent="0.35">
      <c r="L605" s="140">
        <v>603</v>
      </c>
      <c r="M605" s="140">
        <v>1</v>
      </c>
      <c r="N605" s="140">
        <f t="shared" si="19"/>
        <v>0.5</v>
      </c>
      <c r="O605" s="140">
        <f t="shared" si="18"/>
        <v>383.875</v>
      </c>
      <c r="Q605" s="140">
        <v>206</v>
      </c>
    </row>
    <row r="606" spans="12:17" x14ac:dyDescent="0.35">
      <c r="L606" s="140">
        <v>604</v>
      </c>
      <c r="M606" s="140">
        <v>1</v>
      </c>
      <c r="N606" s="140">
        <f t="shared" si="19"/>
        <v>0.5</v>
      </c>
      <c r="O606" s="140">
        <f t="shared" si="18"/>
        <v>383.875</v>
      </c>
      <c r="Q606" s="140">
        <v>190</v>
      </c>
    </row>
    <row r="607" spans="12:17" x14ac:dyDescent="0.35">
      <c r="L607" s="140">
        <v>605</v>
      </c>
      <c r="M607" s="140">
        <v>0</v>
      </c>
      <c r="N607" s="140">
        <f t="shared" si="19"/>
        <v>0.625</v>
      </c>
      <c r="O607" s="140">
        <f t="shared" si="18"/>
        <v>383.875</v>
      </c>
      <c r="Q607" s="140">
        <v>157</v>
      </c>
    </row>
    <row r="608" spans="12:17" x14ac:dyDescent="0.35">
      <c r="L608" s="140">
        <v>606</v>
      </c>
      <c r="M608" s="140">
        <v>1</v>
      </c>
      <c r="N608" s="140">
        <f t="shared" si="19"/>
        <v>0.625</v>
      </c>
      <c r="O608" s="140">
        <f t="shared" si="18"/>
        <v>383.875</v>
      </c>
      <c r="Q608" s="140">
        <v>175</v>
      </c>
    </row>
    <row r="609" spans="12:17" x14ac:dyDescent="0.35">
      <c r="L609" s="140">
        <v>607</v>
      </c>
      <c r="M609" s="140">
        <v>1</v>
      </c>
      <c r="N609" s="140">
        <f t="shared" si="19"/>
        <v>0.75</v>
      </c>
      <c r="O609" s="140">
        <f t="shared" si="18"/>
        <v>383.875</v>
      </c>
      <c r="Q609" s="140">
        <v>190</v>
      </c>
    </row>
    <row r="610" spans="12:17" x14ac:dyDescent="0.35">
      <c r="L610" s="140">
        <v>608</v>
      </c>
      <c r="M610" s="140">
        <v>0</v>
      </c>
      <c r="N610" s="140">
        <f t="shared" si="19"/>
        <v>0.625</v>
      </c>
      <c r="O610" s="140">
        <f t="shared" si="18"/>
        <v>383.875</v>
      </c>
      <c r="Q610" s="140">
        <v>181</v>
      </c>
    </row>
    <row r="611" spans="12:17" x14ac:dyDescent="0.35">
      <c r="L611" s="140">
        <v>609</v>
      </c>
      <c r="M611" s="140">
        <v>1</v>
      </c>
      <c r="N611" s="140">
        <f t="shared" si="19"/>
        <v>0.625</v>
      </c>
      <c r="O611" s="140">
        <f t="shared" si="18"/>
        <v>383.875</v>
      </c>
      <c r="Q611" s="140">
        <v>170</v>
      </c>
    </row>
    <row r="612" spans="12:17" x14ac:dyDescent="0.35">
      <c r="L612" s="140">
        <v>610</v>
      </c>
      <c r="M612" s="140">
        <v>0</v>
      </c>
      <c r="N612" s="140">
        <f t="shared" si="19"/>
        <v>0.5</v>
      </c>
      <c r="O612" s="140">
        <f t="shared" si="18"/>
        <v>383.875</v>
      </c>
      <c r="Q612" s="140">
        <v>155</v>
      </c>
    </row>
    <row r="613" spans="12:17" x14ac:dyDescent="0.35">
      <c r="L613" s="140">
        <v>611</v>
      </c>
      <c r="M613" s="140">
        <v>2</v>
      </c>
      <c r="N613" s="140">
        <f t="shared" si="19"/>
        <v>0.375</v>
      </c>
      <c r="O613" s="140">
        <f t="shared" si="18"/>
        <v>383.875</v>
      </c>
      <c r="Q613" s="140">
        <v>196</v>
      </c>
    </row>
    <row r="614" spans="12:17" x14ac:dyDescent="0.35">
      <c r="L614" s="140">
        <v>612</v>
      </c>
      <c r="M614" s="140">
        <v>0</v>
      </c>
      <c r="N614" s="140">
        <f t="shared" si="19"/>
        <v>0.375</v>
      </c>
      <c r="O614" s="140">
        <f t="shared" si="18"/>
        <v>383.875</v>
      </c>
      <c r="Q614" s="140">
        <v>181</v>
      </c>
    </row>
    <row r="615" spans="12:17" x14ac:dyDescent="0.35">
      <c r="L615" s="140">
        <v>613</v>
      </c>
      <c r="M615" s="140">
        <v>0</v>
      </c>
      <c r="N615" s="140">
        <f t="shared" si="19"/>
        <v>0.375</v>
      </c>
      <c r="O615" s="140">
        <f t="shared" si="18"/>
        <v>383.875</v>
      </c>
      <c r="Q615" s="140">
        <v>173</v>
      </c>
    </row>
    <row r="616" spans="12:17" x14ac:dyDescent="0.35">
      <c r="L616" s="140">
        <v>614</v>
      </c>
      <c r="M616" s="140">
        <v>0</v>
      </c>
      <c r="N616" s="140">
        <f t="shared" si="19"/>
        <v>0.375</v>
      </c>
      <c r="O616" s="140">
        <f t="shared" si="18"/>
        <v>383.875</v>
      </c>
      <c r="Q616" s="140">
        <v>163</v>
      </c>
    </row>
    <row r="617" spans="12:17" x14ac:dyDescent="0.35">
      <c r="L617" s="140">
        <v>615</v>
      </c>
      <c r="M617" s="140">
        <v>0</v>
      </c>
      <c r="N617" s="140">
        <f t="shared" si="19"/>
        <v>0.125</v>
      </c>
      <c r="O617" s="140">
        <f t="shared" si="18"/>
        <v>383.875</v>
      </c>
      <c r="Q617" s="140">
        <v>180</v>
      </c>
    </row>
    <row r="618" spans="12:17" x14ac:dyDescent="0.35">
      <c r="L618" s="140">
        <v>616</v>
      </c>
      <c r="M618" s="140">
        <v>0</v>
      </c>
      <c r="N618" s="140">
        <f t="shared" si="19"/>
        <v>0.125</v>
      </c>
      <c r="O618" s="140">
        <f t="shared" si="18"/>
        <v>383.875</v>
      </c>
      <c r="Q618" s="140">
        <v>142</v>
      </c>
    </row>
    <row r="619" spans="12:17" x14ac:dyDescent="0.35">
      <c r="L619" s="140">
        <v>617</v>
      </c>
      <c r="M619" s="140">
        <v>1</v>
      </c>
      <c r="N619" s="140">
        <f t="shared" si="19"/>
        <v>0.125</v>
      </c>
      <c r="O619" s="140">
        <f t="shared" si="18"/>
        <v>383.875</v>
      </c>
      <c r="Q619" s="140">
        <v>138</v>
      </c>
    </row>
    <row r="620" spans="12:17" x14ac:dyDescent="0.35">
      <c r="L620" s="140">
        <v>618</v>
      </c>
      <c r="M620" s="140">
        <v>0</v>
      </c>
      <c r="N620" s="140">
        <f t="shared" si="19"/>
        <v>0.25</v>
      </c>
      <c r="O620" s="140">
        <f t="shared" si="18"/>
        <v>383.875</v>
      </c>
      <c r="Q620" s="140">
        <v>139</v>
      </c>
    </row>
    <row r="621" spans="12:17" x14ac:dyDescent="0.35">
      <c r="L621" s="140">
        <v>619</v>
      </c>
      <c r="M621" s="140">
        <v>0</v>
      </c>
      <c r="N621" s="140">
        <f t="shared" si="19"/>
        <v>0.25</v>
      </c>
      <c r="O621" s="140">
        <f t="shared" si="18"/>
        <v>383.875</v>
      </c>
      <c r="Q621" s="140">
        <v>137</v>
      </c>
    </row>
    <row r="622" spans="12:17" x14ac:dyDescent="0.35">
      <c r="L622" s="140">
        <v>620</v>
      </c>
      <c r="M622" s="140">
        <v>0</v>
      </c>
      <c r="N622" s="140">
        <f t="shared" si="19"/>
        <v>0.375</v>
      </c>
      <c r="O622" s="140">
        <f t="shared" si="18"/>
        <v>383.875</v>
      </c>
      <c r="Q622" s="140">
        <v>139</v>
      </c>
    </row>
    <row r="623" spans="12:17" x14ac:dyDescent="0.35">
      <c r="L623" s="140">
        <v>621</v>
      </c>
      <c r="M623" s="140">
        <v>0</v>
      </c>
      <c r="N623" s="140">
        <f t="shared" si="19"/>
        <v>0.25</v>
      </c>
      <c r="O623" s="140">
        <f t="shared" si="18"/>
        <v>383.875</v>
      </c>
      <c r="Q623" s="140">
        <v>127</v>
      </c>
    </row>
    <row r="624" spans="12:17" x14ac:dyDescent="0.35">
      <c r="L624" s="140">
        <v>622</v>
      </c>
      <c r="M624" s="140">
        <v>1</v>
      </c>
      <c r="N624" s="140">
        <f t="shared" si="19"/>
        <v>0.25</v>
      </c>
      <c r="O624" s="140">
        <f t="shared" si="18"/>
        <v>383.875</v>
      </c>
      <c r="Q624" s="140">
        <v>125</v>
      </c>
    </row>
    <row r="625" spans="12:17" x14ac:dyDescent="0.35">
      <c r="L625" s="140">
        <v>623</v>
      </c>
      <c r="M625" s="140">
        <v>0</v>
      </c>
      <c r="N625" s="140">
        <f t="shared" si="19"/>
        <v>0.25</v>
      </c>
      <c r="O625" s="140">
        <f t="shared" si="18"/>
        <v>383.875</v>
      </c>
      <c r="Q625" s="140">
        <v>140</v>
      </c>
    </row>
    <row r="626" spans="12:17" x14ac:dyDescent="0.35">
      <c r="L626" s="140">
        <v>624</v>
      </c>
      <c r="M626" s="140">
        <v>1</v>
      </c>
      <c r="N626" s="140">
        <f t="shared" si="19"/>
        <v>0.25</v>
      </c>
      <c r="O626" s="140">
        <f t="shared" si="18"/>
        <v>383.875</v>
      </c>
      <c r="Q626" s="140">
        <v>140</v>
      </c>
    </row>
    <row r="627" spans="12:17" x14ac:dyDescent="0.35">
      <c r="L627" s="140">
        <v>625</v>
      </c>
      <c r="M627" s="140">
        <v>0</v>
      </c>
      <c r="N627" s="140">
        <f t="shared" si="19"/>
        <v>0.25</v>
      </c>
      <c r="O627" s="140">
        <f t="shared" si="18"/>
        <v>383.875</v>
      </c>
      <c r="Q627" s="140">
        <v>110</v>
      </c>
    </row>
    <row r="628" spans="12:17" x14ac:dyDescent="0.35">
      <c r="L628" s="140">
        <v>626</v>
      </c>
      <c r="M628" s="140">
        <v>0</v>
      </c>
      <c r="N628" s="140">
        <f t="shared" si="19"/>
        <v>0.25</v>
      </c>
      <c r="O628" s="140">
        <f t="shared" si="18"/>
        <v>383.875</v>
      </c>
      <c r="Q628" s="140">
        <v>120</v>
      </c>
    </row>
    <row r="629" spans="12:17" x14ac:dyDescent="0.35">
      <c r="L629" s="140">
        <v>627</v>
      </c>
      <c r="M629" s="140">
        <v>0</v>
      </c>
      <c r="N629" s="140">
        <f t="shared" si="19"/>
        <v>0.25</v>
      </c>
      <c r="O629" s="140">
        <f t="shared" si="18"/>
        <v>383.875</v>
      </c>
      <c r="Q629" s="140">
        <v>123</v>
      </c>
    </row>
    <row r="630" spans="12:17" x14ac:dyDescent="0.35">
      <c r="L630" s="140">
        <v>628</v>
      </c>
      <c r="M630" s="140">
        <v>0</v>
      </c>
      <c r="N630" s="140">
        <f t="shared" si="19"/>
        <v>0.125</v>
      </c>
      <c r="O630" s="140">
        <f t="shared" si="18"/>
        <v>383.875</v>
      </c>
      <c r="Q630" s="140">
        <v>87</v>
      </c>
    </row>
    <row r="631" spans="12:17" x14ac:dyDescent="0.35">
      <c r="L631" s="140">
        <v>629</v>
      </c>
      <c r="M631" s="140">
        <v>0</v>
      </c>
      <c r="N631" s="140">
        <f t="shared" si="19"/>
        <v>0.125</v>
      </c>
      <c r="O631" s="140">
        <f t="shared" si="18"/>
        <v>383.875</v>
      </c>
      <c r="Q631" s="140">
        <v>105</v>
      </c>
    </row>
    <row r="632" spans="12:17" x14ac:dyDescent="0.35">
      <c r="L632" s="140">
        <v>630</v>
      </c>
      <c r="M632" s="140">
        <v>1</v>
      </c>
      <c r="N632" s="140">
        <f t="shared" si="19"/>
        <v>0.125</v>
      </c>
      <c r="O632" s="140">
        <f t="shared" si="18"/>
        <v>383.875</v>
      </c>
      <c r="Q632" s="140">
        <v>100</v>
      </c>
    </row>
    <row r="633" spans="12:17" x14ac:dyDescent="0.35">
      <c r="L633" s="140">
        <v>631</v>
      </c>
      <c r="M633" s="140">
        <v>0</v>
      </c>
      <c r="N633" s="140">
        <f t="shared" si="19"/>
        <v>0.25</v>
      </c>
      <c r="O633" s="140">
        <f t="shared" si="18"/>
        <v>383.875</v>
      </c>
      <c r="Q633" s="140">
        <v>93</v>
      </c>
    </row>
    <row r="634" spans="12:17" x14ac:dyDescent="0.35">
      <c r="L634" s="140">
        <v>632</v>
      </c>
      <c r="M634" s="140">
        <v>0</v>
      </c>
      <c r="N634" s="140">
        <f t="shared" si="19"/>
        <v>0.25</v>
      </c>
      <c r="O634" s="140">
        <f t="shared" si="18"/>
        <v>383.875</v>
      </c>
      <c r="Q634" s="140">
        <v>114</v>
      </c>
    </row>
    <row r="635" spans="12:17" x14ac:dyDescent="0.35">
      <c r="L635" s="140">
        <v>633</v>
      </c>
      <c r="M635" s="140">
        <v>0</v>
      </c>
      <c r="N635" s="140">
        <f t="shared" si="19"/>
        <v>0.25</v>
      </c>
      <c r="O635" s="140">
        <f t="shared" si="18"/>
        <v>383.875</v>
      </c>
      <c r="Q635" s="140">
        <v>88</v>
      </c>
    </row>
    <row r="636" spans="12:17" x14ac:dyDescent="0.35">
      <c r="L636" s="140">
        <v>634</v>
      </c>
      <c r="M636" s="140">
        <v>0</v>
      </c>
      <c r="N636" s="140">
        <f t="shared" si="19"/>
        <v>0.25</v>
      </c>
      <c r="O636" s="140">
        <f t="shared" si="18"/>
        <v>383.875</v>
      </c>
      <c r="Q636" s="140">
        <v>92</v>
      </c>
    </row>
    <row r="637" spans="12:17" x14ac:dyDescent="0.35">
      <c r="L637" s="140">
        <v>635</v>
      </c>
      <c r="M637" s="140">
        <v>1</v>
      </c>
      <c r="N637" s="140">
        <f t="shared" si="19"/>
        <v>0.25</v>
      </c>
      <c r="O637" s="140">
        <f t="shared" si="18"/>
        <v>383.875</v>
      </c>
      <c r="Q637" s="140">
        <v>94</v>
      </c>
    </row>
    <row r="638" spans="12:17" x14ac:dyDescent="0.35">
      <c r="L638" s="140">
        <v>636</v>
      </c>
      <c r="M638" s="140">
        <v>0</v>
      </c>
      <c r="N638" s="140">
        <f t="shared" si="19"/>
        <v>0.25</v>
      </c>
      <c r="O638" s="140">
        <f t="shared" si="18"/>
        <v>383.875</v>
      </c>
      <c r="Q638" s="140">
        <v>100</v>
      </c>
    </row>
    <row r="639" spans="12:17" x14ac:dyDescent="0.35">
      <c r="L639" s="140">
        <v>637</v>
      </c>
      <c r="M639" s="140">
        <v>0</v>
      </c>
      <c r="N639" s="140">
        <f t="shared" si="19"/>
        <v>0.25</v>
      </c>
      <c r="O639" s="140">
        <f t="shared" si="18"/>
        <v>383.875</v>
      </c>
      <c r="Q639" s="140">
        <v>92</v>
      </c>
    </row>
    <row r="640" spans="12:17" x14ac:dyDescent="0.35">
      <c r="L640" s="140">
        <v>638</v>
      </c>
      <c r="M640" s="140">
        <v>1</v>
      </c>
      <c r="N640" s="140">
        <f t="shared" si="19"/>
        <v>0.25</v>
      </c>
      <c r="O640" s="140">
        <f t="shared" si="18"/>
        <v>383.875</v>
      </c>
      <c r="Q640" s="140">
        <v>76</v>
      </c>
    </row>
    <row r="641" spans="12:17" x14ac:dyDescent="0.35">
      <c r="L641" s="140">
        <v>639</v>
      </c>
      <c r="M641" s="140">
        <v>0</v>
      </c>
      <c r="N641" s="140">
        <f t="shared" si="19"/>
        <v>0.125</v>
      </c>
      <c r="O641" s="140">
        <f t="shared" si="18"/>
        <v>383.875</v>
      </c>
      <c r="Q641" s="140">
        <v>81</v>
      </c>
    </row>
    <row r="642" spans="12:17" x14ac:dyDescent="0.35">
      <c r="L642" s="140">
        <v>640</v>
      </c>
      <c r="M642" s="140">
        <v>0</v>
      </c>
      <c r="N642" s="140">
        <f t="shared" si="19"/>
        <v>0.125</v>
      </c>
      <c r="O642" s="140">
        <f t="shared" ref="O642:O685" si="20">MAX($A$35)/2</f>
        <v>383.875</v>
      </c>
      <c r="Q642" s="140">
        <v>73</v>
      </c>
    </row>
    <row r="643" spans="12:17" x14ac:dyDescent="0.35">
      <c r="L643" s="140">
        <v>641</v>
      </c>
      <c r="M643" s="140">
        <v>0</v>
      </c>
      <c r="N643" s="140">
        <f t="shared" si="19"/>
        <v>0.125</v>
      </c>
      <c r="O643" s="140">
        <f t="shared" si="20"/>
        <v>383.875</v>
      </c>
      <c r="Q643" s="140">
        <v>76</v>
      </c>
    </row>
    <row r="644" spans="12:17" x14ac:dyDescent="0.35">
      <c r="L644" s="140">
        <v>642</v>
      </c>
      <c r="M644" s="140">
        <v>0</v>
      </c>
      <c r="N644" s="140">
        <f t="shared" si="19"/>
        <v>0</v>
      </c>
      <c r="O644" s="140">
        <f t="shared" si="20"/>
        <v>383.875</v>
      </c>
      <c r="Q644" s="140">
        <v>64</v>
      </c>
    </row>
    <row r="645" spans="12:17" x14ac:dyDescent="0.35">
      <c r="L645" s="140">
        <v>643</v>
      </c>
      <c r="M645" s="140">
        <v>0</v>
      </c>
      <c r="N645" s="140">
        <f t="shared" ref="N645:N685" si="21">AVERAGE(M642:M649)</f>
        <v>0</v>
      </c>
      <c r="O645" s="140">
        <f t="shared" si="20"/>
        <v>383.875</v>
      </c>
      <c r="Q645" s="140">
        <v>73</v>
      </c>
    </row>
    <row r="646" spans="12:17" x14ac:dyDescent="0.35">
      <c r="L646" s="140">
        <v>644</v>
      </c>
      <c r="M646" s="140">
        <v>0</v>
      </c>
      <c r="N646" s="140">
        <f t="shared" si="21"/>
        <v>0</v>
      </c>
      <c r="O646" s="140">
        <f t="shared" si="20"/>
        <v>383.875</v>
      </c>
      <c r="Q646" s="140">
        <v>67</v>
      </c>
    </row>
    <row r="647" spans="12:17" x14ac:dyDescent="0.35">
      <c r="L647" s="140">
        <v>645</v>
      </c>
      <c r="M647" s="140">
        <v>0</v>
      </c>
      <c r="N647" s="140">
        <f t="shared" si="21"/>
        <v>0</v>
      </c>
      <c r="O647" s="140">
        <f t="shared" si="20"/>
        <v>383.875</v>
      </c>
      <c r="Q647" s="140">
        <v>56</v>
      </c>
    </row>
    <row r="648" spans="12:17" x14ac:dyDescent="0.35">
      <c r="L648" s="140">
        <v>646</v>
      </c>
      <c r="M648" s="140">
        <v>0</v>
      </c>
      <c r="N648" s="140">
        <f t="shared" si="21"/>
        <v>0</v>
      </c>
      <c r="O648" s="140">
        <f t="shared" si="20"/>
        <v>383.875</v>
      </c>
      <c r="Q648" s="140">
        <v>68</v>
      </c>
    </row>
    <row r="649" spans="12:17" x14ac:dyDescent="0.35">
      <c r="L649" s="140">
        <v>647</v>
      </c>
      <c r="M649" s="140">
        <v>0</v>
      </c>
      <c r="N649" s="140">
        <f t="shared" si="21"/>
        <v>0.125</v>
      </c>
      <c r="O649" s="140">
        <f t="shared" si="20"/>
        <v>383.875</v>
      </c>
      <c r="Q649" s="140">
        <v>66</v>
      </c>
    </row>
    <row r="650" spans="12:17" x14ac:dyDescent="0.35">
      <c r="L650" s="140">
        <v>648</v>
      </c>
      <c r="M650" s="140">
        <v>0</v>
      </c>
      <c r="N650" s="140">
        <f t="shared" si="21"/>
        <v>0.125</v>
      </c>
      <c r="O650" s="140">
        <f t="shared" si="20"/>
        <v>383.875</v>
      </c>
      <c r="Q650" s="140">
        <v>63</v>
      </c>
    </row>
    <row r="651" spans="12:17" x14ac:dyDescent="0.35">
      <c r="L651" s="140">
        <v>649</v>
      </c>
      <c r="M651" s="140">
        <v>0</v>
      </c>
      <c r="N651" s="140">
        <f t="shared" si="21"/>
        <v>0.125</v>
      </c>
      <c r="O651" s="140">
        <f t="shared" si="20"/>
        <v>383.875</v>
      </c>
      <c r="Q651" s="140">
        <v>62</v>
      </c>
    </row>
    <row r="652" spans="12:17" x14ac:dyDescent="0.35">
      <c r="L652" s="140">
        <v>650</v>
      </c>
      <c r="M652" s="140">
        <v>0</v>
      </c>
      <c r="N652" s="140">
        <f t="shared" si="21"/>
        <v>0.125</v>
      </c>
      <c r="O652" s="140">
        <f t="shared" si="20"/>
        <v>383.875</v>
      </c>
      <c r="Q652" s="140">
        <v>54</v>
      </c>
    </row>
    <row r="653" spans="12:17" x14ac:dyDescent="0.35">
      <c r="L653" s="140">
        <v>651</v>
      </c>
      <c r="M653" s="140">
        <v>1</v>
      </c>
      <c r="N653" s="140">
        <f t="shared" si="21"/>
        <v>0.125</v>
      </c>
      <c r="O653" s="140">
        <f t="shared" si="20"/>
        <v>383.875</v>
      </c>
      <c r="Q653" s="140">
        <v>59</v>
      </c>
    </row>
    <row r="654" spans="12:17" x14ac:dyDescent="0.35">
      <c r="L654" s="140">
        <v>652</v>
      </c>
      <c r="M654" s="140">
        <v>0</v>
      </c>
      <c r="N654" s="140">
        <f t="shared" si="21"/>
        <v>0.125</v>
      </c>
      <c r="O654" s="140">
        <f t="shared" si="20"/>
        <v>383.875</v>
      </c>
      <c r="Q654" s="140">
        <v>43</v>
      </c>
    </row>
    <row r="655" spans="12:17" x14ac:dyDescent="0.35">
      <c r="L655" s="140">
        <v>653</v>
      </c>
      <c r="M655" s="140">
        <v>0</v>
      </c>
      <c r="N655" s="140">
        <f t="shared" si="21"/>
        <v>0.25</v>
      </c>
      <c r="O655" s="140">
        <f t="shared" si="20"/>
        <v>383.875</v>
      </c>
      <c r="Q655" s="140">
        <v>51</v>
      </c>
    </row>
    <row r="656" spans="12:17" x14ac:dyDescent="0.35">
      <c r="L656" s="140">
        <v>654</v>
      </c>
      <c r="M656" s="140">
        <v>0</v>
      </c>
      <c r="N656" s="140">
        <f t="shared" si="21"/>
        <v>0.25</v>
      </c>
      <c r="O656" s="140">
        <f t="shared" si="20"/>
        <v>383.875</v>
      </c>
      <c r="Q656" s="140">
        <v>55</v>
      </c>
    </row>
    <row r="657" spans="12:17" x14ac:dyDescent="0.35">
      <c r="L657" s="140">
        <v>655</v>
      </c>
      <c r="M657" s="140">
        <v>0</v>
      </c>
      <c r="N657" s="140">
        <f t="shared" si="21"/>
        <v>0.25</v>
      </c>
      <c r="O657" s="140">
        <f t="shared" si="20"/>
        <v>383.875</v>
      </c>
      <c r="Q657" s="140">
        <v>53</v>
      </c>
    </row>
    <row r="658" spans="12:17" x14ac:dyDescent="0.35">
      <c r="L658" s="140">
        <v>656</v>
      </c>
      <c r="M658" s="140">
        <v>0</v>
      </c>
      <c r="N658" s="140">
        <f t="shared" si="21"/>
        <v>0.25</v>
      </c>
      <c r="O658" s="140">
        <f t="shared" si="20"/>
        <v>383.875</v>
      </c>
      <c r="Q658" s="140">
        <v>46</v>
      </c>
    </row>
    <row r="659" spans="12:17" x14ac:dyDescent="0.35">
      <c r="L659" s="140">
        <v>657</v>
      </c>
      <c r="M659" s="140">
        <v>1</v>
      </c>
      <c r="N659" s="140">
        <f t="shared" si="21"/>
        <v>0.25</v>
      </c>
      <c r="O659" s="140">
        <f t="shared" si="20"/>
        <v>383.875</v>
      </c>
      <c r="Q659" s="140">
        <v>43</v>
      </c>
    </row>
    <row r="660" spans="12:17" x14ac:dyDescent="0.35">
      <c r="L660" s="140">
        <v>658</v>
      </c>
      <c r="M660" s="140">
        <v>0</v>
      </c>
      <c r="N660" s="140">
        <f t="shared" si="21"/>
        <v>0.375</v>
      </c>
      <c r="O660" s="140">
        <f t="shared" si="20"/>
        <v>383.875</v>
      </c>
      <c r="Q660" s="140">
        <v>36</v>
      </c>
    </row>
    <row r="661" spans="12:17" x14ac:dyDescent="0.35">
      <c r="L661" s="140">
        <v>659</v>
      </c>
      <c r="M661" s="140">
        <v>1</v>
      </c>
      <c r="N661" s="140">
        <f t="shared" si="21"/>
        <v>0.5</v>
      </c>
      <c r="O661" s="140">
        <f t="shared" si="20"/>
        <v>383.875</v>
      </c>
      <c r="Q661" s="140">
        <v>54</v>
      </c>
    </row>
    <row r="662" spans="12:17" x14ac:dyDescent="0.35">
      <c r="L662" s="140">
        <v>660</v>
      </c>
      <c r="M662" s="140">
        <v>0</v>
      </c>
      <c r="N662" s="140">
        <f t="shared" si="21"/>
        <v>0.5</v>
      </c>
      <c r="O662" s="140">
        <f t="shared" si="20"/>
        <v>383.875</v>
      </c>
      <c r="Q662" s="140">
        <v>37</v>
      </c>
    </row>
    <row r="663" spans="12:17" x14ac:dyDescent="0.35">
      <c r="L663" s="140">
        <v>661</v>
      </c>
      <c r="M663" s="140">
        <v>0</v>
      </c>
      <c r="N663" s="140">
        <f t="shared" si="21"/>
        <v>0.375</v>
      </c>
      <c r="O663" s="140">
        <f t="shared" si="20"/>
        <v>383.875</v>
      </c>
      <c r="Q663" s="140">
        <v>43</v>
      </c>
    </row>
    <row r="664" spans="12:17" x14ac:dyDescent="0.35">
      <c r="L664" s="140">
        <v>662</v>
      </c>
      <c r="M664" s="140">
        <v>1</v>
      </c>
      <c r="N664" s="140">
        <f t="shared" si="21"/>
        <v>0.375</v>
      </c>
      <c r="O664" s="140">
        <f t="shared" si="20"/>
        <v>383.875</v>
      </c>
      <c r="Q664" s="140">
        <v>40</v>
      </c>
    </row>
    <row r="665" spans="12:17" x14ac:dyDescent="0.35">
      <c r="L665" s="140">
        <v>663</v>
      </c>
      <c r="M665" s="140">
        <v>1</v>
      </c>
      <c r="N665" s="140">
        <f t="shared" si="21"/>
        <v>0.25</v>
      </c>
      <c r="O665" s="140">
        <f t="shared" si="20"/>
        <v>383.875</v>
      </c>
      <c r="Q665" s="140">
        <v>43</v>
      </c>
    </row>
    <row r="666" spans="12:17" x14ac:dyDescent="0.35">
      <c r="L666" s="140">
        <v>664</v>
      </c>
      <c r="M666" s="140">
        <v>0</v>
      </c>
      <c r="N666" s="140">
        <f t="shared" si="21"/>
        <v>0.375</v>
      </c>
      <c r="O666" s="140">
        <f t="shared" si="20"/>
        <v>383.875</v>
      </c>
      <c r="Q666" s="140">
        <v>40</v>
      </c>
    </row>
    <row r="667" spans="12:17" x14ac:dyDescent="0.35">
      <c r="L667" s="140">
        <v>665</v>
      </c>
      <c r="M667" s="140">
        <v>0</v>
      </c>
      <c r="N667" s="140">
        <f t="shared" si="21"/>
        <v>0.375</v>
      </c>
      <c r="O667" s="140">
        <f t="shared" si="20"/>
        <v>383.875</v>
      </c>
      <c r="Q667" s="140">
        <v>38</v>
      </c>
    </row>
    <row r="668" spans="12:17" x14ac:dyDescent="0.35">
      <c r="L668" s="140">
        <v>666</v>
      </c>
      <c r="M668" s="140">
        <v>0</v>
      </c>
      <c r="N668" s="140">
        <f t="shared" si="21"/>
        <v>0.25</v>
      </c>
      <c r="O668" s="140">
        <f t="shared" si="20"/>
        <v>383.875</v>
      </c>
      <c r="Q668" s="140">
        <v>36</v>
      </c>
    </row>
    <row r="669" spans="12:17" x14ac:dyDescent="0.35">
      <c r="L669" s="140">
        <v>667</v>
      </c>
      <c r="M669" s="140">
        <v>0</v>
      </c>
      <c r="N669" s="140">
        <f t="shared" si="21"/>
        <v>0.125</v>
      </c>
      <c r="O669" s="140">
        <f t="shared" si="20"/>
        <v>383.875</v>
      </c>
      <c r="Q669" s="140">
        <v>32</v>
      </c>
    </row>
    <row r="670" spans="12:17" x14ac:dyDescent="0.35">
      <c r="L670" s="140">
        <v>668</v>
      </c>
      <c r="M670" s="140">
        <v>1</v>
      </c>
      <c r="N670" s="140">
        <f t="shared" si="21"/>
        <v>0.25</v>
      </c>
      <c r="O670" s="140">
        <f t="shared" si="20"/>
        <v>383.875</v>
      </c>
      <c r="Q670" s="140">
        <v>31</v>
      </c>
    </row>
    <row r="671" spans="12:17" x14ac:dyDescent="0.35">
      <c r="L671" s="140">
        <v>669</v>
      </c>
      <c r="M671" s="140">
        <v>0</v>
      </c>
      <c r="N671" s="140">
        <f t="shared" si="21"/>
        <v>0.25</v>
      </c>
      <c r="O671" s="140">
        <f t="shared" si="20"/>
        <v>383.875</v>
      </c>
      <c r="Q671" s="140">
        <v>35</v>
      </c>
    </row>
    <row r="672" spans="12:17" x14ac:dyDescent="0.35">
      <c r="L672" s="140">
        <v>670</v>
      </c>
      <c r="M672" s="140">
        <v>0</v>
      </c>
      <c r="N672" s="140">
        <f t="shared" si="21"/>
        <v>0.25</v>
      </c>
      <c r="O672" s="140">
        <f t="shared" si="20"/>
        <v>383.875</v>
      </c>
      <c r="Q672" s="140">
        <v>25</v>
      </c>
    </row>
    <row r="673" spans="12:17" x14ac:dyDescent="0.35">
      <c r="L673" s="140">
        <v>671</v>
      </c>
      <c r="M673" s="140">
        <v>0</v>
      </c>
      <c r="N673" s="140">
        <f t="shared" si="21"/>
        <v>0.25</v>
      </c>
      <c r="O673" s="140">
        <f t="shared" si="20"/>
        <v>383.875</v>
      </c>
      <c r="Q673" s="140">
        <v>30</v>
      </c>
    </row>
    <row r="674" spans="12:17" x14ac:dyDescent="0.35">
      <c r="L674" s="140">
        <v>672</v>
      </c>
      <c r="M674" s="140">
        <v>1</v>
      </c>
      <c r="N674" s="140">
        <f t="shared" si="21"/>
        <v>0.25</v>
      </c>
      <c r="O674" s="140">
        <f t="shared" si="20"/>
        <v>383.875</v>
      </c>
      <c r="Q674" s="140">
        <v>28</v>
      </c>
    </row>
    <row r="675" spans="12:17" x14ac:dyDescent="0.35">
      <c r="L675" s="140">
        <v>673</v>
      </c>
      <c r="M675" s="140">
        <v>0</v>
      </c>
      <c r="N675" s="140">
        <f t="shared" si="21"/>
        <v>0.25</v>
      </c>
      <c r="O675" s="140">
        <f t="shared" si="20"/>
        <v>383.875</v>
      </c>
      <c r="Q675" s="140">
        <v>23</v>
      </c>
    </row>
    <row r="676" spans="12:17" x14ac:dyDescent="0.35">
      <c r="L676" s="140">
        <v>674</v>
      </c>
      <c r="M676" s="140">
        <v>0</v>
      </c>
      <c r="N676" s="140">
        <f t="shared" si="21"/>
        <v>0.25</v>
      </c>
      <c r="O676" s="140">
        <f t="shared" si="20"/>
        <v>383.875</v>
      </c>
      <c r="Q676" s="140">
        <v>32</v>
      </c>
    </row>
    <row r="677" spans="12:17" x14ac:dyDescent="0.35">
      <c r="L677" s="140">
        <v>675</v>
      </c>
      <c r="M677" s="140">
        <v>0</v>
      </c>
      <c r="N677" s="140">
        <f t="shared" si="21"/>
        <v>0.25</v>
      </c>
      <c r="O677" s="140">
        <f t="shared" si="20"/>
        <v>383.875</v>
      </c>
      <c r="Q677" s="140">
        <v>28</v>
      </c>
    </row>
    <row r="678" spans="12:17" x14ac:dyDescent="0.35">
      <c r="L678" s="140">
        <v>676</v>
      </c>
      <c r="M678" s="140">
        <v>1</v>
      </c>
      <c r="N678" s="140">
        <f t="shared" si="21"/>
        <v>0.125</v>
      </c>
      <c r="O678" s="140">
        <f t="shared" si="20"/>
        <v>383.875</v>
      </c>
      <c r="Q678" s="140">
        <v>26</v>
      </c>
    </row>
    <row r="679" spans="12:17" x14ac:dyDescent="0.35">
      <c r="L679" s="140">
        <v>677</v>
      </c>
      <c r="M679" s="140">
        <v>0</v>
      </c>
      <c r="N679" s="140">
        <f t="shared" si="21"/>
        <v>0.125</v>
      </c>
      <c r="O679" s="140">
        <f t="shared" si="20"/>
        <v>383.875</v>
      </c>
      <c r="Q679" s="140">
        <v>18</v>
      </c>
    </row>
    <row r="680" spans="12:17" x14ac:dyDescent="0.35">
      <c r="L680" s="140">
        <v>678</v>
      </c>
      <c r="M680" s="140">
        <v>0</v>
      </c>
      <c r="N680" s="140">
        <f t="shared" si="21"/>
        <v>0.125</v>
      </c>
      <c r="O680" s="140">
        <f t="shared" si="20"/>
        <v>383.875</v>
      </c>
      <c r="Q680" s="140">
        <v>17</v>
      </c>
    </row>
    <row r="681" spans="12:17" x14ac:dyDescent="0.35">
      <c r="L681" s="140">
        <v>679</v>
      </c>
      <c r="M681" s="140">
        <v>0</v>
      </c>
      <c r="N681" s="140">
        <f t="shared" si="21"/>
        <v>0.125</v>
      </c>
      <c r="O681" s="140">
        <f t="shared" si="20"/>
        <v>383.875</v>
      </c>
      <c r="Q681" s="140">
        <v>28</v>
      </c>
    </row>
    <row r="682" spans="12:17" x14ac:dyDescent="0.35">
      <c r="L682" s="140">
        <v>680</v>
      </c>
      <c r="M682" s="140">
        <v>0</v>
      </c>
      <c r="N682" s="140">
        <f t="shared" si="21"/>
        <v>0</v>
      </c>
      <c r="O682" s="140">
        <f t="shared" si="20"/>
        <v>383.875</v>
      </c>
      <c r="Q682" s="140">
        <v>16</v>
      </c>
    </row>
    <row r="683" spans="12:17" x14ac:dyDescent="0.35">
      <c r="L683" s="140">
        <v>681</v>
      </c>
      <c r="M683" s="140">
        <v>0</v>
      </c>
      <c r="N683" s="140">
        <f t="shared" si="21"/>
        <v>0</v>
      </c>
      <c r="O683" s="140">
        <f t="shared" si="20"/>
        <v>383.875</v>
      </c>
      <c r="Q683" s="140">
        <v>27</v>
      </c>
    </row>
    <row r="684" spans="12:17" x14ac:dyDescent="0.35">
      <c r="L684" s="140">
        <v>682</v>
      </c>
      <c r="M684" s="140">
        <v>0</v>
      </c>
      <c r="N684" s="140">
        <f t="shared" si="21"/>
        <v>0</v>
      </c>
      <c r="O684" s="140">
        <f t="shared" si="20"/>
        <v>383.875</v>
      </c>
      <c r="Q684" s="140">
        <v>22</v>
      </c>
    </row>
    <row r="685" spans="12:17" x14ac:dyDescent="0.35">
      <c r="L685" s="140">
        <v>683</v>
      </c>
      <c r="M685" s="140">
        <v>0</v>
      </c>
      <c r="N685" s="140">
        <f t="shared" si="21"/>
        <v>0</v>
      </c>
      <c r="O685" s="140">
        <f t="shared" si="20"/>
        <v>383.875</v>
      </c>
      <c r="Q685" s="140">
        <v>17</v>
      </c>
    </row>
    <row r="686" spans="12:17" x14ac:dyDescent="0.35">
      <c r="L686" s="140">
        <v>684</v>
      </c>
      <c r="M686" s="140">
        <v>0</v>
      </c>
      <c r="O686" s="140">
        <f t="shared" ref="O686:O749" si="22">MAX(N686:N1684)</f>
        <v>0</v>
      </c>
      <c r="Q686" s="140">
        <v>23</v>
      </c>
    </row>
    <row r="687" spans="12:17" x14ac:dyDescent="0.35">
      <c r="L687" s="140">
        <v>685</v>
      </c>
      <c r="M687" s="140">
        <v>0</v>
      </c>
      <c r="O687" s="140">
        <f t="shared" si="22"/>
        <v>0</v>
      </c>
      <c r="Q687" s="140">
        <v>34</v>
      </c>
    </row>
    <row r="688" spans="12:17" x14ac:dyDescent="0.35">
      <c r="L688" s="140">
        <v>686</v>
      </c>
      <c r="M688" s="140">
        <v>0</v>
      </c>
      <c r="O688" s="140">
        <f t="shared" si="22"/>
        <v>0</v>
      </c>
      <c r="Q688" s="140">
        <v>23</v>
      </c>
    </row>
    <row r="689" spans="12:17" x14ac:dyDescent="0.35">
      <c r="L689" s="140">
        <v>687</v>
      </c>
      <c r="M689" s="140">
        <v>0</v>
      </c>
      <c r="O689" s="140">
        <f t="shared" si="22"/>
        <v>0</v>
      </c>
      <c r="Q689" s="140">
        <v>26</v>
      </c>
    </row>
    <row r="690" spans="12:17" x14ac:dyDescent="0.35">
      <c r="L690" s="140">
        <v>688</v>
      </c>
      <c r="M690" s="140">
        <v>0</v>
      </c>
      <c r="O690" s="140">
        <f t="shared" si="22"/>
        <v>0</v>
      </c>
      <c r="Q690" s="140">
        <v>27</v>
      </c>
    </row>
    <row r="691" spans="12:17" x14ac:dyDescent="0.35">
      <c r="L691" s="140">
        <v>689</v>
      </c>
      <c r="M691" s="140">
        <v>2</v>
      </c>
      <c r="O691" s="140">
        <f t="shared" si="22"/>
        <v>0</v>
      </c>
      <c r="Q691" s="140">
        <v>27</v>
      </c>
    </row>
    <row r="692" spans="12:17" x14ac:dyDescent="0.35">
      <c r="L692" s="140">
        <v>690</v>
      </c>
      <c r="M692" s="140">
        <v>0</v>
      </c>
      <c r="O692" s="140">
        <f t="shared" si="22"/>
        <v>0</v>
      </c>
      <c r="Q692" s="140">
        <v>22</v>
      </c>
    </row>
    <row r="693" spans="12:17" x14ac:dyDescent="0.35">
      <c r="L693" s="140">
        <v>691</v>
      </c>
      <c r="M693" s="140">
        <v>1</v>
      </c>
      <c r="O693" s="140">
        <f t="shared" si="22"/>
        <v>0</v>
      </c>
      <c r="Q693" s="140">
        <v>16</v>
      </c>
    </row>
    <row r="694" spans="12:17" x14ac:dyDescent="0.35">
      <c r="L694" s="140">
        <v>692</v>
      </c>
      <c r="M694" s="140">
        <v>0</v>
      </c>
      <c r="O694" s="140">
        <f t="shared" si="22"/>
        <v>0</v>
      </c>
      <c r="Q694" s="140">
        <v>28</v>
      </c>
    </row>
    <row r="695" spans="12:17" x14ac:dyDescent="0.35">
      <c r="L695" s="140">
        <v>693</v>
      </c>
      <c r="M695" s="140">
        <v>0</v>
      </c>
      <c r="O695" s="140">
        <f t="shared" si="22"/>
        <v>0</v>
      </c>
      <c r="Q695" s="140">
        <v>23</v>
      </c>
    </row>
    <row r="696" spans="12:17" x14ac:dyDescent="0.35">
      <c r="L696" s="140">
        <v>694</v>
      </c>
      <c r="M696" s="140">
        <v>1</v>
      </c>
      <c r="O696" s="140">
        <f t="shared" si="22"/>
        <v>0</v>
      </c>
      <c r="Q696" s="140">
        <v>17</v>
      </c>
    </row>
    <row r="697" spans="12:17" x14ac:dyDescent="0.35">
      <c r="L697" s="140">
        <v>695</v>
      </c>
      <c r="M697" s="140">
        <v>0</v>
      </c>
      <c r="O697" s="140">
        <f t="shared" si="22"/>
        <v>0</v>
      </c>
      <c r="Q697" s="140">
        <v>18</v>
      </c>
    </row>
    <row r="698" spans="12:17" x14ac:dyDescent="0.35">
      <c r="L698" s="140">
        <v>696</v>
      </c>
      <c r="M698" s="140">
        <v>0</v>
      </c>
      <c r="O698" s="140">
        <f t="shared" si="22"/>
        <v>0</v>
      </c>
      <c r="Q698" s="140">
        <v>27</v>
      </c>
    </row>
    <row r="699" spans="12:17" x14ac:dyDescent="0.35">
      <c r="L699" s="140">
        <v>697</v>
      </c>
      <c r="M699" s="140">
        <v>0</v>
      </c>
      <c r="O699" s="140">
        <f t="shared" si="22"/>
        <v>0</v>
      </c>
      <c r="Q699" s="140">
        <v>25</v>
      </c>
    </row>
    <row r="700" spans="12:17" x14ac:dyDescent="0.35">
      <c r="L700" s="140">
        <v>698</v>
      </c>
      <c r="M700" s="140">
        <v>0</v>
      </c>
      <c r="O700" s="140">
        <f t="shared" si="22"/>
        <v>0</v>
      </c>
      <c r="Q700" s="140">
        <v>9</v>
      </c>
    </row>
    <row r="701" spans="12:17" x14ac:dyDescent="0.35">
      <c r="L701" s="140">
        <v>699</v>
      </c>
      <c r="M701" s="140">
        <v>0</v>
      </c>
      <c r="O701" s="140">
        <f t="shared" si="22"/>
        <v>0</v>
      </c>
      <c r="Q701" s="140">
        <v>20</v>
      </c>
    </row>
    <row r="702" spans="12:17" x14ac:dyDescent="0.35">
      <c r="L702" s="140">
        <v>700</v>
      </c>
      <c r="M702" s="140">
        <v>0</v>
      </c>
      <c r="O702" s="140">
        <f t="shared" si="22"/>
        <v>0</v>
      </c>
      <c r="Q702" s="140">
        <v>14</v>
      </c>
    </row>
    <row r="703" spans="12:17" x14ac:dyDescent="0.35">
      <c r="L703" s="140">
        <v>701</v>
      </c>
      <c r="M703" s="140">
        <v>1</v>
      </c>
      <c r="O703" s="140">
        <f t="shared" si="22"/>
        <v>0</v>
      </c>
      <c r="Q703" s="140">
        <v>14</v>
      </c>
    </row>
    <row r="704" spans="12:17" x14ac:dyDescent="0.35">
      <c r="L704" s="140">
        <v>702</v>
      </c>
      <c r="M704" s="140">
        <v>1</v>
      </c>
      <c r="O704" s="140">
        <f t="shared" si="22"/>
        <v>0</v>
      </c>
      <c r="Q704" s="140">
        <v>14</v>
      </c>
    </row>
    <row r="705" spans="12:17" x14ac:dyDescent="0.35">
      <c r="L705" s="140">
        <v>703</v>
      </c>
      <c r="M705" s="140">
        <v>0</v>
      </c>
      <c r="O705" s="140">
        <f t="shared" si="22"/>
        <v>0</v>
      </c>
      <c r="Q705" s="140">
        <v>11</v>
      </c>
    </row>
    <row r="706" spans="12:17" x14ac:dyDescent="0.35">
      <c r="L706" s="140">
        <v>704</v>
      </c>
      <c r="M706" s="140">
        <v>0</v>
      </c>
      <c r="O706" s="140">
        <f t="shared" si="22"/>
        <v>0</v>
      </c>
      <c r="Q706" s="140">
        <v>12</v>
      </c>
    </row>
    <row r="707" spans="12:17" x14ac:dyDescent="0.35">
      <c r="L707" s="140">
        <v>705</v>
      </c>
      <c r="M707" s="140">
        <v>0</v>
      </c>
      <c r="O707" s="140">
        <f t="shared" si="22"/>
        <v>0</v>
      </c>
      <c r="Q707" s="140">
        <v>12</v>
      </c>
    </row>
    <row r="708" spans="12:17" x14ac:dyDescent="0.35">
      <c r="L708" s="140">
        <v>706</v>
      </c>
      <c r="M708" s="140">
        <v>0</v>
      </c>
      <c r="O708" s="140">
        <f t="shared" si="22"/>
        <v>0</v>
      </c>
      <c r="Q708" s="140">
        <v>22</v>
      </c>
    </row>
    <row r="709" spans="12:17" x14ac:dyDescent="0.35">
      <c r="L709" s="140">
        <v>707</v>
      </c>
      <c r="M709" s="140">
        <v>1</v>
      </c>
      <c r="O709" s="140">
        <f t="shared" si="22"/>
        <v>0</v>
      </c>
      <c r="Q709" s="140">
        <v>21</v>
      </c>
    </row>
    <row r="710" spans="12:17" x14ac:dyDescent="0.35">
      <c r="L710" s="140">
        <v>708</v>
      </c>
      <c r="M710" s="140">
        <v>0</v>
      </c>
      <c r="O710" s="140">
        <f t="shared" si="22"/>
        <v>0</v>
      </c>
      <c r="Q710" s="140">
        <v>13</v>
      </c>
    </row>
    <row r="711" spans="12:17" x14ac:dyDescent="0.35">
      <c r="L711" s="140">
        <v>709</v>
      </c>
      <c r="M711" s="140">
        <v>0</v>
      </c>
      <c r="O711" s="140">
        <f t="shared" si="22"/>
        <v>0</v>
      </c>
      <c r="Q711" s="140">
        <v>14</v>
      </c>
    </row>
    <row r="712" spans="12:17" x14ac:dyDescent="0.35">
      <c r="L712" s="140">
        <v>710</v>
      </c>
      <c r="M712" s="140">
        <v>0</v>
      </c>
      <c r="O712" s="140">
        <f t="shared" si="22"/>
        <v>0</v>
      </c>
      <c r="Q712" s="140">
        <v>22</v>
      </c>
    </row>
    <row r="713" spans="12:17" x14ac:dyDescent="0.35">
      <c r="L713" s="140">
        <v>711</v>
      </c>
      <c r="M713" s="140">
        <v>0</v>
      </c>
      <c r="O713" s="140">
        <f t="shared" si="22"/>
        <v>0</v>
      </c>
      <c r="Q713" s="140">
        <v>21</v>
      </c>
    </row>
    <row r="714" spans="12:17" x14ac:dyDescent="0.35">
      <c r="L714" s="140">
        <v>712</v>
      </c>
      <c r="M714" s="140">
        <v>0</v>
      </c>
      <c r="O714" s="140">
        <f t="shared" si="22"/>
        <v>0</v>
      </c>
      <c r="Q714" s="140">
        <v>14</v>
      </c>
    </row>
    <row r="715" spans="12:17" x14ac:dyDescent="0.35">
      <c r="L715" s="140">
        <v>713</v>
      </c>
      <c r="M715" s="140">
        <v>0</v>
      </c>
      <c r="O715" s="140">
        <f t="shared" si="22"/>
        <v>0</v>
      </c>
      <c r="Q715" s="140">
        <v>12</v>
      </c>
    </row>
    <row r="716" spans="12:17" x14ac:dyDescent="0.35">
      <c r="L716" s="140">
        <v>714</v>
      </c>
      <c r="M716" s="140">
        <v>0</v>
      </c>
      <c r="O716" s="140">
        <f t="shared" si="22"/>
        <v>0</v>
      </c>
      <c r="Q716" s="140">
        <v>17</v>
      </c>
    </row>
    <row r="717" spans="12:17" x14ac:dyDescent="0.35">
      <c r="L717" s="140">
        <v>715</v>
      </c>
      <c r="M717" s="140">
        <v>1</v>
      </c>
      <c r="O717" s="140">
        <f t="shared" si="22"/>
        <v>0</v>
      </c>
      <c r="Q717" s="140">
        <v>13</v>
      </c>
    </row>
    <row r="718" spans="12:17" x14ac:dyDescent="0.35">
      <c r="L718" s="140">
        <v>716</v>
      </c>
      <c r="M718" s="140">
        <v>0</v>
      </c>
      <c r="O718" s="140">
        <f t="shared" si="22"/>
        <v>0</v>
      </c>
      <c r="Q718" s="140">
        <v>20</v>
      </c>
    </row>
    <row r="719" spans="12:17" x14ac:dyDescent="0.35">
      <c r="L719" s="140">
        <v>717</v>
      </c>
      <c r="M719" s="140">
        <v>0</v>
      </c>
      <c r="O719" s="140">
        <f t="shared" si="22"/>
        <v>0</v>
      </c>
      <c r="Q719" s="140">
        <v>10</v>
      </c>
    </row>
    <row r="720" spans="12:17" x14ac:dyDescent="0.35">
      <c r="L720" s="140">
        <v>718</v>
      </c>
      <c r="M720" s="140">
        <v>0</v>
      </c>
      <c r="O720" s="140">
        <f t="shared" si="22"/>
        <v>0</v>
      </c>
      <c r="Q720" s="140">
        <v>8</v>
      </c>
    </row>
    <row r="721" spans="12:17" x14ac:dyDescent="0.35">
      <c r="L721" s="140">
        <v>719</v>
      </c>
      <c r="M721" s="140">
        <v>0</v>
      </c>
      <c r="O721" s="140">
        <f t="shared" si="22"/>
        <v>0</v>
      </c>
      <c r="Q721" s="140">
        <v>12</v>
      </c>
    </row>
    <row r="722" spans="12:17" x14ac:dyDescent="0.35">
      <c r="L722" s="140">
        <v>720</v>
      </c>
      <c r="M722" s="140">
        <v>0</v>
      </c>
      <c r="O722" s="140">
        <f t="shared" si="22"/>
        <v>0</v>
      </c>
      <c r="Q722" s="140">
        <v>8</v>
      </c>
    </row>
    <row r="723" spans="12:17" x14ac:dyDescent="0.35">
      <c r="L723" s="140">
        <v>721</v>
      </c>
      <c r="M723" s="140">
        <v>0</v>
      </c>
      <c r="O723" s="140">
        <f t="shared" si="22"/>
        <v>0</v>
      </c>
      <c r="Q723" s="140">
        <v>16</v>
      </c>
    </row>
    <row r="724" spans="12:17" x14ac:dyDescent="0.35">
      <c r="L724" s="140">
        <v>722</v>
      </c>
      <c r="M724" s="140">
        <v>0</v>
      </c>
      <c r="O724" s="140">
        <f t="shared" si="22"/>
        <v>0</v>
      </c>
      <c r="Q724" s="140">
        <v>19</v>
      </c>
    </row>
    <row r="725" spans="12:17" x14ac:dyDescent="0.35">
      <c r="L725" s="140">
        <v>723</v>
      </c>
      <c r="M725" s="140">
        <v>0</v>
      </c>
      <c r="O725" s="140">
        <f t="shared" si="22"/>
        <v>0</v>
      </c>
      <c r="Q725" s="140">
        <v>12</v>
      </c>
    </row>
    <row r="726" spans="12:17" x14ac:dyDescent="0.35">
      <c r="L726" s="140">
        <v>724</v>
      </c>
      <c r="M726" s="140">
        <v>0</v>
      </c>
      <c r="O726" s="140">
        <f t="shared" si="22"/>
        <v>0</v>
      </c>
      <c r="Q726" s="140">
        <v>13</v>
      </c>
    </row>
    <row r="727" spans="12:17" x14ac:dyDescent="0.35">
      <c r="L727" s="140">
        <v>725</v>
      </c>
      <c r="M727" s="140">
        <v>0</v>
      </c>
      <c r="O727" s="140">
        <f t="shared" si="22"/>
        <v>0</v>
      </c>
      <c r="Q727" s="140">
        <v>8</v>
      </c>
    </row>
    <row r="728" spans="12:17" x14ac:dyDescent="0.35">
      <c r="L728" s="140">
        <v>726</v>
      </c>
      <c r="M728" s="140">
        <v>1</v>
      </c>
      <c r="O728" s="140">
        <f t="shared" si="22"/>
        <v>0</v>
      </c>
      <c r="Q728" s="140">
        <v>8</v>
      </c>
    </row>
    <row r="729" spans="12:17" x14ac:dyDescent="0.35">
      <c r="L729" s="140">
        <v>727</v>
      </c>
      <c r="M729" s="140">
        <v>0</v>
      </c>
      <c r="O729" s="140">
        <f t="shared" si="22"/>
        <v>0</v>
      </c>
      <c r="Q729" s="140">
        <v>18</v>
      </c>
    </row>
    <row r="730" spans="12:17" x14ac:dyDescent="0.35">
      <c r="L730" s="140">
        <v>728</v>
      </c>
      <c r="M730" s="140">
        <v>0</v>
      </c>
      <c r="O730" s="140">
        <f t="shared" si="22"/>
        <v>0</v>
      </c>
      <c r="Q730" s="140">
        <v>21</v>
      </c>
    </row>
    <row r="731" spans="12:17" x14ac:dyDescent="0.35">
      <c r="L731" s="140">
        <v>729</v>
      </c>
      <c r="M731" s="140">
        <v>0</v>
      </c>
      <c r="O731" s="140">
        <f t="shared" si="22"/>
        <v>0</v>
      </c>
      <c r="Q731" s="140">
        <v>15</v>
      </c>
    </row>
    <row r="732" spans="12:17" x14ac:dyDescent="0.35">
      <c r="L732" s="140">
        <v>730</v>
      </c>
      <c r="M732" s="140">
        <v>0</v>
      </c>
      <c r="O732" s="140">
        <f t="shared" si="22"/>
        <v>0</v>
      </c>
      <c r="Q732" s="140">
        <v>13</v>
      </c>
    </row>
    <row r="733" spans="12:17" x14ac:dyDescent="0.35">
      <c r="L733" s="140">
        <v>731</v>
      </c>
      <c r="M733" s="140">
        <v>0</v>
      </c>
      <c r="O733" s="140">
        <f t="shared" si="22"/>
        <v>0</v>
      </c>
      <c r="Q733" s="140">
        <v>19</v>
      </c>
    </row>
    <row r="734" spans="12:17" x14ac:dyDescent="0.35">
      <c r="L734" s="140">
        <v>732</v>
      </c>
      <c r="M734" s="140">
        <v>0</v>
      </c>
      <c r="O734" s="140">
        <f t="shared" si="22"/>
        <v>0</v>
      </c>
      <c r="Q734" s="140">
        <v>5</v>
      </c>
    </row>
    <row r="735" spans="12:17" x14ac:dyDescent="0.35">
      <c r="L735" s="140">
        <v>733</v>
      </c>
      <c r="M735" s="140">
        <v>0</v>
      </c>
      <c r="O735" s="140">
        <f t="shared" si="22"/>
        <v>0</v>
      </c>
      <c r="Q735" s="140">
        <v>12</v>
      </c>
    </row>
    <row r="736" spans="12:17" x14ac:dyDescent="0.35">
      <c r="L736" s="140">
        <v>734</v>
      </c>
      <c r="M736" s="140">
        <v>0</v>
      </c>
      <c r="O736" s="140">
        <f t="shared" si="22"/>
        <v>0</v>
      </c>
      <c r="Q736" s="140">
        <v>15</v>
      </c>
    </row>
    <row r="737" spans="12:17" x14ac:dyDescent="0.35">
      <c r="L737" s="140">
        <v>735</v>
      </c>
      <c r="M737" s="140">
        <v>0</v>
      </c>
      <c r="O737" s="140">
        <f t="shared" si="22"/>
        <v>0</v>
      </c>
      <c r="Q737" s="140">
        <v>8</v>
      </c>
    </row>
    <row r="738" spans="12:17" x14ac:dyDescent="0.35">
      <c r="L738" s="140">
        <v>736</v>
      </c>
      <c r="M738" s="140">
        <v>0</v>
      </c>
      <c r="O738" s="140">
        <f t="shared" si="22"/>
        <v>0</v>
      </c>
      <c r="Q738" s="140">
        <v>11</v>
      </c>
    </row>
    <row r="739" spans="12:17" x14ac:dyDescent="0.35">
      <c r="L739" s="140">
        <v>737</v>
      </c>
      <c r="M739" s="140">
        <v>0</v>
      </c>
      <c r="O739" s="140">
        <f t="shared" si="22"/>
        <v>0</v>
      </c>
      <c r="Q739" s="140">
        <v>14</v>
      </c>
    </row>
    <row r="740" spans="12:17" x14ac:dyDescent="0.35">
      <c r="L740" s="140">
        <v>738</v>
      </c>
      <c r="M740" s="140">
        <v>0</v>
      </c>
      <c r="O740" s="140">
        <f t="shared" si="22"/>
        <v>0</v>
      </c>
      <c r="Q740" s="140">
        <v>13</v>
      </c>
    </row>
    <row r="741" spans="12:17" x14ac:dyDescent="0.35">
      <c r="L741" s="140">
        <v>739</v>
      </c>
      <c r="M741" s="140">
        <v>0</v>
      </c>
      <c r="O741" s="140">
        <f t="shared" si="22"/>
        <v>0</v>
      </c>
      <c r="Q741" s="140">
        <v>15</v>
      </c>
    </row>
    <row r="742" spans="12:17" x14ac:dyDescent="0.35">
      <c r="L742" s="140">
        <v>740</v>
      </c>
      <c r="M742" s="140">
        <v>0</v>
      </c>
      <c r="O742" s="140">
        <f t="shared" si="22"/>
        <v>0</v>
      </c>
      <c r="Q742" s="140">
        <v>9</v>
      </c>
    </row>
    <row r="743" spans="12:17" x14ac:dyDescent="0.35">
      <c r="L743" s="140">
        <v>741</v>
      </c>
      <c r="M743" s="140">
        <v>0</v>
      </c>
      <c r="O743" s="140">
        <f t="shared" si="22"/>
        <v>0</v>
      </c>
      <c r="Q743" s="140">
        <v>14</v>
      </c>
    </row>
    <row r="744" spans="12:17" x14ac:dyDescent="0.35">
      <c r="L744" s="140">
        <v>742</v>
      </c>
      <c r="M744" s="140">
        <v>0</v>
      </c>
      <c r="O744" s="140">
        <f t="shared" si="22"/>
        <v>0</v>
      </c>
      <c r="Q744" s="140">
        <v>8</v>
      </c>
    </row>
    <row r="745" spans="12:17" x14ac:dyDescent="0.35">
      <c r="L745" s="140">
        <v>743</v>
      </c>
      <c r="M745" s="140">
        <v>0</v>
      </c>
      <c r="O745" s="140">
        <f t="shared" si="22"/>
        <v>0</v>
      </c>
      <c r="Q745" s="140">
        <v>10</v>
      </c>
    </row>
    <row r="746" spans="12:17" x14ac:dyDescent="0.35">
      <c r="L746" s="140">
        <v>744</v>
      </c>
      <c r="M746" s="140">
        <v>1</v>
      </c>
      <c r="O746" s="140">
        <f t="shared" si="22"/>
        <v>0</v>
      </c>
      <c r="Q746" s="140">
        <v>8</v>
      </c>
    </row>
    <row r="747" spans="12:17" x14ac:dyDescent="0.35">
      <c r="L747" s="140">
        <v>745</v>
      </c>
      <c r="M747" s="140">
        <v>0</v>
      </c>
      <c r="O747" s="140">
        <f t="shared" si="22"/>
        <v>0</v>
      </c>
      <c r="Q747" s="140">
        <v>14</v>
      </c>
    </row>
    <row r="748" spans="12:17" x14ac:dyDescent="0.35">
      <c r="L748" s="140">
        <v>746</v>
      </c>
      <c r="M748" s="140">
        <v>0</v>
      </c>
      <c r="O748" s="140">
        <f t="shared" si="22"/>
        <v>0</v>
      </c>
      <c r="Q748" s="140">
        <v>12</v>
      </c>
    </row>
    <row r="749" spans="12:17" x14ac:dyDescent="0.35">
      <c r="L749" s="140">
        <v>747</v>
      </c>
      <c r="M749" s="140">
        <v>0</v>
      </c>
      <c r="O749" s="140">
        <f t="shared" si="22"/>
        <v>0</v>
      </c>
      <c r="Q749" s="140">
        <v>14</v>
      </c>
    </row>
    <row r="750" spans="12:17" x14ac:dyDescent="0.35">
      <c r="L750" s="140">
        <v>748</v>
      </c>
      <c r="M750" s="140">
        <v>0</v>
      </c>
      <c r="O750" s="140">
        <f t="shared" ref="O750:O813" si="23">MAX(N750:N1748)</f>
        <v>0</v>
      </c>
      <c r="Q750" s="140">
        <v>13</v>
      </c>
    </row>
    <row r="751" spans="12:17" x14ac:dyDescent="0.35">
      <c r="L751" s="140">
        <v>749</v>
      </c>
      <c r="M751" s="140">
        <v>1</v>
      </c>
      <c r="O751" s="140">
        <f t="shared" si="23"/>
        <v>0</v>
      </c>
      <c r="Q751" s="140">
        <v>15</v>
      </c>
    </row>
    <row r="752" spans="12:17" x14ac:dyDescent="0.35">
      <c r="L752" s="140">
        <v>750</v>
      </c>
      <c r="M752" s="140">
        <v>0</v>
      </c>
      <c r="O752" s="140">
        <f t="shared" si="23"/>
        <v>0</v>
      </c>
      <c r="Q752" s="140">
        <v>13</v>
      </c>
    </row>
    <row r="753" spans="12:17" x14ac:dyDescent="0.35">
      <c r="L753" s="140">
        <v>751</v>
      </c>
      <c r="M753" s="140">
        <v>0</v>
      </c>
      <c r="O753" s="140">
        <f t="shared" si="23"/>
        <v>0</v>
      </c>
      <c r="Q753" s="140">
        <v>13</v>
      </c>
    </row>
    <row r="754" spans="12:17" x14ac:dyDescent="0.35">
      <c r="L754" s="140">
        <v>752</v>
      </c>
      <c r="M754" s="140">
        <v>0</v>
      </c>
      <c r="O754" s="140">
        <f t="shared" si="23"/>
        <v>0</v>
      </c>
      <c r="Q754" s="140">
        <v>10</v>
      </c>
    </row>
    <row r="755" spans="12:17" x14ac:dyDescent="0.35">
      <c r="L755" s="140">
        <v>753</v>
      </c>
      <c r="M755" s="140">
        <v>1</v>
      </c>
      <c r="O755" s="140">
        <f t="shared" si="23"/>
        <v>0</v>
      </c>
      <c r="Q755" s="140">
        <v>9</v>
      </c>
    </row>
    <row r="756" spans="12:17" x14ac:dyDescent="0.35">
      <c r="L756" s="140">
        <v>754</v>
      </c>
      <c r="M756" s="140">
        <v>0</v>
      </c>
      <c r="O756" s="140">
        <f t="shared" si="23"/>
        <v>0</v>
      </c>
      <c r="Q756" s="140">
        <v>13</v>
      </c>
    </row>
    <row r="757" spans="12:17" x14ac:dyDescent="0.35">
      <c r="L757" s="140">
        <v>755</v>
      </c>
      <c r="M757" s="140">
        <v>0</v>
      </c>
      <c r="O757" s="140">
        <f t="shared" si="23"/>
        <v>0</v>
      </c>
      <c r="Q757" s="140">
        <v>7</v>
      </c>
    </row>
    <row r="758" spans="12:17" x14ac:dyDescent="0.35">
      <c r="L758" s="140">
        <v>756</v>
      </c>
      <c r="M758" s="140">
        <v>0</v>
      </c>
      <c r="O758" s="140">
        <f t="shared" si="23"/>
        <v>0</v>
      </c>
      <c r="Q758" s="140">
        <v>7</v>
      </c>
    </row>
    <row r="759" spans="12:17" x14ac:dyDescent="0.35">
      <c r="L759" s="140">
        <v>757</v>
      </c>
      <c r="M759" s="140">
        <v>0</v>
      </c>
      <c r="O759" s="140">
        <f t="shared" si="23"/>
        <v>0</v>
      </c>
      <c r="Q759" s="140">
        <v>19</v>
      </c>
    </row>
    <row r="760" spans="12:17" x14ac:dyDescent="0.35">
      <c r="L760" s="140">
        <v>758</v>
      </c>
      <c r="M760" s="140">
        <v>0</v>
      </c>
      <c r="O760" s="140">
        <f t="shared" si="23"/>
        <v>0</v>
      </c>
      <c r="Q760" s="140">
        <v>19</v>
      </c>
    </row>
    <row r="761" spans="12:17" x14ac:dyDescent="0.35">
      <c r="L761" s="140">
        <v>759</v>
      </c>
      <c r="M761" s="140">
        <v>1</v>
      </c>
      <c r="O761" s="140">
        <f t="shared" si="23"/>
        <v>0</v>
      </c>
      <c r="Q761" s="140">
        <v>12</v>
      </c>
    </row>
    <row r="762" spans="12:17" x14ac:dyDescent="0.35">
      <c r="L762" s="140">
        <v>760</v>
      </c>
      <c r="M762" s="140">
        <v>0</v>
      </c>
      <c r="O762" s="140">
        <f t="shared" si="23"/>
        <v>0</v>
      </c>
      <c r="Q762" s="140">
        <v>14</v>
      </c>
    </row>
    <row r="763" spans="12:17" x14ac:dyDescent="0.35">
      <c r="L763" s="140">
        <v>761</v>
      </c>
      <c r="M763" s="140">
        <v>0</v>
      </c>
      <c r="O763" s="140">
        <f t="shared" si="23"/>
        <v>0</v>
      </c>
      <c r="Q763" s="140">
        <v>12</v>
      </c>
    </row>
    <row r="764" spans="12:17" x14ac:dyDescent="0.35">
      <c r="L764" s="140">
        <v>762</v>
      </c>
      <c r="M764" s="140">
        <v>0</v>
      </c>
      <c r="O764" s="140">
        <f t="shared" si="23"/>
        <v>0</v>
      </c>
      <c r="Q764" s="140">
        <v>15</v>
      </c>
    </row>
    <row r="765" spans="12:17" x14ac:dyDescent="0.35">
      <c r="L765" s="140">
        <v>763</v>
      </c>
      <c r="M765" s="140">
        <v>0</v>
      </c>
      <c r="O765" s="140">
        <f t="shared" si="23"/>
        <v>0</v>
      </c>
      <c r="Q765" s="140">
        <v>10</v>
      </c>
    </row>
    <row r="766" spans="12:17" x14ac:dyDescent="0.35">
      <c r="L766" s="140">
        <v>764</v>
      </c>
      <c r="M766" s="140">
        <v>0</v>
      </c>
      <c r="O766" s="140">
        <f t="shared" si="23"/>
        <v>0</v>
      </c>
      <c r="Q766" s="140">
        <v>11</v>
      </c>
    </row>
    <row r="767" spans="12:17" x14ac:dyDescent="0.35">
      <c r="L767" s="140">
        <v>765</v>
      </c>
      <c r="M767" s="140">
        <v>0</v>
      </c>
      <c r="O767" s="140">
        <f t="shared" si="23"/>
        <v>0</v>
      </c>
      <c r="Q767" s="140">
        <v>6</v>
      </c>
    </row>
    <row r="768" spans="12:17" x14ac:dyDescent="0.35">
      <c r="L768" s="140">
        <v>766</v>
      </c>
      <c r="M768" s="140">
        <v>0</v>
      </c>
      <c r="O768" s="140">
        <f t="shared" si="23"/>
        <v>0</v>
      </c>
      <c r="Q768" s="140">
        <v>17</v>
      </c>
    </row>
    <row r="769" spans="12:17" x14ac:dyDescent="0.35">
      <c r="L769" s="140">
        <v>767</v>
      </c>
      <c r="M769" s="140">
        <v>0</v>
      </c>
      <c r="O769" s="140">
        <f t="shared" si="23"/>
        <v>0</v>
      </c>
      <c r="Q769" s="140">
        <v>12</v>
      </c>
    </row>
    <row r="770" spans="12:17" x14ac:dyDescent="0.35">
      <c r="L770" s="140">
        <v>768</v>
      </c>
      <c r="M770" s="140">
        <v>0</v>
      </c>
      <c r="O770" s="140">
        <f t="shared" si="23"/>
        <v>0</v>
      </c>
      <c r="Q770" s="140">
        <v>14</v>
      </c>
    </row>
    <row r="771" spans="12:17" x14ac:dyDescent="0.35">
      <c r="L771" s="140">
        <v>769</v>
      </c>
      <c r="M771" s="140">
        <v>0</v>
      </c>
      <c r="O771" s="140">
        <f t="shared" si="23"/>
        <v>0</v>
      </c>
      <c r="Q771" s="140">
        <v>10</v>
      </c>
    </row>
    <row r="772" spans="12:17" x14ac:dyDescent="0.35">
      <c r="L772" s="140">
        <v>770</v>
      </c>
      <c r="M772" s="140">
        <v>0</v>
      </c>
      <c r="O772" s="140">
        <f t="shared" si="23"/>
        <v>0</v>
      </c>
      <c r="Q772" s="140">
        <v>9</v>
      </c>
    </row>
    <row r="773" spans="12:17" x14ac:dyDescent="0.35">
      <c r="L773" s="140">
        <v>771</v>
      </c>
      <c r="M773" s="140">
        <v>0</v>
      </c>
      <c r="O773" s="140">
        <f t="shared" si="23"/>
        <v>0</v>
      </c>
      <c r="Q773" s="140">
        <v>11</v>
      </c>
    </row>
    <row r="774" spans="12:17" x14ac:dyDescent="0.35">
      <c r="L774" s="140">
        <v>772</v>
      </c>
      <c r="M774" s="140">
        <v>0</v>
      </c>
      <c r="O774" s="140">
        <f t="shared" si="23"/>
        <v>0</v>
      </c>
      <c r="Q774" s="140">
        <v>11</v>
      </c>
    </row>
    <row r="775" spans="12:17" x14ac:dyDescent="0.35">
      <c r="L775" s="140">
        <v>773</v>
      </c>
      <c r="M775" s="140">
        <v>0</v>
      </c>
      <c r="O775" s="140">
        <f t="shared" si="23"/>
        <v>0</v>
      </c>
      <c r="Q775" s="140">
        <v>14</v>
      </c>
    </row>
    <row r="776" spans="12:17" x14ac:dyDescent="0.35">
      <c r="L776" s="140">
        <v>774</v>
      </c>
      <c r="M776" s="140">
        <v>0</v>
      </c>
      <c r="O776" s="140">
        <f t="shared" si="23"/>
        <v>0</v>
      </c>
      <c r="Q776" s="140">
        <v>14</v>
      </c>
    </row>
    <row r="777" spans="12:17" x14ac:dyDescent="0.35">
      <c r="L777" s="140">
        <v>775</v>
      </c>
      <c r="M777" s="140">
        <v>0</v>
      </c>
      <c r="O777" s="140">
        <f t="shared" si="23"/>
        <v>0</v>
      </c>
      <c r="Q777" s="140">
        <v>10</v>
      </c>
    </row>
    <row r="778" spans="12:17" x14ac:dyDescent="0.35">
      <c r="L778" s="140">
        <v>776</v>
      </c>
      <c r="M778" s="140">
        <v>0</v>
      </c>
      <c r="O778" s="140">
        <f t="shared" si="23"/>
        <v>0</v>
      </c>
      <c r="Q778" s="140">
        <v>14</v>
      </c>
    </row>
    <row r="779" spans="12:17" x14ac:dyDescent="0.35">
      <c r="L779" s="140">
        <v>777</v>
      </c>
      <c r="M779" s="140">
        <v>0</v>
      </c>
      <c r="O779" s="140">
        <f t="shared" si="23"/>
        <v>0</v>
      </c>
      <c r="Q779" s="140">
        <v>8</v>
      </c>
    </row>
    <row r="780" spans="12:17" x14ac:dyDescent="0.35">
      <c r="L780" s="140">
        <v>778</v>
      </c>
      <c r="M780" s="140">
        <v>0</v>
      </c>
      <c r="O780" s="140">
        <f t="shared" si="23"/>
        <v>0</v>
      </c>
      <c r="Q780" s="140">
        <v>4</v>
      </c>
    </row>
    <row r="781" spans="12:17" x14ac:dyDescent="0.35">
      <c r="L781" s="140">
        <v>779</v>
      </c>
      <c r="M781" s="140">
        <v>1</v>
      </c>
      <c r="O781" s="140">
        <f t="shared" si="23"/>
        <v>0</v>
      </c>
      <c r="Q781" s="140">
        <v>15</v>
      </c>
    </row>
    <row r="782" spans="12:17" x14ac:dyDescent="0.35">
      <c r="L782" s="140">
        <v>780</v>
      </c>
      <c r="M782" s="140">
        <v>0</v>
      </c>
      <c r="O782" s="140">
        <f t="shared" si="23"/>
        <v>0</v>
      </c>
      <c r="Q782" s="140">
        <v>11</v>
      </c>
    </row>
    <row r="783" spans="12:17" x14ac:dyDescent="0.35">
      <c r="L783" s="140">
        <v>781</v>
      </c>
      <c r="M783" s="140">
        <v>0</v>
      </c>
      <c r="O783" s="140">
        <f t="shared" si="23"/>
        <v>0</v>
      </c>
      <c r="Q783" s="140">
        <v>10</v>
      </c>
    </row>
    <row r="784" spans="12:17" x14ac:dyDescent="0.35">
      <c r="L784" s="140">
        <v>782</v>
      </c>
      <c r="M784" s="140">
        <v>0</v>
      </c>
      <c r="O784" s="140">
        <f t="shared" si="23"/>
        <v>0</v>
      </c>
      <c r="Q784" s="140">
        <v>9</v>
      </c>
    </row>
    <row r="785" spans="12:17" x14ac:dyDescent="0.35">
      <c r="L785" s="140">
        <v>783</v>
      </c>
      <c r="M785" s="140">
        <v>0</v>
      </c>
      <c r="O785" s="140">
        <f t="shared" si="23"/>
        <v>0</v>
      </c>
      <c r="Q785" s="140">
        <v>16</v>
      </c>
    </row>
    <row r="786" spans="12:17" x14ac:dyDescent="0.35">
      <c r="L786" s="140">
        <v>784</v>
      </c>
      <c r="M786" s="140">
        <v>0</v>
      </c>
      <c r="O786" s="140">
        <f t="shared" si="23"/>
        <v>0</v>
      </c>
      <c r="Q786" s="140">
        <v>13</v>
      </c>
    </row>
    <row r="787" spans="12:17" x14ac:dyDescent="0.35">
      <c r="L787" s="140">
        <v>785</v>
      </c>
      <c r="M787" s="140">
        <v>0</v>
      </c>
      <c r="O787" s="140">
        <f t="shared" si="23"/>
        <v>0</v>
      </c>
      <c r="Q787" s="140">
        <v>11</v>
      </c>
    </row>
    <row r="788" spans="12:17" x14ac:dyDescent="0.35">
      <c r="L788" s="140">
        <v>786</v>
      </c>
      <c r="M788" s="140">
        <v>0</v>
      </c>
      <c r="O788" s="140">
        <f t="shared" si="23"/>
        <v>0</v>
      </c>
      <c r="Q788" s="140">
        <v>10</v>
      </c>
    </row>
    <row r="789" spans="12:17" x14ac:dyDescent="0.35">
      <c r="L789" s="140">
        <v>787</v>
      </c>
      <c r="M789" s="140">
        <v>0</v>
      </c>
      <c r="O789" s="140">
        <f t="shared" si="23"/>
        <v>0</v>
      </c>
      <c r="Q789" s="140">
        <v>13</v>
      </c>
    </row>
    <row r="790" spans="12:17" x14ac:dyDescent="0.35">
      <c r="L790" s="140">
        <v>788</v>
      </c>
      <c r="M790" s="140">
        <v>0</v>
      </c>
      <c r="O790" s="140">
        <f t="shared" si="23"/>
        <v>0</v>
      </c>
      <c r="Q790" s="140">
        <v>9</v>
      </c>
    </row>
    <row r="791" spans="12:17" x14ac:dyDescent="0.35">
      <c r="L791" s="140">
        <v>789</v>
      </c>
      <c r="M791" s="140">
        <v>0</v>
      </c>
      <c r="O791" s="140">
        <f t="shared" si="23"/>
        <v>0</v>
      </c>
      <c r="Q791" s="140">
        <v>11</v>
      </c>
    </row>
    <row r="792" spans="12:17" x14ac:dyDescent="0.35">
      <c r="L792" s="140">
        <v>790</v>
      </c>
      <c r="M792" s="140">
        <v>0</v>
      </c>
      <c r="O792" s="140">
        <f t="shared" si="23"/>
        <v>0</v>
      </c>
      <c r="Q792" s="140">
        <v>12</v>
      </c>
    </row>
    <row r="793" spans="12:17" x14ac:dyDescent="0.35">
      <c r="L793" s="140">
        <v>791</v>
      </c>
      <c r="M793" s="140">
        <v>0</v>
      </c>
      <c r="O793" s="140">
        <f t="shared" si="23"/>
        <v>0</v>
      </c>
      <c r="Q793" s="140">
        <v>8</v>
      </c>
    </row>
    <row r="794" spans="12:17" x14ac:dyDescent="0.35">
      <c r="L794" s="140">
        <v>792</v>
      </c>
      <c r="M794" s="140">
        <v>0</v>
      </c>
      <c r="O794" s="140">
        <f t="shared" si="23"/>
        <v>0</v>
      </c>
      <c r="Q794" s="140">
        <v>15</v>
      </c>
    </row>
    <row r="795" spans="12:17" x14ac:dyDescent="0.35">
      <c r="L795" s="140">
        <v>793</v>
      </c>
      <c r="M795" s="140">
        <v>0</v>
      </c>
      <c r="O795" s="140">
        <f t="shared" si="23"/>
        <v>0</v>
      </c>
      <c r="Q795" s="140">
        <v>11</v>
      </c>
    </row>
    <row r="796" spans="12:17" x14ac:dyDescent="0.35">
      <c r="L796" s="140">
        <v>794</v>
      </c>
      <c r="M796" s="140">
        <v>0</v>
      </c>
      <c r="O796" s="140">
        <f t="shared" si="23"/>
        <v>0</v>
      </c>
      <c r="Q796" s="140">
        <v>16</v>
      </c>
    </row>
    <row r="797" spans="12:17" x14ac:dyDescent="0.35">
      <c r="L797" s="140">
        <v>795</v>
      </c>
      <c r="M797" s="140">
        <v>0</v>
      </c>
      <c r="O797" s="140">
        <f t="shared" si="23"/>
        <v>0</v>
      </c>
      <c r="Q797" s="140">
        <v>15</v>
      </c>
    </row>
    <row r="798" spans="12:17" x14ac:dyDescent="0.35">
      <c r="L798" s="140">
        <v>796</v>
      </c>
      <c r="M798" s="140">
        <v>0</v>
      </c>
      <c r="O798" s="140">
        <f t="shared" si="23"/>
        <v>0</v>
      </c>
      <c r="Q798" s="140">
        <v>6</v>
      </c>
    </row>
    <row r="799" spans="12:17" x14ac:dyDescent="0.35">
      <c r="L799" s="140">
        <v>797</v>
      </c>
      <c r="M799" s="140">
        <v>0</v>
      </c>
      <c r="O799" s="140">
        <f t="shared" si="23"/>
        <v>0</v>
      </c>
      <c r="Q799" s="140">
        <v>10</v>
      </c>
    </row>
    <row r="800" spans="12:17" x14ac:dyDescent="0.35">
      <c r="L800" s="140">
        <v>798</v>
      </c>
      <c r="M800" s="140">
        <v>0</v>
      </c>
      <c r="O800" s="140">
        <f t="shared" si="23"/>
        <v>0</v>
      </c>
      <c r="Q800" s="140">
        <v>8</v>
      </c>
    </row>
    <row r="801" spans="12:17" x14ac:dyDescent="0.35">
      <c r="L801" s="140">
        <v>799</v>
      </c>
      <c r="M801" s="140">
        <v>0</v>
      </c>
      <c r="O801" s="140">
        <f t="shared" si="23"/>
        <v>0</v>
      </c>
      <c r="Q801" s="140">
        <v>7</v>
      </c>
    </row>
    <row r="802" spans="12:17" x14ac:dyDescent="0.35">
      <c r="L802" s="140">
        <v>800</v>
      </c>
      <c r="M802" s="140">
        <v>0</v>
      </c>
      <c r="O802" s="140">
        <f t="shared" si="23"/>
        <v>0</v>
      </c>
      <c r="Q802" s="140">
        <v>11</v>
      </c>
    </row>
    <row r="803" spans="12:17" x14ac:dyDescent="0.35">
      <c r="L803" s="140">
        <v>801</v>
      </c>
      <c r="M803" s="140">
        <v>0</v>
      </c>
      <c r="O803" s="140">
        <f t="shared" si="23"/>
        <v>0</v>
      </c>
      <c r="Q803" s="140">
        <v>13</v>
      </c>
    </row>
    <row r="804" spans="12:17" x14ac:dyDescent="0.35">
      <c r="L804" s="140">
        <v>802</v>
      </c>
      <c r="M804" s="140">
        <v>0</v>
      </c>
      <c r="O804" s="140">
        <f t="shared" si="23"/>
        <v>0</v>
      </c>
      <c r="Q804" s="140">
        <v>11</v>
      </c>
    </row>
    <row r="805" spans="12:17" x14ac:dyDescent="0.35">
      <c r="L805" s="140">
        <v>803</v>
      </c>
      <c r="M805" s="140">
        <v>0</v>
      </c>
      <c r="O805" s="140">
        <f t="shared" si="23"/>
        <v>0</v>
      </c>
      <c r="Q805" s="140">
        <v>8</v>
      </c>
    </row>
    <row r="806" spans="12:17" x14ac:dyDescent="0.35">
      <c r="L806" s="140">
        <v>804</v>
      </c>
      <c r="M806" s="140">
        <v>1</v>
      </c>
      <c r="O806" s="140">
        <f t="shared" si="23"/>
        <v>0</v>
      </c>
      <c r="Q806" s="140">
        <v>13</v>
      </c>
    </row>
    <row r="807" spans="12:17" x14ac:dyDescent="0.35">
      <c r="L807" s="140">
        <v>805</v>
      </c>
      <c r="M807" s="140">
        <v>0</v>
      </c>
      <c r="O807" s="140">
        <f t="shared" si="23"/>
        <v>0</v>
      </c>
      <c r="Q807" s="140">
        <v>14</v>
      </c>
    </row>
    <row r="808" spans="12:17" x14ac:dyDescent="0.35">
      <c r="L808" s="140">
        <v>806</v>
      </c>
      <c r="M808" s="140">
        <v>0</v>
      </c>
      <c r="O808" s="140">
        <f t="shared" si="23"/>
        <v>0</v>
      </c>
      <c r="Q808" s="140">
        <v>9</v>
      </c>
    </row>
    <row r="809" spans="12:17" x14ac:dyDescent="0.35">
      <c r="L809" s="140">
        <v>807</v>
      </c>
      <c r="M809" s="140">
        <v>0</v>
      </c>
      <c r="O809" s="140">
        <f t="shared" si="23"/>
        <v>0</v>
      </c>
      <c r="Q809" s="140">
        <v>12</v>
      </c>
    </row>
    <row r="810" spans="12:17" x14ac:dyDescent="0.35">
      <c r="L810" s="140">
        <v>808</v>
      </c>
      <c r="M810" s="140">
        <v>0</v>
      </c>
      <c r="O810" s="140">
        <f t="shared" si="23"/>
        <v>0</v>
      </c>
      <c r="Q810" s="140">
        <v>7</v>
      </c>
    </row>
    <row r="811" spans="12:17" x14ac:dyDescent="0.35">
      <c r="L811" s="140">
        <v>809</v>
      </c>
      <c r="M811" s="140">
        <v>0</v>
      </c>
      <c r="O811" s="140">
        <f t="shared" si="23"/>
        <v>0</v>
      </c>
      <c r="Q811" s="140">
        <v>15</v>
      </c>
    </row>
    <row r="812" spans="12:17" x14ac:dyDescent="0.35">
      <c r="L812" s="140">
        <v>810</v>
      </c>
      <c r="M812" s="140">
        <v>0</v>
      </c>
      <c r="O812" s="140">
        <f t="shared" si="23"/>
        <v>0</v>
      </c>
      <c r="Q812" s="140">
        <v>16</v>
      </c>
    </row>
    <row r="813" spans="12:17" x14ac:dyDescent="0.35">
      <c r="L813" s="140">
        <v>811</v>
      </c>
      <c r="M813" s="140">
        <v>0</v>
      </c>
      <c r="O813" s="140">
        <f t="shared" si="23"/>
        <v>0</v>
      </c>
      <c r="Q813" s="140">
        <v>6</v>
      </c>
    </row>
    <row r="814" spans="12:17" x14ac:dyDescent="0.35">
      <c r="L814" s="140">
        <v>812</v>
      </c>
      <c r="M814" s="140">
        <v>0</v>
      </c>
      <c r="O814" s="140">
        <f t="shared" ref="O814:O877" si="24">MAX(N814:N1812)</f>
        <v>0</v>
      </c>
      <c r="Q814" s="140">
        <v>15</v>
      </c>
    </row>
    <row r="815" spans="12:17" x14ac:dyDescent="0.35">
      <c r="L815" s="140">
        <v>813</v>
      </c>
      <c r="M815" s="140">
        <v>0</v>
      </c>
      <c r="O815" s="140">
        <f t="shared" si="24"/>
        <v>0</v>
      </c>
      <c r="Q815" s="140">
        <v>13</v>
      </c>
    </row>
    <row r="816" spans="12:17" x14ac:dyDescent="0.35">
      <c r="L816" s="140">
        <v>814</v>
      </c>
      <c r="M816" s="140">
        <v>0</v>
      </c>
      <c r="O816" s="140">
        <f t="shared" si="24"/>
        <v>0</v>
      </c>
      <c r="Q816" s="140">
        <v>11</v>
      </c>
    </row>
    <row r="817" spans="12:17" x14ac:dyDescent="0.35">
      <c r="L817" s="140">
        <v>815</v>
      </c>
      <c r="M817" s="140">
        <v>0</v>
      </c>
      <c r="O817" s="140">
        <f t="shared" si="24"/>
        <v>0</v>
      </c>
      <c r="Q817" s="140">
        <v>15</v>
      </c>
    </row>
    <row r="818" spans="12:17" x14ac:dyDescent="0.35">
      <c r="L818" s="140">
        <v>816</v>
      </c>
      <c r="M818" s="140">
        <v>0</v>
      </c>
      <c r="O818" s="140">
        <f t="shared" si="24"/>
        <v>0</v>
      </c>
      <c r="Q818" s="140">
        <v>16</v>
      </c>
    </row>
    <row r="819" spans="12:17" x14ac:dyDescent="0.35">
      <c r="L819" s="140">
        <v>817</v>
      </c>
      <c r="M819" s="140">
        <v>0</v>
      </c>
      <c r="O819" s="140">
        <f t="shared" si="24"/>
        <v>0</v>
      </c>
      <c r="Q819" s="140">
        <v>12</v>
      </c>
    </row>
    <row r="820" spans="12:17" x14ac:dyDescent="0.35">
      <c r="L820" s="140">
        <v>818</v>
      </c>
      <c r="M820" s="140">
        <v>0</v>
      </c>
      <c r="O820" s="140">
        <f t="shared" si="24"/>
        <v>0</v>
      </c>
      <c r="Q820" s="140">
        <v>9</v>
      </c>
    </row>
    <row r="821" spans="12:17" x14ac:dyDescent="0.35">
      <c r="L821" s="140">
        <v>819</v>
      </c>
      <c r="M821" s="140">
        <v>0</v>
      </c>
      <c r="O821" s="140">
        <f t="shared" si="24"/>
        <v>0</v>
      </c>
      <c r="Q821" s="140">
        <v>4</v>
      </c>
    </row>
    <row r="822" spans="12:17" x14ac:dyDescent="0.35">
      <c r="L822" s="140">
        <v>820</v>
      </c>
      <c r="M822" s="140">
        <v>0</v>
      </c>
      <c r="O822" s="140">
        <f t="shared" si="24"/>
        <v>0</v>
      </c>
      <c r="Q822" s="140">
        <v>7</v>
      </c>
    </row>
    <row r="823" spans="12:17" x14ac:dyDescent="0.35">
      <c r="L823" s="140">
        <v>821</v>
      </c>
      <c r="M823" s="140">
        <v>0</v>
      </c>
      <c r="O823" s="140">
        <f t="shared" si="24"/>
        <v>0</v>
      </c>
      <c r="Q823" s="140">
        <v>9</v>
      </c>
    </row>
    <row r="824" spans="12:17" x14ac:dyDescent="0.35">
      <c r="L824" s="140">
        <v>822</v>
      </c>
      <c r="M824" s="140">
        <v>0</v>
      </c>
      <c r="O824" s="140">
        <f t="shared" si="24"/>
        <v>0</v>
      </c>
      <c r="Q824" s="140">
        <v>9</v>
      </c>
    </row>
    <row r="825" spans="12:17" x14ac:dyDescent="0.35">
      <c r="L825" s="140">
        <v>823</v>
      </c>
      <c r="M825" s="140">
        <v>0</v>
      </c>
      <c r="O825" s="140">
        <f t="shared" si="24"/>
        <v>0</v>
      </c>
      <c r="Q825" s="140">
        <v>5</v>
      </c>
    </row>
    <row r="826" spans="12:17" x14ac:dyDescent="0.35">
      <c r="L826" s="140">
        <v>824</v>
      </c>
      <c r="M826" s="140">
        <v>0</v>
      </c>
      <c r="O826" s="140">
        <f t="shared" si="24"/>
        <v>0</v>
      </c>
      <c r="Q826" s="140">
        <v>12</v>
      </c>
    </row>
    <row r="827" spans="12:17" x14ac:dyDescent="0.35">
      <c r="L827" s="140">
        <v>825</v>
      </c>
      <c r="M827" s="140">
        <v>0</v>
      </c>
      <c r="O827" s="140">
        <f t="shared" si="24"/>
        <v>0</v>
      </c>
      <c r="Q827" s="140">
        <v>17</v>
      </c>
    </row>
    <row r="828" spans="12:17" x14ac:dyDescent="0.35">
      <c r="L828" s="140">
        <v>826</v>
      </c>
      <c r="M828" s="140">
        <v>0</v>
      </c>
      <c r="O828" s="140">
        <f t="shared" si="24"/>
        <v>0</v>
      </c>
      <c r="Q828" s="140">
        <v>17</v>
      </c>
    </row>
    <row r="829" spans="12:17" x14ac:dyDescent="0.35">
      <c r="L829" s="140">
        <v>827</v>
      </c>
      <c r="M829" s="140">
        <v>0</v>
      </c>
      <c r="O829" s="140">
        <f t="shared" si="24"/>
        <v>0</v>
      </c>
      <c r="Q829" s="140">
        <v>10</v>
      </c>
    </row>
    <row r="830" spans="12:17" x14ac:dyDescent="0.35">
      <c r="L830" s="140">
        <v>828</v>
      </c>
      <c r="M830" s="140">
        <v>0</v>
      </c>
      <c r="O830" s="140">
        <f t="shared" si="24"/>
        <v>0</v>
      </c>
      <c r="Q830" s="140">
        <v>13</v>
      </c>
    </row>
    <row r="831" spans="12:17" x14ac:dyDescent="0.35">
      <c r="L831" s="140">
        <v>829</v>
      </c>
      <c r="M831" s="140">
        <v>0</v>
      </c>
      <c r="O831" s="140">
        <f t="shared" si="24"/>
        <v>0</v>
      </c>
      <c r="Q831" s="140">
        <v>13</v>
      </c>
    </row>
    <row r="832" spans="12:17" x14ac:dyDescent="0.35">
      <c r="L832" s="140">
        <v>830</v>
      </c>
      <c r="M832" s="140">
        <v>0</v>
      </c>
      <c r="O832" s="140">
        <f t="shared" si="24"/>
        <v>0</v>
      </c>
      <c r="Q832" s="140">
        <v>13</v>
      </c>
    </row>
    <row r="833" spans="12:17" x14ac:dyDescent="0.35">
      <c r="L833" s="140">
        <v>831</v>
      </c>
      <c r="M833" s="140">
        <v>0</v>
      </c>
      <c r="O833" s="140">
        <f t="shared" si="24"/>
        <v>0</v>
      </c>
      <c r="Q833" s="140">
        <v>12</v>
      </c>
    </row>
    <row r="834" spans="12:17" x14ac:dyDescent="0.35">
      <c r="L834" s="140">
        <v>832</v>
      </c>
      <c r="M834" s="140">
        <v>1</v>
      </c>
      <c r="O834" s="140">
        <f t="shared" si="24"/>
        <v>0</v>
      </c>
      <c r="Q834" s="140">
        <v>16</v>
      </c>
    </row>
    <row r="835" spans="12:17" x14ac:dyDescent="0.35">
      <c r="L835" s="140">
        <v>833</v>
      </c>
      <c r="M835" s="140">
        <v>0</v>
      </c>
      <c r="O835" s="140">
        <f t="shared" si="24"/>
        <v>0</v>
      </c>
      <c r="Q835" s="140">
        <v>13</v>
      </c>
    </row>
    <row r="836" spans="12:17" x14ac:dyDescent="0.35">
      <c r="L836" s="140">
        <v>834</v>
      </c>
      <c r="M836" s="140">
        <v>0</v>
      </c>
      <c r="O836" s="140">
        <f t="shared" si="24"/>
        <v>0</v>
      </c>
      <c r="Q836" s="140">
        <v>18</v>
      </c>
    </row>
    <row r="837" spans="12:17" x14ac:dyDescent="0.35">
      <c r="L837" s="140">
        <v>835</v>
      </c>
      <c r="M837" s="140">
        <v>0</v>
      </c>
      <c r="O837" s="140">
        <f t="shared" si="24"/>
        <v>0</v>
      </c>
      <c r="Q837" s="140">
        <v>18</v>
      </c>
    </row>
    <row r="838" spans="12:17" x14ac:dyDescent="0.35">
      <c r="L838" s="140">
        <v>836</v>
      </c>
      <c r="M838" s="140">
        <v>0</v>
      </c>
      <c r="O838" s="140">
        <f t="shared" si="24"/>
        <v>0</v>
      </c>
      <c r="Q838" s="140">
        <v>16</v>
      </c>
    </row>
    <row r="839" spans="12:17" x14ac:dyDescent="0.35">
      <c r="L839" s="140">
        <v>837</v>
      </c>
      <c r="M839" s="140">
        <v>0</v>
      </c>
      <c r="O839" s="140">
        <f t="shared" si="24"/>
        <v>0</v>
      </c>
      <c r="Q839" s="140">
        <v>8</v>
      </c>
    </row>
    <row r="840" spans="12:17" x14ac:dyDescent="0.35">
      <c r="L840" s="140">
        <v>838</v>
      </c>
      <c r="M840" s="140">
        <v>0</v>
      </c>
      <c r="O840" s="140">
        <f t="shared" si="24"/>
        <v>0</v>
      </c>
      <c r="Q840" s="140">
        <v>17</v>
      </c>
    </row>
    <row r="841" spans="12:17" x14ac:dyDescent="0.35">
      <c r="L841" s="140">
        <v>839</v>
      </c>
      <c r="M841" s="140">
        <v>0</v>
      </c>
      <c r="O841" s="140">
        <f t="shared" si="24"/>
        <v>0</v>
      </c>
      <c r="Q841" s="140">
        <v>9</v>
      </c>
    </row>
    <row r="842" spans="12:17" x14ac:dyDescent="0.35">
      <c r="L842" s="140">
        <v>840</v>
      </c>
      <c r="M842" s="140">
        <v>0</v>
      </c>
      <c r="O842" s="140">
        <f t="shared" si="24"/>
        <v>0</v>
      </c>
      <c r="Q842" s="140">
        <v>10</v>
      </c>
    </row>
    <row r="843" spans="12:17" x14ac:dyDescent="0.35">
      <c r="L843" s="140">
        <v>841</v>
      </c>
      <c r="M843" s="140">
        <v>0</v>
      </c>
      <c r="O843" s="140">
        <f t="shared" si="24"/>
        <v>0</v>
      </c>
      <c r="Q843" s="140">
        <v>14</v>
      </c>
    </row>
    <row r="844" spans="12:17" x14ac:dyDescent="0.35">
      <c r="L844" s="140">
        <v>842</v>
      </c>
      <c r="M844" s="140">
        <v>1</v>
      </c>
      <c r="O844" s="140">
        <f t="shared" si="24"/>
        <v>0</v>
      </c>
      <c r="Q844" s="140">
        <v>17</v>
      </c>
    </row>
    <row r="845" spans="12:17" x14ac:dyDescent="0.35">
      <c r="L845" s="140">
        <v>843</v>
      </c>
      <c r="M845" s="140">
        <v>0</v>
      </c>
      <c r="O845" s="140">
        <f t="shared" si="24"/>
        <v>0</v>
      </c>
      <c r="Q845" s="140">
        <v>9</v>
      </c>
    </row>
    <row r="846" spans="12:17" x14ac:dyDescent="0.35">
      <c r="L846" s="140">
        <v>844</v>
      </c>
      <c r="M846" s="140">
        <v>0</v>
      </c>
      <c r="O846" s="140">
        <f t="shared" si="24"/>
        <v>0</v>
      </c>
      <c r="Q846" s="140">
        <v>9</v>
      </c>
    </row>
    <row r="847" spans="12:17" x14ac:dyDescent="0.35">
      <c r="L847" s="140">
        <v>845</v>
      </c>
      <c r="M847" s="140">
        <v>0</v>
      </c>
      <c r="O847" s="140">
        <f t="shared" si="24"/>
        <v>0</v>
      </c>
      <c r="Q847" s="140">
        <v>13</v>
      </c>
    </row>
    <row r="848" spans="12:17" x14ac:dyDescent="0.35">
      <c r="L848" s="140">
        <v>846</v>
      </c>
      <c r="M848" s="140">
        <v>0</v>
      </c>
      <c r="O848" s="140">
        <f t="shared" si="24"/>
        <v>0</v>
      </c>
      <c r="Q848" s="140">
        <v>13</v>
      </c>
    </row>
    <row r="849" spans="12:17" x14ac:dyDescent="0.35">
      <c r="L849" s="140">
        <v>847</v>
      </c>
      <c r="M849" s="140">
        <v>0</v>
      </c>
      <c r="O849" s="140">
        <f t="shared" si="24"/>
        <v>0</v>
      </c>
      <c r="Q849" s="140">
        <v>16</v>
      </c>
    </row>
    <row r="850" spans="12:17" x14ac:dyDescent="0.35">
      <c r="L850" s="140">
        <v>848</v>
      </c>
      <c r="M850" s="140">
        <v>0</v>
      </c>
      <c r="O850" s="140">
        <f t="shared" si="24"/>
        <v>0</v>
      </c>
      <c r="Q850" s="140">
        <v>19</v>
      </c>
    </row>
    <row r="851" spans="12:17" x14ac:dyDescent="0.35">
      <c r="L851" s="140">
        <v>849</v>
      </c>
      <c r="M851" s="140">
        <v>0</v>
      </c>
      <c r="O851" s="140">
        <f t="shared" si="24"/>
        <v>0</v>
      </c>
      <c r="Q851" s="140">
        <v>16</v>
      </c>
    </row>
    <row r="852" spans="12:17" x14ac:dyDescent="0.35">
      <c r="L852" s="140">
        <v>850</v>
      </c>
      <c r="M852" s="140">
        <v>0</v>
      </c>
      <c r="O852" s="140">
        <f t="shared" si="24"/>
        <v>0</v>
      </c>
      <c r="Q852" s="140">
        <v>12</v>
      </c>
    </row>
    <row r="853" spans="12:17" x14ac:dyDescent="0.35">
      <c r="L853" s="140">
        <v>851</v>
      </c>
      <c r="M853" s="140">
        <v>0</v>
      </c>
      <c r="O853" s="140">
        <f t="shared" si="24"/>
        <v>0</v>
      </c>
      <c r="Q853" s="140">
        <v>14</v>
      </c>
    </row>
    <row r="854" spans="12:17" x14ac:dyDescent="0.35">
      <c r="L854" s="140">
        <v>852</v>
      </c>
      <c r="M854" s="140">
        <v>0</v>
      </c>
      <c r="O854" s="140">
        <f t="shared" si="24"/>
        <v>0</v>
      </c>
      <c r="Q854" s="140">
        <v>11</v>
      </c>
    </row>
    <row r="855" spans="12:17" x14ac:dyDescent="0.35">
      <c r="L855" s="140">
        <v>853</v>
      </c>
      <c r="M855" s="140">
        <v>0</v>
      </c>
      <c r="O855" s="140">
        <f t="shared" si="24"/>
        <v>0</v>
      </c>
      <c r="Q855" s="140">
        <v>10</v>
      </c>
    </row>
    <row r="856" spans="12:17" x14ac:dyDescent="0.35">
      <c r="L856" s="140">
        <v>854</v>
      </c>
      <c r="M856" s="140">
        <v>0</v>
      </c>
      <c r="O856" s="140">
        <f t="shared" si="24"/>
        <v>0</v>
      </c>
      <c r="Q856" s="140">
        <v>18</v>
      </c>
    </row>
    <row r="857" spans="12:17" x14ac:dyDescent="0.35">
      <c r="L857" s="140">
        <v>855</v>
      </c>
      <c r="M857" s="140">
        <v>0</v>
      </c>
      <c r="O857" s="140">
        <f t="shared" si="24"/>
        <v>0</v>
      </c>
      <c r="Q857" s="140">
        <v>14</v>
      </c>
    </row>
    <row r="858" spans="12:17" x14ac:dyDescent="0.35">
      <c r="L858" s="140">
        <v>856</v>
      </c>
      <c r="M858" s="140">
        <v>0</v>
      </c>
      <c r="O858" s="140">
        <f t="shared" si="24"/>
        <v>0</v>
      </c>
      <c r="Q858" s="140">
        <v>10</v>
      </c>
    </row>
    <row r="859" spans="12:17" x14ac:dyDescent="0.35">
      <c r="L859" s="140">
        <v>857</v>
      </c>
      <c r="M859" s="140">
        <v>0</v>
      </c>
      <c r="O859" s="140">
        <f t="shared" si="24"/>
        <v>0</v>
      </c>
      <c r="Q859" s="140">
        <v>10</v>
      </c>
    </row>
    <row r="860" spans="12:17" x14ac:dyDescent="0.35">
      <c r="L860" s="140">
        <v>858</v>
      </c>
      <c r="M860" s="140">
        <v>1</v>
      </c>
      <c r="O860" s="140">
        <f t="shared" si="24"/>
        <v>0</v>
      </c>
      <c r="Q860" s="140">
        <v>10</v>
      </c>
    </row>
    <row r="861" spans="12:17" x14ac:dyDescent="0.35">
      <c r="L861" s="140">
        <v>859</v>
      </c>
      <c r="M861" s="140">
        <v>0</v>
      </c>
      <c r="O861" s="140">
        <f t="shared" si="24"/>
        <v>0</v>
      </c>
      <c r="Q861" s="140">
        <v>16</v>
      </c>
    </row>
    <row r="862" spans="12:17" x14ac:dyDescent="0.35">
      <c r="L862" s="140">
        <v>860</v>
      </c>
      <c r="M862" s="140">
        <v>0</v>
      </c>
      <c r="O862" s="140">
        <f t="shared" si="24"/>
        <v>0</v>
      </c>
      <c r="Q862" s="140">
        <v>11</v>
      </c>
    </row>
    <row r="863" spans="12:17" x14ac:dyDescent="0.35">
      <c r="L863" s="140">
        <v>861</v>
      </c>
      <c r="M863" s="140">
        <v>0</v>
      </c>
      <c r="O863" s="140">
        <f t="shared" si="24"/>
        <v>0</v>
      </c>
      <c r="Q863" s="140">
        <v>12</v>
      </c>
    </row>
    <row r="864" spans="12:17" x14ac:dyDescent="0.35">
      <c r="L864" s="140">
        <v>862</v>
      </c>
      <c r="M864" s="140">
        <v>0</v>
      </c>
      <c r="O864" s="140">
        <f t="shared" si="24"/>
        <v>0</v>
      </c>
      <c r="Q864" s="140">
        <v>16</v>
      </c>
    </row>
    <row r="865" spans="12:17" x14ac:dyDescent="0.35">
      <c r="L865" s="140">
        <v>863</v>
      </c>
      <c r="M865" s="140">
        <v>0</v>
      </c>
      <c r="O865" s="140">
        <f t="shared" si="24"/>
        <v>0</v>
      </c>
      <c r="Q865" s="140">
        <v>14</v>
      </c>
    </row>
    <row r="866" spans="12:17" x14ac:dyDescent="0.35">
      <c r="L866" s="140">
        <v>864</v>
      </c>
      <c r="M866" s="140">
        <v>0</v>
      </c>
      <c r="O866" s="140">
        <f t="shared" si="24"/>
        <v>0</v>
      </c>
      <c r="Q866" s="140">
        <v>14</v>
      </c>
    </row>
    <row r="867" spans="12:17" x14ac:dyDescent="0.35">
      <c r="L867" s="140">
        <v>865</v>
      </c>
      <c r="M867" s="140">
        <v>0</v>
      </c>
      <c r="O867" s="140">
        <f t="shared" si="24"/>
        <v>0</v>
      </c>
      <c r="Q867" s="140">
        <v>14</v>
      </c>
    </row>
    <row r="868" spans="12:17" x14ac:dyDescent="0.35">
      <c r="L868" s="140">
        <v>866</v>
      </c>
      <c r="M868" s="140">
        <v>0</v>
      </c>
      <c r="O868" s="140">
        <f t="shared" si="24"/>
        <v>0</v>
      </c>
      <c r="Q868" s="140">
        <v>12</v>
      </c>
    </row>
    <row r="869" spans="12:17" x14ac:dyDescent="0.35">
      <c r="L869" s="140">
        <v>867</v>
      </c>
      <c r="M869" s="140">
        <v>1</v>
      </c>
      <c r="O869" s="140">
        <f t="shared" si="24"/>
        <v>0</v>
      </c>
      <c r="Q869" s="140">
        <v>21</v>
      </c>
    </row>
    <row r="870" spans="12:17" x14ac:dyDescent="0.35">
      <c r="L870" s="140">
        <v>868</v>
      </c>
      <c r="M870" s="140">
        <v>0</v>
      </c>
      <c r="O870" s="140">
        <f t="shared" si="24"/>
        <v>0</v>
      </c>
      <c r="Q870" s="140">
        <v>12</v>
      </c>
    </row>
    <row r="871" spans="12:17" x14ac:dyDescent="0.35">
      <c r="L871" s="140">
        <v>869</v>
      </c>
      <c r="M871" s="140">
        <v>0</v>
      </c>
      <c r="O871" s="140">
        <f t="shared" si="24"/>
        <v>0</v>
      </c>
      <c r="Q871" s="140">
        <v>11</v>
      </c>
    </row>
    <row r="872" spans="12:17" x14ac:dyDescent="0.35">
      <c r="L872" s="140">
        <v>870</v>
      </c>
      <c r="M872" s="140">
        <v>0</v>
      </c>
      <c r="O872" s="140">
        <f t="shared" si="24"/>
        <v>0</v>
      </c>
      <c r="Q872" s="140">
        <v>10</v>
      </c>
    </row>
    <row r="873" spans="12:17" x14ac:dyDescent="0.35">
      <c r="L873" s="140">
        <v>871</v>
      </c>
      <c r="M873" s="140">
        <v>0</v>
      </c>
      <c r="O873" s="140">
        <f t="shared" si="24"/>
        <v>0</v>
      </c>
      <c r="Q873" s="140">
        <v>11</v>
      </c>
    </row>
    <row r="874" spans="12:17" x14ac:dyDescent="0.35">
      <c r="L874" s="140">
        <v>872</v>
      </c>
      <c r="M874" s="140">
        <v>1</v>
      </c>
      <c r="O874" s="140">
        <f t="shared" si="24"/>
        <v>0</v>
      </c>
      <c r="Q874" s="140">
        <v>14</v>
      </c>
    </row>
    <row r="875" spans="12:17" x14ac:dyDescent="0.35">
      <c r="L875" s="140">
        <v>873</v>
      </c>
      <c r="M875" s="140">
        <v>0</v>
      </c>
      <c r="O875" s="140">
        <f t="shared" si="24"/>
        <v>0</v>
      </c>
      <c r="Q875" s="140">
        <v>12</v>
      </c>
    </row>
    <row r="876" spans="12:17" x14ac:dyDescent="0.35">
      <c r="L876" s="140">
        <v>874</v>
      </c>
      <c r="M876" s="140">
        <v>1</v>
      </c>
      <c r="O876" s="140">
        <f t="shared" si="24"/>
        <v>0</v>
      </c>
      <c r="Q876" s="140">
        <v>16</v>
      </c>
    </row>
    <row r="877" spans="12:17" x14ac:dyDescent="0.35">
      <c r="L877" s="140">
        <v>875</v>
      </c>
      <c r="M877" s="140">
        <v>0</v>
      </c>
      <c r="O877" s="140">
        <f t="shared" si="24"/>
        <v>0</v>
      </c>
      <c r="Q877" s="140">
        <v>13</v>
      </c>
    </row>
    <row r="878" spans="12:17" x14ac:dyDescent="0.35">
      <c r="L878" s="140">
        <v>876</v>
      </c>
      <c r="M878" s="140">
        <v>0</v>
      </c>
      <c r="O878" s="140">
        <f t="shared" ref="O878:O941" si="25">MAX(N878:N1876)</f>
        <v>0</v>
      </c>
      <c r="Q878" s="140">
        <v>13</v>
      </c>
    </row>
    <row r="879" spans="12:17" x14ac:dyDescent="0.35">
      <c r="L879" s="140">
        <v>877</v>
      </c>
      <c r="M879" s="140">
        <v>0</v>
      </c>
      <c r="O879" s="140">
        <f t="shared" si="25"/>
        <v>0</v>
      </c>
      <c r="Q879" s="140">
        <v>19</v>
      </c>
    </row>
    <row r="880" spans="12:17" x14ac:dyDescent="0.35">
      <c r="L880" s="140">
        <v>878</v>
      </c>
      <c r="M880" s="140">
        <v>0</v>
      </c>
      <c r="O880" s="140">
        <f t="shared" si="25"/>
        <v>0</v>
      </c>
      <c r="Q880" s="140">
        <v>17</v>
      </c>
    </row>
    <row r="881" spans="12:17" x14ac:dyDescent="0.35">
      <c r="L881" s="140">
        <v>879</v>
      </c>
      <c r="M881" s="140">
        <v>0</v>
      </c>
      <c r="O881" s="140">
        <f t="shared" si="25"/>
        <v>0</v>
      </c>
      <c r="Q881" s="140">
        <v>10</v>
      </c>
    </row>
    <row r="882" spans="12:17" x14ac:dyDescent="0.35">
      <c r="L882" s="140">
        <v>880</v>
      </c>
      <c r="M882" s="140">
        <v>0</v>
      </c>
      <c r="O882" s="140">
        <f t="shared" si="25"/>
        <v>0</v>
      </c>
      <c r="Q882" s="140">
        <v>13</v>
      </c>
    </row>
    <row r="883" spans="12:17" x14ac:dyDescent="0.35">
      <c r="L883" s="140">
        <v>881</v>
      </c>
      <c r="M883" s="140">
        <v>0</v>
      </c>
      <c r="O883" s="140">
        <f t="shared" si="25"/>
        <v>0</v>
      </c>
      <c r="Q883" s="140">
        <v>19</v>
      </c>
    </row>
    <row r="884" spans="12:17" x14ac:dyDescent="0.35">
      <c r="L884" s="140">
        <v>882</v>
      </c>
      <c r="M884" s="140">
        <v>0</v>
      </c>
      <c r="O884" s="140">
        <f t="shared" si="25"/>
        <v>0</v>
      </c>
      <c r="Q884" s="140">
        <v>16</v>
      </c>
    </row>
    <row r="885" spans="12:17" x14ac:dyDescent="0.35">
      <c r="L885" s="140">
        <v>883</v>
      </c>
      <c r="M885" s="140">
        <v>0</v>
      </c>
      <c r="O885" s="140">
        <f t="shared" si="25"/>
        <v>0</v>
      </c>
      <c r="Q885" s="140">
        <v>17</v>
      </c>
    </row>
    <row r="886" spans="12:17" x14ac:dyDescent="0.35">
      <c r="L886" s="140">
        <v>884</v>
      </c>
      <c r="M886" s="140">
        <v>0</v>
      </c>
      <c r="O886" s="140">
        <f t="shared" si="25"/>
        <v>0</v>
      </c>
      <c r="Q886" s="140">
        <v>9</v>
      </c>
    </row>
    <row r="887" spans="12:17" x14ac:dyDescent="0.35">
      <c r="L887" s="140">
        <v>885</v>
      </c>
      <c r="M887" s="140">
        <v>0</v>
      </c>
      <c r="O887" s="140">
        <f t="shared" si="25"/>
        <v>0</v>
      </c>
      <c r="Q887" s="140">
        <v>14</v>
      </c>
    </row>
    <row r="888" spans="12:17" x14ac:dyDescent="0.35">
      <c r="L888" s="140">
        <v>886</v>
      </c>
      <c r="M888" s="140">
        <v>0</v>
      </c>
      <c r="O888" s="140">
        <f t="shared" si="25"/>
        <v>0</v>
      </c>
      <c r="Q888" s="140">
        <v>16</v>
      </c>
    </row>
    <row r="889" spans="12:17" x14ac:dyDescent="0.35">
      <c r="L889" s="140">
        <v>887</v>
      </c>
      <c r="M889" s="140">
        <v>0</v>
      </c>
      <c r="O889" s="140">
        <f t="shared" si="25"/>
        <v>0</v>
      </c>
      <c r="Q889" s="140">
        <v>19</v>
      </c>
    </row>
    <row r="890" spans="12:17" x14ac:dyDescent="0.35">
      <c r="L890" s="140">
        <v>888</v>
      </c>
      <c r="M890" s="140">
        <v>0</v>
      </c>
      <c r="O890" s="140">
        <f t="shared" si="25"/>
        <v>0</v>
      </c>
      <c r="Q890" s="140">
        <v>14</v>
      </c>
    </row>
    <row r="891" spans="12:17" x14ac:dyDescent="0.35">
      <c r="L891" s="140">
        <v>889</v>
      </c>
      <c r="M891" s="140">
        <v>0</v>
      </c>
      <c r="O891" s="140">
        <f t="shared" si="25"/>
        <v>0</v>
      </c>
      <c r="Q891" s="140">
        <v>16</v>
      </c>
    </row>
    <row r="892" spans="12:17" x14ac:dyDescent="0.35">
      <c r="L892" s="140">
        <v>890</v>
      </c>
      <c r="M892" s="140">
        <v>1</v>
      </c>
      <c r="O892" s="140">
        <f t="shared" si="25"/>
        <v>0</v>
      </c>
      <c r="Q892" s="140">
        <v>9</v>
      </c>
    </row>
    <row r="893" spans="12:17" x14ac:dyDescent="0.35">
      <c r="L893" s="140">
        <v>891</v>
      </c>
      <c r="M893" s="140">
        <v>0</v>
      </c>
      <c r="O893" s="140">
        <f t="shared" si="25"/>
        <v>0</v>
      </c>
      <c r="Q893" s="140">
        <v>12</v>
      </c>
    </row>
    <row r="894" spans="12:17" x14ac:dyDescent="0.35">
      <c r="L894" s="140">
        <v>892</v>
      </c>
      <c r="M894" s="140">
        <v>0</v>
      </c>
      <c r="O894" s="140">
        <f t="shared" si="25"/>
        <v>0</v>
      </c>
      <c r="Q894" s="140">
        <v>13</v>
      </c>
    </row>
    <row r="895" spans="12:17" x14ac:dyDescent="0.35">
      <c r="L895" s="140">
        <v>893</v>
      </c>
      <c r="M895" s="140">
        <v>0</v>
      </c>
      <c r="O895" s="140">
        <f t="shared" si="25"/>
        <v>0</v>
      </c>
      <c r="Q895" s="140">
        <v>21</v>
      </c>
    </row>
    <row r="896" spans="12:17" x14ac:dyDescent="0.35">
      <c r="L896" s="140">
        <v>894</v>
      </c>
      <c r="M896" s="140">
        <v>0</v>
      </c>
      <c r="O896" s="140">
        <f t="shared" si="25"/>
        <v>0</v>
      </c>
      <c r="Q896" s="140">
        <v>11</v>
      </c>
    </row>
    <row r="897" spans="12:17" x14ac:dyDescent="0.35">
      <c r="L897" s="140">
        <v>895</v>
      </c>
      <c r="M897" s="140">
        <v>0</v>
      </c>
      <c r="O897" s="140">
        <f t="shared" si="25"/>
        <v>0</v>
      </c>
      <c r="Q897" s="140">
        <v>13</v>
      </c>
    </row>
    <row r="898" spans="12:17" x14ac:dyDescent="0.35">
      <c r="L898" s="140">
        <v>896</v>
      </c>
      <c r="M898" s="140">
        <v>0</v>
      </c>
      <c r="O898" s="140">
        <f t="shared" si="25"/>
        <v>0</v>
      </c>
      <c r="Q898" s="140">
        <v>15</v>
      </c>
    </row>
    <row r="899" spans="12:17" x14ac:dyDescent="0.35">
      <c r="L899" s="140">
        <v>897</v>
      </c>
      <c r="M899" s="140">
        <v>0</v>
      </c>
      <c r="O899" s="140">
        <f t="shared" si="25"/>
        <v>0</v>
      </c>
      <c r="Q899" s="140">
        <v>12</v>
      </c>
    </row>
    <row r="900" spans="12:17" x14ac:dyDescent="0.35">
      <c r="L900" s="140">
        <v>898</v>
      </c>
      <c r="M900" s="140">
        <v>0</v>
      </c>
      <c r="O900" s="140">
        <f t="shared" si="25"/>
        <v>0</v>
      </c>
      <c r="Q900" s="140">
        <v>11</v>
      </c>
    </row>
    <row r="901" spans="12:17" x14ac:dyDescent="0.35">
      <c r="L901" s="140">
        <v>899</v>
      </c>
      <c r="M901" s="140">
        <v>0</v>
      </c>
      <c r="O901" s="140">
        <f t="shared" si="25"/>
        <v>0</v>
      </c>
      <c r="Q901" s="140">
        <v>16</v>
      </c>
    </row>
    <row r="902" spans="12:17" x14ac:dyDescent="0.35">
      <c r="L902" s="140">
        <v>900</v>
      </c>
      <c r="M902" s="140">
        <v>0</v>
      </c>
      <c r="O902" s="140">
        <f t="shared" si="25"/>
        <v>0</v>
      </c>
      <c r="Q902" s="140">
        <v>13</v>
      </c>
    </row>
    <row r="903" spans="12:17" x14ac:dyDescent="0.35">
      <c r="L903" s="140">
        <v>901</v>
      </c>
      <c r="M903" s="140">
        <v>0</v>
      </c>
      <c r="O903" s="140">
        <f t="shared" si="25"/>
        <v>0</v>
      </c>
      <c r="Q903" s="140">
        <v>15</v>
      </c>
    </row>
    <row r="904" spans="12:17" x14ac:dyDescent="0.35">
      <c r="L904" s="140">
        <v>902</v>
      </c>
      <c r="M904" s="140">
        <v>0</v>
      </c>
      <c r="O904" s="140">
        <f t="shared" si="25"/>
        <v>0</v>
      </c>
      <c r="Q904" s="140">
        <v>13</v>
      </c>
    </row>
    <row r="905" spans="12:17" x14ac:dyDescent="0.35">
      <c r="L905" s="140">
        <v>903</v>
      </c>
      <c r="M905" s="140">
        <v>0</v>
      </c>
      <c r="O905" s="140">
        <f t="shared" si="25"/>
        <v>0</v>
      </c>
      <c r="Q905" s="140">
        <v>17</v>
      </c>
    </row>
    <row r="906" spans="12:17" x14ac:dyDescent="0.35">
      <c r="L906" s="140">
        <v>904</v>
      </c>
      <c r="M906" s="140">
        <v>0</v>
      </c>
      <c r="O906" s="140">
        <f t="shared" si="25"/>
        <v>0</v>
      </c>
      <c r="Q906" s="140">
        <v>16</v>
      </c>
    </row>
    <row r="907" spans="12:17" x14ac:dyDescent="0.35">
      <c r="L907" s="140">
        <v>905</v>
      </c>
      <c r="M907" s="140">
        <v>0</v>
      </c>
      <c r="O907" s="140">
        <f t="shared" si="25"/>
        <v>0</v>
      </c>
      <c r="Q907" s="140">
        <v>20</v>
      </c>
    </row>
    <row r="908" spans="12:17" x14ac:dyDescent="0.35">
      <c r="L908" s="140">
        <v>906</v>
      </c>
      <c r="M908" s="140">
        <v>0</v>
      </c>
      <c r="O908" s="140">
        <f t="shared" si="25"/>
        <v>0</v>
      </c>
      <c r="Q908" s="140">
        <v>18</v>
      </c>
    </row>
    <row r="909" spans="12:17" x14ac:dyDescent="0.35">
      <c r="L909" s="140">
        <v>907</v>
      </c>
      <c r="M909" s="140">
        <v>0</v>
      </c>
      <c r="O909" s="140">
        <f t="shared" si="25"/>
        <v>0</v>
      </c>
      <c r="Q909" s="140">
        <v>8</v>
      </c>
    </row>
    <row r="910" spans="12:17" x14ac:dyDescent="0.35">
      <c r="L910" s="140">
        <v>908</v>
      </c>
      <c r="M910" s="140">
        <v>0</v>
      </c>
      <c r="O910" s="140">
        <f t="shared" si="25"/>
        <v>0</v>
      </c>
      <c r="Q910" s="140">
        <v>11</v>
      </c>
    </row>
    <row r="911" spans="12:17" x14ac:dyDescent="0.35">
      <c r="L911" s="140">
        <v>909</v>
      </c>
      <c r="M911" s="140">
        <v>0</v>
      </c>
      <c r="O911" s="140">
        <f t="shared" si="25"/>
        <v>0</v>
      </c>
      <c r="Q911" s="140">
        <v>15</v>
      </c>
    </row>
    <row r="912" spans="12:17" x14ac:dyDescent="0.35">
      <c r="L912" s="140">
        <v>910</v>
      </c>
      <c r="M912" s="140">
        <v>0</v>
      </c>
      <c r="O912" s="140">
        <f t="shared" si="25"/>
        <v>0</v>
      </c>
      <c r="Q912" s="140">
        <v>16</v>
      </c>
    </row>
    <row r="913" spans="12:17" x14ac:dyDescent="0.35">
      <c r="L913" s="140">
        <v>911</v>
      </c>
      <c r="M913" s="140">
        <v>0</v>
      </c>
      <c r="O913" s="140">
        <f t="shared" si="25"/>
        <v>0</v>
      </c>
      <c r="Q913" s="140">
        <v>21</v>
      </c>
    </row>
    <row r="914" spans="12:17" x14ac:dyDescent="0.35">
      <c r="L914" s="140">
        <v>912</v>
      </c>
      <c r="M914" s="140">
        <v>1</v>
      </c>
      <c r="O914" s="140">
        <f t="shared" si="25"/>
        <v>0</v>
      </c>
      <c r="Q914" s="140">
        <v>16</v>
      </c>
    </row>
    <row r="915" spans="12:17" x14ac:dyDescent="0.35">
      <c r="L915" s="140">
        <v>913</v>
      </c>
      <c r="M915" s="140">
        <v>0</v>
      </c>
      <c r="O915" s="140">
        <f t="shared" si="25"/>
        <v>0</v>
      </c>
      <c r="Q915" s="140">
        <v>17</v>
      </c>
    </row>
    <row r="916" spans="12:17" x14ac:dyDescent="0.35">
      <c r="L916" s="140">
        <v>914</v>
      </c>
      <c r="M916" s="140">
        <v>0</v>
      </c>
      <c r="O916" s="140">
        <f t="shared" si="25"/>
        <v>0</v>
      </c>
      <c r="Q916" s="140">
        <v>16</v>
      </c>
    </row>
    <row r="917" spans="12:17" x14ac:dyDescent="0.35">
      <c r="L917" s="140">
        <v>915</v>
      </c>
      <c r="M917" s="140">
        <v>0</v>
      </c>
      <c r="O917" s="140">
        <f t="shared" si="25"/>
        <v>0</v>
      </c>
      <c r="Q917" s="140">
        <v>14</v>
      </c>
    </row>
    <row r="918" spans="12:17" x14ac:dyDescent="0.35">
      <c r="L918" s="140">
        <v>916</v>
      </c>
      <c r="M918" s="140">
        <v>0</v>
      </c>
      <c r="O918" s="140">
        <f t="shared" si="25"/>
        <v>0</v>
      </c>
      <c r="Q918" s="140">
        <v>11</v>
      </c>
    </row>
    <row r="919" spans="12:17" x14ac:dyDescent="0.35">
      <c r="L919" s="140">
        <v>917</v>
      </c>
      <c r="M919" s="140">
        <v>0</v>
      </c>
      <c r="O919" s="140">
        <f t="shared" si="25"/>
        <v>0</v>
      </c>
      <c r="Q919" s="140">
        <v>11</v>
      </c>
    </row>
    <row r="920" spans="12:17" x14ac:dyDescent="0.35">
      <c r="L920" s="140">
        <v>918</v>
      </c>
      <c r="M920" s="140">
        <v>0</v>
      </c>
      <c r="O920" s="140">
        <f t="shared" si="25"/>
        <v>0</v>
      </c>
      <c r="Q920" s="140">
        <v>10</v>
      </c>
    </row>
    <row r="921" spans="12:17" x14ac:dyDescent="0.35">
      <c r="L921" s="140">
        <v>919</v>
      </c>
      <c r="M921" s="140">
        <v>0</v>
      </c>
      <c r="O921" s="140">
        <f t="shared" si="25"/>
        <v>0</v>
      </c>
      <c r="Q921" s="140">
        <v>13</v>
      </c>
    </row>
    <row r="922" spans="12:17" x14ac:dyDescent="0.35">
      <c r="L922" s="140">
        <v>920</v>
      </c>
      <c r="M922" s="140">
        <v>0</v>
      </c>
      <c r="O922" s="140">
        <f t="shared" si="25"/>
        <v>0</v>
      </c>
      <c r="Q922" s="140">
        <v>24</v>
      </c>
    </row>
    <row r="923" spans="12:17" x14ac:dyDescent="0.35">
      <c r="L923" s="140">
        <v>921</v>
      </c>
      <c r="M923" s="140">
        <v>0</v>
      </c>
      <c r="O923" s="140">
        <f t="shared" si="25"/>
        <v>0</v>
      </c>
      <c r="Q923" s="140">
        <v>15</v>
      </c>
    </row>
    <row r="924" spans="12:17" x14ac:dyDescent="0.35">
      <c r="L924" s="140">
        <v>922</v>
      </c>
      <c r="M924" s="140">
        <v>0</v>
      </c>
      <c r="O924" s="140">
        <f t="shared" si="25"/>
        <v>0</v>
      </c>
      <c r="Q924" s="140">
        <v>13</v>
      </c>
    </row>
    <row r="925" spans="12:17" x14ac:dyDescent="0.35">
      <c r="L925" s="140">
        <v>923</v>
      </c>
      <c r="M925" s="140">
        <v>0</v>
      </c>
      <c r="O925" s="140">
        <f t="shared" si="25"/>
        <v>0</v>
      </c>
      <c r="Q925" s="140">
        <v>16</v>
      </c>
    </row>
    <row r="926" spans="12:17" x14ac:dyDescent="0.35">
      <c r="L926" s="140">
        <v>924</v>
      </c>
      <c r="M926" s="140">
        <v>1</v>
      </c>
      <c r="O926" s="140">
        <f t="shared" si="25"/>
        <v>0</v>
      </c>
      <c r="Q926" s="140">
        <v>23</v>
      </c>
    </row>
    <row r="927" spans="12:17" x14ac:dyDescent="0.35">
      <c r="L927" s="140">
        <v>925</v>
      </c>
      <c r="M927" s="140">
        <v>0</v>
      </c>
      <c r="O927" s="140">
        <f t="shared" si="25"/>
        <v>0</v>
      </c>
      <c r="Q927" s="140">
        <v>21</v>
      </c>
    </row>
    <row r="928" spans="12:17" x14ac:dyDescent="0.35">
      <c r="L928" s="140">
        <v>926</v>
      </c>
      <c r="M928" s="140">
        <v>1</v>
      </c>
      <c r="O928" s="140">
        <f t="shared" si="25"/>
        <v>0</v>
      </c>
      <c r="Q928" s="140">
        <v>27</v>
      </c>
    </row>
    <row r="929" spans="12:17" x14ac:dyDescent="0.35">
      <c r="L929" s="140">
        <v>927</v>
      </c>
      <c r="M929" s="140">
        <v>0</v>
      </c>
      <c r="O929" s="140">
        <f t="shared" si="25"/>
        <v>0</v>
      </c>
      <c r="Q929" s="140">
        <v>21</v>
      </c>
    </row>
    <row r="930" spans="12:17" x14ac:dyDescent="0.35">
      <c r="L930" s="140">
        <v>928</v>
      </c>
      <c r="M930" s="140">
        <v>0</v>
      </c>
      <c r="O930" s="140">
        <f t="shared" si="25"/>
        <v>0</v>
      </c>
      <c r="Q930" s="140">
        <v>18</v>
      </c>
    </row>
    <row r="931" spans="12:17" x14ac:dyDescent="0.35">
      <c r="L931" s="140">
        <v>929</v>
      </c>
      <c r="M931" s="140">
        <v>0</v>
      </c>
      <c r="O931" s="140">
        <f t="shared" si="25"/>
        <v>0</v>
      </c>
      <c r="Q931" s="140">
        <v>14</v>
      </c>
    </row>
    <row r="932" spans="12:17" x14ac:dyDescent="0.35">
      <c r="L932" s="140">
        <v>930</v>
      </c>
      <c r="M932" s="140">
        <v>0</v>
      </c>
      <c r="O932" s="140">
        <f t="shared" si="25"/>
        <v>0</v>
      </c>
      <c r="Q932" s="140">
        <v>23</v>
      </c>
    </row>
    <row r="933" spans="12:17" x14ac:dyDescent="0.35">
      <c r="L933" s="140">
        <v>931</v>
      </c>
      <c r="M933" s="140">
        <v>1</v>
      </c>
      <c r="O933" s="140">
        <f t="shared" si="25"/>
        <v>0</v>
      </c>
      <c r="Q933" s="140">
        <v>19</v>
      </c>
    </row>
    <row r="934" spans="12:17" x14ac:dyDescent="0.35">
      <c r="L934" s="140">
        <v>932</v>
      </c>
      <c r="M934" s="140">
        <v>0</v>
      </c>
      <c r="O934" s="140">
        <f t="shared" si="25"/>
        <v>0</v>
      </c>
      <c r="Q934" s="140">
        <v>19</v>
      </c>
    </row>
    <row r="935" spans="12:17" x14ac:dyDescent="0.35">
      <c r="L935" s="140">
        <v>933</v>
      </c>
      <c r="M935" s="140">
        <v>0</v>
      </c>
      <c r="O935" s="140">
        <f t="shared" si="25"/>
        <v>0</v>
      </c>
      <c r="Q935" s="140">
        <v>14</v>
      </c>
    </row>
    <row r="936" spans="12:17" x14ac:dyDescent="0.35">
      <c r="L936" s="140">
        <v>934</v>
      </c>
      <c r="M936" s="140">
        <v>0</v>
      </c>
      <c r="O936" s="140">
        <f t="shared" si="25"/>
        <v>0</v>
      </c>
      <c r="Q936" s="140">
        <v>18</v>
      </c>
    </row>
    <row r="937" spans="12:17" x14ac:dyDescent="0.35">
      <c r="L937" s="140">
        <v>935</v>
      </c>
      <c r="M937" s="140">
        <v>0</v>
      </c>
      <c r="O937" s="140">
        <f t="shared" si="25"/>
        <v>0</v>
      </c>
      <c r="Q937" s="140">
        <v>14</v>
      </c>
    </row>
    <row r="938" spans="12:17" x14ac:dyDescent="0.35">
      <c r="L938" s="140">
        <v>936</v>
      </c>
      <c r="M938" s="140">
        <v>0</v>
      </c>
      <c r="O938" s="140">
        <f t="shared" si="25"/>
        <v>0</v>
      </c>
      <c r="Q938" s="140">
        <v>22</v>
      </c>
    </row>
    <row r="939" spans="12:17" x14ac:dyDescent="0.35">
      <c r="L939" s="140">
        <v>937</v>
      </c>
      <c r="M939" s="140">
        <v>0</v>
      </c>
      <c r="O939" s="140">
        <f t="shared" si="25"/>
        <v>0</v>
      </c>
      <c r="Q939" s="140">
        <v>18</v>
      </c>
    </row>
    <row r="940" spans="12:17" x14ac:dyDescent="0.35">
      <c r="L940" s="140">
        <v>938</v>
      </c>
      <c r="M940" s="140">
        <v>0</v>
      </c>
      <c r="O940" s="140">
        <f t="shared" si="25"/>
        <v>0</v>
      </c>
      <c r="Q940" s="140">
        <v>14</v>
      </c>
    </row>
    <row r="941" spans="12:17" x14ac:dyDescent="0.35">
      <c r="L941" s="140">
        <v>939</v>
      </c>
      <c r="M941" s="140">
        <v>0</v>
      </c>
      <c r="O941" s="140">
        <f t="shared" si="25"/>
        <v>0</v>
      </c>
      <c r="Q941" s="140">
        <v>22</v>
      </c>
    </row>
    <row r="942" spans="12:17" x14ac:dyDescent="0.35">
      <c r="L942" s="140">
        <v>940</v>
      </c>
      <c r="M942" s="140">
        <v>1</v>
      </c>
      <c r="O942" s="140">
        <f t="shared" ref="O942:O1002" si="26">MAX(N942:N1940)</f>
        <v>0</v>
      </c>
      <c r="Q942" s="140">
        <v>14</v>
      </c>
    </row>
    <row r="943" spans="12:17" x14ac:dyDescent="0.35">
      <c r="L943" s="140">
        <v>941</v>
      </c>
      <c r="M943" s="140">
        <v>0</v>
      </c>
      <c r="O943" s="140">
        <f t="shared" si="26"/>
        <v>0</v>
      </c>
      <c r="Q943" s="140">
        <v>20</v>
      </c>
    </row>
    <row r="944" spans="12:17" x14ac:dyDescent="0.35">
      <c r="L944" s="140">
        <v>942</v>
      </c>
      <c r="M944" s="140">
        <v>0</v>
      </c>
      <c r="O944" s="140">
        <f t="shared" si="26"/>
        <v>0</v>
      </c>
      <c r="Q944" s="140">
        <v>9</v>
      </c>
    </row>
    <row r="945" spans="12:17" x14ac:dyDescent="0.35">
      <c r="L945" s="140">
        <v>943</v>
      </c>
      <c r="M945" s="140">
        <v>0</v>
      </c>
      <c r="O945" s="140">
        <f t="shared" si="26"/>
        <v>0</v>
      </c>
      <c r="Q945" s="140">
        <v>16</v>
      </c>
    </row>
    <row r="946" spans="12:17" x14ac:dyDescent="0.35">
      <c r="L946" s="140">
        <v>944</v>
      </c>
      <c r="M946" s="140">
        <v>0</v>
      </c>
      <c r="O946" s="140">
        <f t="shared" si="26"/>
        <v>0</v>
      </c>
      <c r="Q946" s="140">
        <v>16</v>
      </c>
    </row>
    <row r="947" spans="12:17" x14ac:dyDescent="0.35">
      <c r="L947" s="140">
        <v>945</v>
      </c>
      <c r="M947" s="140">
        <v>0</v>
      </c>
      <c r="O947" s="140">
        <f t="shared" si="26"/>
        <v>0</v>
      </c>
      <c r="Q947" s="140">
        <v>18</v>
      </c>
    </row>
    <row r="948" spans="12:17" x14ac:dyDescent="0.35">
      <c r="L948" s="140">
        <v>946</v>
      </c>
      <c r="M948" s="140">
        <v>0</v>
      </c>
      <c r="O948" s="140">
        <f t="shared" si="26"/>
        <v>0</v>
      </c>
      <c r="Q948" s="140">
        <v>16</v>
      </c>
    </row>
    <row r="949" spans="12:17" x14ac:dyDescent="0.35">
      <c r="L949" s="140">
        <v>947</v>
      </c>
      <c r="M949" s="140">
        <v>0</v>
      </c>
      <c r="O949" s="140">
        <f t="shared" si="26"/>
        <v>0</v>
      </c>
      <c r="Q949" s="140">
        <v>18</v>
      </c>
    </row>
    <row r="950" spans="12:17" x14ac:dyDescent="0.35">
      <c r="L950" s="140">
        <v>948</v>
      </c>
      <c r="M950" s="140">
        <v>0</v>
      </c>
      <c r="O950" s="140">
        <f t="shared" si="26"/>
        <v>0</v>
      </c>
      <c r="Q950" s="140">
        <v>19</v>
      </c>
    </row>
    <row r="951" spans="12:17" x14ac:dyDescent="0.35">
      <c r="L951" s="140">
        <v>949</v>
      </c>
      <c r="M951" s="140">
        <v>0</v>
      </c>
      <c r="O951" s="140">
        <f t="shared" si="26"/>
        <v>0</v>
      </c>
      <c r="Q951" s="140">
        <v>24</v>
      </c>
    </row>
    <row r="952" spans="12:17" x14ac:dyDescent="0.35">
      <c r="L952" s="140">
        <v>950</v>
      </c>
      <c r="M952" s="140">
        <v>0</v>
      </c>
      <c r="O952" s="140">
        <f t="shared" si="26"/>
        <v>0</v>
      </c>
      <c r="Q952" s="140">
        <v>20</v>
      </c>
    </row>
    <row r="953" spans="12:17" x14ac:dyDescent="0.35">
      <c r="L953" s="140">
        <v>951</v>
      </c>
      <c r="M953" s="140">
        <v>0</v>
      </c>
      <c r="O953" s="140">
        <f t="shared" si="26"/>
        <v>0</v>
      </c>
      <c r="Q953" s="140">
        <v>18</v>
      </c>
    </row>
    <row r="954" spans="12:17" x14ac:dyDescent="0.35">
      <c r="L954" s="140">
        <v>952</v>
      </c>
      <c r="M954" s="140">
        <v>0</v>
      </c>
      <c r="O954" s="140">
        <f t="shared" si="26"/>
        <v>0</v>
      </c>
      <c r="Q954" s="140">
        <v>8</v>
      </c>
    </row>
    <row r="955" spans="12:17" x14ac:dyDescent="0.35">
      <c r="L955" s="140">
        <v>953</v>
      </c>
      <c r="M955" s="140">
        <v>1</v>
      </c>
      <c r="O955" s="140">
        <f t="shared" si="26"/>
        <v>0</v>
      </c>
      <c r="Q955" s="140">
        <v>17</v>
      </c>
    </row>
    <row r="956" spans="12:17" x14ac:dyDescent="0.35">
      <c r="L956" s="140">
        <v>954</v>
      </c>
      <c r="M956" s="140">
        <v>0</v>
      </c>
      <c r="O956" s="140">
        <f t="shared" si="26"/>
        <v>0</v>
      </c>
      <c r="Q956" s="140">
        <v>16</v>
      </c>
    </row>
    <row r="957" spans="12:17" x14ac:dyDescent="0.35">
      <c r="L957" s="140">
        <v>955</v>
      </c>
      <c r="M957" s="140">
        <v>0</v>
      </c>
      <c r="O957" s="140">
        <f t="shared" si="26"/>
        <v>0</v>
      </c>
      <c r="Q957" s="140">
        <v>8</v>
      </c>
    </row>
    <row r="958" spans="12:17" x14ac:dyDescent="0.35">
      <c r="L958" s="140">
        <v>956</v>
      </c>
      <c r="M958" s="140">
        <v>0</v>
      </c>
      <c r="O958" s="140">
        <f t="shared" si="26"/>
        <v>0</v>
      </c>
      <c r="Q958" s="140">
        <v>13</v>
      </c>
    </row>
    <row r="959" spans="12:17" x14ac:dyDescent="0.35">
      <c r="L959" s="140">
        <v>957</v>
      </c>
      <c r="M959" s="140">
        <v>0</v>
      </c>
      <c r="O959" s="140">
        <f t="shared" si="26"/>
        <v>0</v>
      </c>
      <c r="Q959" s="140">
        <v>19</v>
      </c>
    </row>
    <row r="960" spans="12:17" x14ac:dyDescent="0.35">
      <c r="L960" s="140">
        <v>958</v>
      </c>
      <c r="M960" s="140">
        <v>0</v>
      </c>
      <c r="O960" s="140">
        <f t="shared" si="26"/>
        <v>0</v>
      </c>
      <c r="Q960" s="140">
        <v>20</v>
      </c>
    </row>
    <row r="961" spans="12:17" x14ac:dyDescent="0.35">
      <c r="L961" s="140">
        <v>959</v>
      </c>
      <c r="M961" s="140">
        <v>0</v>
      </c>
      <c r="O961" s="140">
        <f t="shared" si="26"/>
        <v>0</v>
      </c>
      <c r="Q961" s="140">
        <v>22</v>
      </c>
    </row>
    <row r="962" spans="12:17" x14ac:dyDescent="0.35">
      <c r="L962" s="140">
        <v>960</v>
      </c>
      <c r="M962" s="140">
        <v>0</v>
      </c>
      <c r="O962" s="140">
        <f t="shared" si="26"/>
        <v>0</v>
      </c>
      <c r="Q962" s="140">
        <v>17</v>
      </c>
    </row>
    <row r="963" spans="12:17" x14ac:dyDescent="0.35">
      <c r="L963" s="140">
        <v>961</v>
      </c>
      <c r="M963" s="140">
        <v>0</v>
      </c>
      <c r="O963" s="140">
        <f t="shared" si="26"/>
        <v>0</v>
      </c>
      <c r="Q963" s="140">
        <v>19</v>
      </c>
    </row>
    <row r="964" spans="12:17" x14ac:dyDescent="0.35">
      <c r="L964" s="140">
        <v>962</v>
      </c>
      <c r="M964" s="140">
        <v>0</v>
      </c>
      <c r="O964" s="140">
        <f t="shared" si="26"/>
        <v>0</v>
      </c>
      <c r="Q964" s="140">
        <v>18</v>
      </c>
    </row>
    <row r="965" spans="12:17" x14ac:dyDescent="0.35">
      <c r="L965" s="140">
        <v>963</v>
      </c>
      <c r="M965" s="140">
        <v>0</v>
      </c>
      <c r="O965" s="140">
        <f t="shared" si="26"/>
        <v>0</v>
      </c>
      <c r="Q965" s="140">
        <v>18</v>
      </c>
    </row>
    <row r="966" spans="12:17" x14ac:dyDescent="0.35">
      <c r="L966" s="140">
        <v>964</v>
      </c>
      <c r="M966" s="140">
        <v>0</v>
      </c>
      <c r="O966" s="140">
        <f t="shared" si="26"/>
        <v>0</v>
      </c>
      <c r="Q966" s="140">
        <v>19</v>
      </c>
    </row>
    <row r="967" spans="12:17" x14ac:dyDescent="0.35">
      <c r="L967" s="140">
        <v>965</v>
      </c>
      <c r="M967" s="140">
        <v>0</v>
      </c>
      <c r="O967" s="140">
        <f t="shared" si="26"/>
        <v>0</v>
      </c>
      <c r="Q967" s="140">
        <v>17</v>
      </c>
    </row>
    <row r="968" spans="12:17" x14ac:dyDescent="0.35">
      <c r="L968" s="140">
        <v>966</v>
      </c>
      <c r="M968" s="140">
        <v>0</v>
      </c>
      <c r="O968" s="140">
        <f t="shared" si="26"/>
        <v>0</v>
      </c>
      <c r="Q968" s="140">
        <v>13</v>
      </c>
    </row>
    <row r="969" spans="12:17" x14ac:dyDescent="0.35">
      <c r="L969" s="140">
        <v>967</v>
      </c>
      <c r="M969" s="140">
        <v>1</v>
      </c>
      <c r="O969" s="140">
        <f t="shared" si="26"/>
        <v>0</v>
      </c>
      <c r="Q969" s="140">
        <v>19</v>
      </c>
    </row>
    <row r="970" spans="12:17" x14ac:dyDescent="0.35">
      <c r="L970" s="140">
        <v>968</v>
      </c>
      <c r="M970" s="140">
        <v>0</v>
      </c>
      <c r="O970" s="140">
        <f t="shared" si="26"/>
        <v>0</v>
      </c>
      <c r="Q970" s="140">
        <v>19</v>
      </c>
    </row>
    <row r="971" spans="12:17" x14ac:dyDescent="0.35">
      <c r="L971" s="140">
        <v>969</v>
      </c>
      <c r="M971" s="140">
        <v>0</v>
      </c>
      <c r="O971" s="140">
        <f t="shared" si="26"/>
        <v>0</v>
      </c>
      <c r="Q971" s="140">
        <v>14</v>
      </c>
    </row>
    <row r="972" spans="12:17" x14ac:dyDescent="0.35">
      <c r="L972" s="140">
        <v>970</v>
      </c>
      <c r="M972" s="140">
        <v>0</v>
      </c>
      <c r="O972" s="140">
        <f t="shared" si="26"/>
        <v>0</v>
      </c>
      <c r="Q972" s="140">
        <v>28</v>
      </c>
    </row>
    <row r="973" spans="12:17" x14ac:dyDescent="0.35">
      <c r="L973" s="140">
        <v>971</v>
      </c>
      <c r="M973" s="140">
        <v>0</v>
      </c>
      <c r="O973" s="140">
        <f t="shared" si="26"/>
        <v>0</v>
      </c>
      <c r="Q973" s="140">
        <v>18</v>
      </c>
    </row>
    <row r="974" spans="12:17" x14ac:dyDescent="0.35">
      <c r="L974" s="140">
        <v>972</v>
      </c>
      <c r="M974" s="140">
        <v>0</v>
      </c>
      <c r="O974" s="140">
        <f t="shared" si="26"/>
        <v>0</v>
      </c>
      <c r="Q974" s="140">
        <v>27</v>
      </c>
    </row>
    <row r="975" spans="12:17" x14ac:dyDescent="0.35">
      <c r="L975" s="140">
        <v>973</v>
      </c>
      <c r="M975" s="140">
        <v>0</v>
      </c>
      <c r="O975" s="140">
        <f t="shared" si="26"/>
        <v>0</v>
      </c>
      <c r="Q975" s="140">
        <v>15</v>
      </c>
    </row>
    <row r="976" spans="12:17" x14ac:dyDescent="0.35">
      <c r="L976" s="140">
        <v>974</v>
      </c>
      <c r="M976" s="140">
        <v>0</v>
      </c>
      <c r="O976" s="140">
        <f t="shared" si="26"/>
        <v>0</v>
      </c>
      <c r="Q976" s="140">
        <v>21</v>
      </c>
    </row>
    <row r="977" spans="12:17" x14ac:dyDescent="0.35">
      <c r="L977" s="140">
        <v>975</v>
      </c>
      <c r="M977" s="140">
        <v>0</v>
      </c>
      <c r="O977" s="140">
        <f t="shared" si="26"/>
        <v>0</v>
      </c>
      <c r="Q977" s="140">
        <v>15</v>
      </c>
    </row>
    <row r="978" spans="12:17" x14ac:dyDescent="0.35">
      <c r="L978" s="140">
        <v>976</v>
      </c>
      <c r="M978" s="140">
        <v>0</v>
      </c>
      <c r="O978" s="140">
        <f t="shared" si="26"/>
        <v>0</v>
      </c>
      <c r="Q978" s="140">
        <v>12</v>
      </c>
    </row>
    <row r="979" spans="12:17" x14ac:dyDescent="0.35">
      <c r="L979" s="140">
        <v>977</v>
      </c>
      <c r="M979" s="140">
        <v>0</v>
      </c>
      <c r="O979" s="140">
        <f t="shared" si="26"/>
        <v>0</v>
      </c>
      <c r="Q979" s="140">
        <v>18</v>
      </c>
    </row>
    <row r="980" spans="12:17" x14ac:dyDescent="0.35">
      <c r="L980" s="140">
        <v>978</v>
      </c>
      <c r="M980" s="140">
        <v>0</v>
      </c>
      <c r="O980" s="140">
        <f t="shared" si="26"/>
        <v>0</v>
      </c>
      <c r="Q980" s="140">
        <v>19</v>
      </c>
    </row>
    <row r="981" spans="12:17" x14ac:dyDescent="0.35">
      <c r="L981" s="140">
        <v>979</v>
      </c>
      <c r="M981" s="140">
        <v>0</v>
      </c>
      <c r="O981" s="140">
        <f t="shared" si="26"/>
        <v>0</v>
      </c>
      <c r="Q981" s="140">
        <v>20</v>
      </c>
    </row>
    <row r="982" spans="12:17" x14ac:dyDescent="0.35">
      <c r="L982" s="140">
        <v>980</v>
      </c>
      <c r="M982" s="140">
        <v>1</v>
      </c>
      <c r="O982" s="140">
        <f t="shared" si="26"/>
        <v>0</v>
      </c>
      <c r="Q982" s="140">
        <v>19</v>
      </c>
    </row>
    <row r="983" spans="12:17" x14ac:dyDescent="0.35">
      <c r="L983" s="140">
        <v>981</v>
      </c>
      <c r="M983" s="140">
        <v>0</v>
      </c>
      <c r="O983" s="140">
        <f t="shared" si="26"/>
        <v>0</v>
      </c>
      <c r="Q983" s="140">
        <v>24</v>
      </c>
    </row>
    <row r="984" spans="12:17" x14ac:dyDescent="0.35">
      <c r="L984" s="140">
        <v>982</v>
      </c>
      <c r="M984" s="140">
        <v>0</v>
      </c>
      <c r="O984" s="140">
        <f t="shared" si="26"/>
        <v>0</v>
      </c>
      <c r="Q984" s="140">
        <v>17</v>
      </c>
    </row>
    <row r="985" spans="12:17" x14ac:dyDescent="0.35">
      <c r="L985" s="140">
        <v>983</v>
      </c>
      <c r="M985" s="140">
        <v>0</v>
      </c>
      <c r="O985" s="140">
        <f t="shared" si="26"/>
        <v>0</v>
      </c>
      <c r="Q985" s="140">
        <v>13</v>
      </c>
    </row>
    <row r="986" spans="12:17" x14ac:dyDescent="0.35">
      <c r="L986" s="140">
        <v>984</v>
      </c>
      <c r="M986" s="140">
        <v>0</v>
      </c>
      <c r="O986" s="140">
        <f t="shared" si="26"/>
        <v>0</v>
      </c>
      <c r="Q986" s="140">
        <v>20</v>
      </c>
    </row>
    <row r="987" spans="12:17" x14ac:dyDescent="0.35">
      <c r="L987" s="140">
        <v>985</v>
      </c>
      <c r="M987" s="140">
        <v>0</v>
      </c>
      <c r="O987" s="140">
        <f t="shared" si="26"/>
        <v>0</v>
      </c>
      <c r="Q987" s="140">
        <v>12</v>
      </c>
    </row>
    <row r="988" spans="12:17" x14ac:dyDescent="0.35">
      <c r="L988" s="140">
        <v>986</v>
      </c>
      <c r="M988" s="140">
        <v>0</v>
      </c>
      <c r="O988" s="140">
        <f t="shared" si="26"/>
        <v>0</v>
      </c>
      <c r="Q988" s="140">
        <v>20</v>
      </c>
    </row>
    <row r="989" spans="12:17" x14ac:dyDescent="0.35">
      <c r="L989" s="140">
        <v>987</v>
      </c>
      <c r="M989" s="140">
        <v>0</v>
      </c>
      <c r="O989" s="140">
        <f t="shared" si="26"/>
        <v>0</v>
      </c>
      <c r="Q989" s="140">
        <v>20</v>
      </c>
    </row>
    <row r="990" spans="12:17" x14ac:dyDescent="0.35">
      <c r="L990" s="140">
        <v>988</v>
      </c>
      <c r="M990" s="140">
        <v>0</v>
      </c>
      <c r="O990" s="140">
        <f t="shared" si="26"/>
        <v>0</v>
      </c>
      <c r="Q990" s="140">
        <v>23</v>
      </c>
    </row>
    <row r="991" spans="12:17" x14ac:dyDescent="0.35">
      <c r="L991" s="140">
        <v>989</v>
      </c>
      <c r="M991" s="140">
        <v>0</v>
      </c>
      <c r="O991" s="140">
        <f t="shared" si="26"/>
        <v>0</v>
      </c>
      <c r="Q991" s="140">
        <v>14</v>
      </c>
    </row>
    <row r="992" spans="12:17" x14ac:dyDescent="0.35">
      <c r="L992" s="140">
        <v>990</v>
      </c>
      <c r="M992" s="140">
        <v>1</v>
      </c>
      <c r="O992" s="140">
        <f t="shared" si="26"/>
        <v>0</v>
      </c>
      <c r="Q992" s="140">
        <v>16</v>
      </c>
    </row>
    <row r="993" spans="12:17" x14ac:dyDescent="0.35">
      <c r="L993" s="140">
        <v>991</v>
      </c>
      <c r="M993" s="140">
        <v>0</v>
      </c>
      <c r="O993" s="140">
        <f t="shared" si="26"/>
        <v>0</v>
      </c>
      <c r="Q993" s="140">
        <v>12</v>
      </c>
    </row>
    <row r="994" spans="12:17" x14ac:dyDescent="0.35">
      <c r="L994" s="140">
        <v>992</v>
      </c>
      <c r="M994" s="140">
        <v>0</v>
      </c>
      <c r="O994" s="140">
        <f t="shared" si="26"/>
        <v>0</v>
      </c>
      <c r="Q994" s="140">
        <v>23</v>
      </c>
    </row>
    <row r="995" spans="12:17" x14ac:dyDescent="0.35">
      <c r="L995" s="140">
        <v>993</v>
      </c>
      <c r="M995" s="140">
        <v>0</v>
      </c>
      <c r="O995" s="140">
        <f t="shared" si="26"/>
        <v>0</v>
      </c>
      <c r="Q995" s="140">
        <v>14</v>
      </c>
    </row>
    <row r="996" spans="12:17" x14ac:dyDescent="0.35">
      <c r="L996" s="140">
        <v>994</v>
      </c>
      <c r="M996" s="140">
        <v>0</v>
      </c>
      <c r="O996" s="140">
        <f t="shared" si="26"/>
        <v>0</v>
      </c>
      <c r="Q996" s="140">
        <v>19</v>
      </c>
    </row>
    <row r="997" spans="12:17" x14ac:dyDescent="0.35">
      <c r="L997" s="140">
        <v>995</v>
      </c>
      <c r="M997" s="140">
        <v>0</v>
      </c>
      <c r="O997" s="140">
        <f t="shared" si="26"/>
        <v>0</v>
      </c>
      <c r="Q997" s="140">
        <v>12</v>
      </c>
    </row>
    <row r="998" spans="12:17" x14ac:dyDescent="0.35">
      <c r="L998" s="140">
        <v>996</v>
      </c>
      <c r="M998" s="140">
        <v>0</v>
      </c>
      <c r="O998" s="140">
        <f t="shared" si="26"/>
        <v>0</v>
      </c>
      <c r="Q998" s="140">
        <v>18</v>
      </c>
    </row>
    <row r="999" spans="12:17" x14ac:dyDescent="0.35">
      <c r="L999" s="140">
        <v>997</v>
      </c>
      <c r="M999" s="140">
        <v>0</v>
      </c>
      <c r="O999" s="140">
        <f t="shared" si="26"/>
        <v>0</v>
      </c>
      <c r="Q999" s="140">
        <v>21</v>
      </c>
    </row>
    <row r="1000" spans="12:17" x14ac:dyDescent="0.35">
      <c r="L1000" s="140">
        <v>998</v>
      </c>
      <c r="M1000" s="140">
        <v>0</v>
      </c>
      <c r="O1000" s="140">
        <f t="shared" si="26"/>
        <v>0</v>
      </c>
      <c r="Q1000" s="140">
        <v>21</v>
      </c>
    </row>
    <row r="1001" spans="12:17" x14ac:dyDescent="0.35">
      <c r="L1001" s="140">
        <v>999</v>
      </c>
      <c r="M1001" s="140">
        <v>0</v>
      </c>
      <c r="O1001" s="140">
        <f t="shared" si="26"/>
        <v>0</v>
      </c>
      <c r="Q1001" s="140">
        <v>24</v>
      </c>
    </row>
    <row r="1002" spans="12:17" x14ac:dyDescent="0.35">
      <c r="L1002" s="140">
        <v>1000</v>
      </c>
      <c r="O1002" s="140">
        <f t="shared" si="2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70" zoomScaleNormal="70" workbookViewId="0">
      <selection activeCell="A47" sqref="A47:H51"/>
    </sheetView>
  </sheetViews>
  <sheetFormatPr defaultColWidth="11.53125" defaultRowHeight="12.75" x14ac:dyDescent="0.35"/>
  <sheetData>
    <row r="1" spans="1:49" x14ac:dyDescent="0.35">
      <c r="A1" t="s">
        <v>266</v>
      </c>
    </row>
    <row r="4" spans="1:49" ht="13.15" x14ac:dyDescent="0.4">
      <c r="A4" s="8"/>
    </row>
    <row r="5" spans="1:49" x14ac:dyDescent="0.35">
      <c r="A5" s="242"/>
    </row>
    <row r="6" spans="1:49" ht="13.15" x14ac:dyDescent="0.4">
      <c r="B6" s="8"/>
      <c r="C6" s="8"/>
      <c r="D6" s="8"/>
      <c r="E6" s="8"/>
      <c r="F6" s="8"/>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C8">
        <v>8.5653030000000001</v>
      </c>
      <c r="D8">
        <v>8.5077770000000008</v>
      </c>
      <c r="E8">
        <v>8.5646590000000007</v>
      </c>
      <c r="F8">
        <v>8.5678509999999992</v>
      </c>
      <c r="G8" s="78">
        <v>25.517626</v>
      </c>
      <c r="H8" s="78">
        <f>AVERAGE(B$8:F$8)*5</f>
        <v>42.756987500000001</v>
      </c>
      <c r="I8" s="79"/>
      <c r="K8" s="79"/>
    </row>
    <row r="9" spans="1:49" ht="40.15" x14ac:dyDescent="1.05">
      <c r="A9" s="83" t="s">
        <v>140</v>
      </c>
      <c r="C9">
        <v>40396</v>
      </c>
      <c r="D9">
        <v>40427</v>
      </c>
      <c r="E9">
        <v>40705</v>
      </c>
      <c r="F9">
        <v>40117</v>
      </c>
      <c r="G9" s="116">
        <f t="shared" ref="G9:G15" si="0">AVERAGE(B9:F9)/AVERAGE(B$8:F$8)</f>
        <v>4725.6895729616126</v>
      </c>
      <c r="H9" s="117">
        <f t="shared" ref="H9:H15" si="1">G9*H$8</f>
        <v>202056.25</v>
      </c>
      <c r="I9" s="118">
        <f t="shared" ref="I9:I15" si="2">STDEVP(B9:F9)/AVERAGE(B9:F9)</f>
        <v>5.1514926895682061E-3</v>
      </c>
      <c r="J9" s="118">
        <f t="shared" ref="J9:J15" si="3">IF(H9&gt;$A$21, $C$21, IF(H9&gt;$A$22, $C$22, IF(H9&gt;$A$23,$C$23,IF(H9&gt;$A$24,$C$24, IF(H9&gt;$A$25,$C$25,IF(H9&gt;$A$26,$C$26,$C$27))))))/100</f>
        <v>0.11</v>
      </c>
      <c r="K9" s="118">
        <f t="shared" ref="K9:K15" si="4">(MAX(B9:F9)-MIN(B9:F9))/H9*5</f>
        <v>1.4550403662346499E-2</v>
      </c>
      <c r="M9" s="75" t="s">
        <v>267</v>
      </c>
    </row>
    <row r="10" spans="1:49" ht="13.15" x14ac:dyDescent="0.4">
      <c r="A10" s="68" t="s">
        <v>141</v>
      </c>
      <c r="C10">
        <v>21946</v>
      </c>
      <c r="D10">
        <v>21790</v>
      </c>
      <c r="E10">
        <v>22053</v>
      </c>
      <c r="F10">
        <v>21746</v>
      </c>
      <c r="G10" s="80">
        <f t="shared" si="0"/>
        <v>2559.0846408437919</v>
      </c>
      <c r="H10" s="81">
        <f t="shared" si="1"/>
        <v>109418.75</v>
      </c>
      <c r="I10" s="79">
        <f t="shared" si="2"/>
        <v>5.6098595942707056E-3</v>
      </c>
      <c r="J10" s="79">
        <f t="shared" si="3"/>
        <v>0.11</v>
      </c>
      <c r="K10" s="79">
        <f t="shared" si="4"/>
        <v>1.4028674244587879E-2</v>
      </c>
    </row>
    <row r="11" spans="1:49" ht="40.15" x14ac:dyDescent="1.05">
      <c r="A11" s="68" t="s">
        <v>142</v>
      </c>
      <c r="C11">
        <v>10745</v>
      </c>
      <c r="D11">
        <v>10642</v>
      </c>
      <c r="E11">
        <v>10855</v>
      </c>
      <c r="F11">
        <v>10730</v>
      </c>
      <c r="G11" s="80">
        <f t="shared" si="0"/>
        <v>1256.2858877744836</v>
      </c>
      <c r="H11" s="81">
        <f t="shared" si="1"/>
        <v>53715</v>
      </c>
      <c r="I11" s="79">
        <f t="shared" si="2"/>
        <v>7.0458401515349931E-3</v>
      </c>
      <c r="J11" s="79">
        <f t="shared" si="3"/>
        <v>0.11</v>
      </c>
      <c r="K11" s="79">
        <f t="shared" si="4"/>
        <v>1.9826864004468023E-2</v>
      </c>
      <c r="M11" s="75" t="s">
        <v>92</v>
      </c>
    </row>
    <row r="12" spans="1:49" ht="13.15" x14ac:dyDescent="0.4">
      <c r="A12" s="68" t="s">
        <v>143</v>
      </c>
      <c r="C12">
        <v>5202</v>
      </c>
      <c r="D12">
        <v>5120</v>
      </c>
      <c r="E12">
        <v>5249</v>
      </c>
      <c r="F12">
        <v>5152</v>
      </c>
      <c r="G12" s="80">
        <f t="shared" si="0"/>
        <v>605.83664833730393</v>
      </c>
      <c r="H12" s="81">
        <f t="shared" si="1"/>
        <v>25903.75</v>
      </c>
      <c r="I12" s="79">
        <f t="shared" si="2"/>
        <v>9.4692856026857841E-3</v>
      </c>
      <c r="J12" s="79">
        <f t="shared" si="3"/>
        <v>0.11</v>
      </c>
      <c r="K12" s="79">
        <f t="shared" si="4"/>
        <v>2.4899869709984077E-2</v>
      </c>
      <c r="M12" s="29">
        <v>46007</v>
      </c>
    </row>
    <row r="13" spans="1:49" ht="13.15" x14ac:dyDescent="0.4">
      <c r="A13" s="68" t="s">
        <v>144</v>
      </c>
      <c r="C13">
        <v>2596</v>
      </c>
      <c r="D13">
        <v>2588</v>
      </c>
      <c r="E13">
        <v>2644</v>
      </c>
      <c r="F13">
        <v>2644</v>
      </c>
      <c r="G13" s="80">
        <f t="shared" si="0"/>
        <v>306.148790300065</v>
      </c>
      <c r="H13" s="81">
        <f t="shared" si="1"/>
        <v>13090</v>
      </c>
      <c r="I13" s="79">
        <f t="shared" si="2"/>
        <v>9.9898371509717504E-3</v>
      </c>
      <c r="J13" s="79">
        <f t="shared" si="3"/>
        <v>0.11</v>
      </c>
      <c r="K13" s="79">
        <f t="shared" si="4"/>
        <v>2.1390374331550804E-2</v>
      </c>
      <c r="M13" t="s">
        <v>392</v>
      </c>
    </row>
    <row r="14" spans="1:49" ht="13.15" x14ac:dyDescent="0.4">
      <c r="A14" s="87" t="s">
        <v>145</v>
      </c>
      <c r="C14">
        <v>1328</v>
      </c>
      <c r="D14">
        <v>1294</v>
      </c>
      <c r="E14">
        <v>1252</v>
      </c>
      <c r="F14">
        <v>1326</v>
      </c>
      <c r="G14" s="119">
        <f t="shared" si="0"/>
        <v>152.02193559590697</v>
      </c>
      <c r="H14" s="120">
        <f t="shared" si="1"/>
        <v>6499.9999999999991</v>
      </c>
      <c r="I14" s="121">
        <f t="shared" si="2"/>
        <v>2.3709284626803755E-2</v>
      </c>
      <c r="J14" s="121">
        <f t="shared" si="3"/>
        <v>0.113</v>
      </c>
      <c r="K14" s="121">
        <f t="shared" si="4"/>
        <v>5.8461538461538474E-2</v>
      </c>
      <c r="M14" s="42"/>
    </row>
    <row r="15" spans="1:49" ht="13.15" x14ac:dyDescent="0.4">
      <c r="A15" s="68" t="s">
        <v>146</v>
      </c>
      <c r="C15">
        <v>646</v>
      </c>
      <c r="D15">
        <v>589</v>
      </c>
      <c r="E15">
        <v>594</v>
      </c>
      <c r="F15">
        <v>583</v>
      </c>
      <c r="G15" s="80">
        <f t="shared" si="0"/>
        <v>70.514790126409167</v>
      </c>
      <c r="H15" s="81">
        <f t="shared" si="1"/>
        <v>3015.0000000000005</v>
      </c>
      <c r="I15" s="79">
        <f t="shared" si="2"/>
        <v>4.1674400905900702E-2</v>
      </c>
      <c r="J15" s="79">
        <f t="shared" si="3"/>
        <v>0.11900000000000001</v>
      </c>
      <c r="K15" s="79">
        <f t="shared" si="4"/>
        <v>0.10447761194029849</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270</v>
      </c>
      <c r="B31" s="68" t="s">
        <v>140</v>
      </c>
      <c r="C31" s="68" t="s">
        <v>141</v>
      </c>
      <c r="D31" s="68" t="s">
        <v>142</v>
      </c>
      <c r="E31" s="68" t="s">
        <v>143</v>
      </c>
      <c r="F31" s="68" t="s">
        <v>144</v>
      </c>
      <c r="G31" s="68" t="s">
        <v>145</v>
      </c>
      <c r="H31" s="68" t="s">
        <v>146</v>
      </c>
      <c r="I31" s="79"/>
      <c r="J31" s="79"/>
      <c r="K31" s="79"/>
      <c r="M31" s="42"/>
    </row>
    <row r="32" spans="1:49" x14ac:dyDescent="0.35">
      <c r="A32">
        <v>7.9085020000000004</v>
      </c>
      <c r="B32">
        <v>39388</v>
      </c>
      <c r="C32">
        <v>21407</v>
      </c>
      <c r="D32">
        <v>10428</v>
      </c>
      <c r="E32">
        <v>5127</v>
      </c>
      <c r="F32">
        <v>2708</v>
      </c>
      <c r="G32">
        <v>1426</v>
      </c>
      <c r="H32">
        <v>711</v>
      </c>
      <c r="I32" s="79"/>
      <c r="J32" s="79"/>
      <c r="K32" s="79"/>
      <c r="M32" s="42"/>
    </row>
    <row r="33" spans="1:13" x14ac:dyDescent="0.35">
      <c r="A33">
        <v>8.5653030000000001</v>
      </c>
      <c r="B33">
        <v>40396</v>
      </c>
      <c r="C33">
        <v>21946</v>
      </c>
      <c r="D33">
        <v>10745</v>
      </c>
      <c r="E33">
        <v>5202</v>
      </c>
      <c r="F33">
        <v>2596</v>
      </c>
      <c r="G33">
        <v>1328</v>
      </c>
      <c r="H33">
        <v>646</v>
      </c>
      <c r="I33" s="79"/>
      <c r="J33" s="79"/>
      <c r="K33" s="79"/>
      <c r="M33" s="42"/>
    </row>
    <row r="34" spans="1:13" x14ac:dyDescent="0.35">
      <c r="A34">
        <v>8.5077770000000008</v>
      </c>
      <c r="B34">
        <v>40427</v>
      </c>
      <c r="C34">
        <v>21790</v>
      </c>
      <c r="D34">
        <v>10642</v>
      </c>
      <c r="E34">
        <v>5120</v>
      </c>
      <c r="F34">
        <v>2588</v>
      </c>
      <c r="G34">
        <v>1294</v>
      </c>
      <c r="H34">
        <v>589</v>
      </c>
      <c r="I34" s="79"/>
      <c r="J34" s="79"/>
      <c r="K34" s="79"/>
      <c r="M34" s="42"/>
    </row>
    <row r="35" spans="1:13" x14ac:dyDescent="0.35">
      <c r="A35">
        <v>8.5646590000000007</v>
      </c>
      <c r="B35">
        <v>40705</v>
      </c>
      <c r="C35">
        <v>22053</v>
      </c>
      <c r="D35">
        <v>10855</v>
      </c>
      <c r="E35">
        <v>5249</v>
      </c>
      <c r="F35">
        <v>2644</v>
      </c>
      <c r="G35">
        <v>1252</v>
      </c>
      <c r="H35">
        <v>594</v>
      </c>
      <c r="I35" s="79"/>
      <c r="J35" s="79"/>
      <c r="K35" s="79"/>
      <c r="M35" s="42"/>
    </row>
    <row r="36" spans="1:13" x14ac:dyDescent="0.35">
      <c r="A36">
        <v>8.5678509999999992</v>
      </c>
      <c r="B36">
        <v>40117</v>
      </c>
      <c r="C36">
        <v>21746</v>
      </c>
      <c r="D36">
        <v>10730</v>
      </c>
      <c r="E36">
        <v>5152</v>
      </c>
      <c r="F36">
        <v>2644</v>
      </c>
      <c r="G36">
        <v>1326</v>
      </c>
      <c r="H36">
        <v>583</v>
      </c>
      <c r="I36" s="79"/>
      <c r="J36" s="79"/>
      <c r="K36" s="79"/>
      <c r="M36" s="42"/>
    </row>
    <row r="37" spans="1:13" x14ac:dyDescent="0.35">
      <c r="A37">
        <v>7.9189910000000001</v>
      </c>
      <c r="B37">
        <v>37905</v>
      </c>
      <c r="C37">
        <v>20555</v>
      </c>
      <c r="D37">
        <v>10121</v>
      </c>
      <c r="E37">
        <v>4858</v>
      </c>
      <c r="F37">
        <v>2477</v>
      </c>
      <c r="G37">
        <v>1207</v>
      </c>
      <c r="H37">
        <v>561</v>
      </c>
      <c r="I37" s="79"/>
      <c r="J37" s="79"/>
      <c r="K37" s="79"/>
    </row>
    <row r="38" spans="1:13" x14ac:dyDescent="0.35">
      <c r="A38">
        <v>8.5659390000000002</v>
      </c>
      <c r="B38">
        <v>39539</v>
      </c>
      <c r="C38">
        <v>21543</v>
      </c>
      <c r="D38">
        <v>10621</v>
      </c>
      <c r="E38">
        <v>5128</v>
      </c>
      <c r="F38">
        <v>2618</v>
      </c>
      <c r="G38">
        <v>1299</v>
      </c>
      <c r="H38">
        <v>656</v>
      </c>
      <c r="I38" s="79"/>
      <c r="J38" s="79"/>
      <c r="K38" s="79"/>
    </row>
    <row r="39" spans="1:13" x14ac:dyDescent="0.35">
      <c r="A39">
        <v>8.5025910000000007</v>
      </c>
      <c r="B39">
        <v>40583</v>
      </c>
      <c r="C39">
        <v>21916</v>
      </c>
      <c r="D39">
        <v>10898</v>
      </c>
      <c r="E39">
        <v>5195</v>
      </c>
      <c r="F39">
        <v>2665</v>
      </c>
      <c r="G39">
        <v>1363</v>
      </c>
      <c r="H39">
        <v>678</v>
      </c>
    </row>
    <row r="40" spans="1:13" x14ac:dyDescent="0.35">
      <c r="A40">
        <v>8.576848</v>
      </c>
      <c r="B40">
        <v>40696</v>
      </c>
      <c r="C40">
        <v>21879</v>
      </c>
      <c r="D40">
        <v>10812</v>
      </c>
      <c r="E40">
        <v>5091</v>
      </c>
      <c r="F40">
        <v>2608</v>
      </c>
      <c r="G40">
        <v>1305</v>
      </c>
      <c r="H40">
        <v>642</v>
      </c>
    </row>
    <row r="41" spans="1:13" x14ac:dyDescent="0.35">
      <c r="A41">
        <v>8.5717929999999996</v>
      </c>
      <c r="B41">
        <v>39257</v>
      </c>
      <c r="C41">
        <v>21026</v>
      </c>
      <c r="D41">
        <v>10325</v>
      </c>
      <c r="E41">
        <v>4984</v>
      </c>
      <c r="F41">
        <v>2535</v>
      </c>
      <c r="G41">
        <v>1322</v>
      </c>
      <c r="H41">
        <v>635</v>
      </c>
    </row>
    <row r="42" spans="1:13" x14ac:dyDescent="0.35">
      <c r="A42">
        <v>7.91486</v>
      </c>
      <c r="B42">
        <v>35628</v>
      </c>
      <c r="C42">
        <v>18844</v>
      </c>
      <c r="D42">
        <v>9212</v>
      </c>
      <c r="E42">
        <v>4397</v>
      </c>
      <c r="F42">
        <v>2233</v>
      </c>
      <c r="G42">
        <v>1136</v>
      </c>
      <c r="H42">
        <v>582</v>
      </c>
    </row>
    <row r="43" spans="1:13" x14ac:dyDescent="0.35">
      <c r="A43">
        <v>8.5795429999999993</v>
      </c>
      <c r="B43">
        <v>37906</v>
      </c>
      <c r="C43">
        <v>20368</v>
      </c>
      <c r="D43">
        <v>9892</v>
      </c>
      <c r="E43">
        <v>4771</v>
      </c>
      <c r="F43">
        <v>2486</v>
      </c>
      <c r="G43" s="42">
        <v>1288</v>
      </c>
      <c r="H43" s="42">
        <v>650</v>
      </c>
    </row>
    <row r="44" spans="1:13" ht="13.15" x14ac:dyDescent="0.4">
      <c r="A44" s="8">
        <v>8.519558</v>
      </c>
      <c r="B44">
        <v>38247</v>
      </c>
      <c r="C44">
        <v>20600</v>
      </c>
      <c r="D44">
        <v>10048</v>
      </c>
      <c r="E44">
        <v>4790</v>
      </c>
      <c r="F44">
        <v>2449</v>
      </c>
      <c r="G44">
        <v>1269</v>
      </c>
      <c r="H44">
        <v>648</v>
      </c>
    </row>
    <row r="45" spans="1:13" x14ac:dyDescent="0.35">
      <c r="A45">
        <v>8.5935880000000004</v>
      </c>
      <c r="B45">
        <v>37202</v>
      </c>
      <c r="C45">
        <v>19865</v>
      </c>
      <c r="D45">
        <v>9587</v>
      </c>
      <c r="E45">
        <v>4643</v>
      </c>
      <c r="F45">
        <v>2465</v>
      </c>
      <c r="G45">
        <v>1239</v>
      </c>
      <c r="H45">
        <v>667</v>
      </c>
    </row>
    <row r="46" spans="1:13" x14ac:dyDescent="0.35">
      <c r="A46">
        <v>8.5778130000000008</v>
      </c>
      <c r="B46">
        <v>36935</v>
      </c>
      <c r="C46">
        <v>19693</v>
      </c>
      <c r="D46">
        <v>9578</v>
      </c>
      <c r="E46">
        <v>4617</v>
      </c>
      <c r="F46">
        <v>2377</v>
      </c>
      <c r="G46">
        <v>1183</v>
      </c>
      <c r="H46">
        <v>594</v>
      </c>
    </row>
    <row r="47" spans="1:13" x14ac:dyDescent="0.35">
      <c r="A47">
        <v>7.9096109999999999</v>
      </c>
      <c r="B47">
        <v>37107</v>
      </c>
      <c r="C47">
        <v>19916</v>
      </c>
      <c r="D47">
        <v>9579</v>
      </c>
      <c r="E47">
        <v>4546</v>
      </c>
      <c r="F47">
        <v>2322</v>
      </c>
      <c r="G47">
        <v>1121</v>
      </c>
      <c r="H47">
        <v>535</v>
      </c>
    </row>
    <row r="48" spans="1:13" x14ac:dyDescent="0.35">
      <c r="A48">
        <v>8.5622120000000006</v>
      </c>
      <c r="B48">
        <v>40722</v>
      </c>
      <c r="C48">
        <v>21911</v>
      </c>
      <c r="D48">
        <v>10647</v>
      </c>
      <c r="E48">
        <v>5096</v>
      </c>
      <c r="F48">
        <v>2592</v>
      </c>
      <c r="G48">
        <v>1298</v>
      </c>
      <c r="H48" s="245">
        <v>611</v>
      </c>
    </row>
    <row r="49" spans="1:10" ht="13.15" x14ac:dyDescent="0.4">
      <c r="A49" s="8">
        <v>8.5088539999999995</v>
      </c>
      <c r="B49">
        <v>41147</v>
      </c>
      <c r="C49">
        <v>22141</v>
      </c>
      <c r="D49">
        <v>10819</v>
      </c>
      <c r="E49">
        <v>5209</v>
      </c>
      <c r="F49">
        <v>2568</v>
      </c>
      <c r="G49">
        <v>1278</v>
      </c>
      <c r="H49" s="246">
        <v>578</v>
      </c>
    </row>
    <row r="50" spans="1:10" x14ac:dyDescent="0.35">
      <c r="A50">
        <v>8.5649069999999998</v>
      </c>
      <c r="B50">
        <v>40180</v>
      </c>
      <c r="C50">
        <v>21678</v>
      </c>
      <c r="D50">
        <v>10547</v>
      </c>
      <c r="E50">
        <v>5121</v>
      </c>
      <c r="F50">
        <v>2634</v>
      </c>
      <c r="G50">
        <v>1306</v>
      </c>
      <c r="H50">
        <v>623</v>
      </c>
    </row>
    <row r="51" spans="1:10" x14ac:dyDescent="0.35">
      <c r="A51">
        <v>8.5590030000000006</v>
      </c>
      <c r="B51">
        <v>38777</v>
      </c>
      <c r="C51">
        <v>21008</v>
      </c>
      <c r="D51">
        <v>10245</v>
      </c>
      <c r="E51">
        <v>4927</v>
      </c>
      <c r="F51">
        <v>2546</v>
      </c>
      <c r="G51">
        <v>1210</v>
      </c>
      <c r="H51">
        <v>589</v>
      </c>
    </row>
    <row r="64" spans="1:10" x14ac:dyDescent="0.35">
      <c r="I64" s="42"/>
      <c r="J64" s="42"/>
    </row>
    <row r="69" spans="10:11" x14ac:dyDescent="0.35">
      <c r="J69" s="82"/>
    </row>
    <row r="70" spans="10:11" ht="13.15" x14ac:dyDescent="0.4">
      <c r="J70" s="122"/>
    </row>
    <row r="71" spans="10:11" ht="13.15" x14ac:dyDescent="0.4">
      <c r="K71" s="65"/>
    </row>
  </sheetData>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B8" sqref="B8:B15"/>
    </sheetView>
  </sheetViews>
  <sheetFormatPr defaultColWidth="11.53125" defaultRowHeight="12.75" x14ac:dyDescent="0.35"/>
  <sheetData>
    <row r="1" spans="1:49" x14ac:dyDescent="0.35">
      <c r="A1" t="s">
        <v>266</v>
      </c>
    </row>
    <row r="2" spans="1:49" ht="40.15" x14ac:dyDescent="1.05">
      <c r="O2" s="75"/>
    </row>
    <row r="4" spans="1:49" ht="40.15" x14ac:dyDescent="1.05">
      <c r="A4" s="8" t="s">
        <v>28</v>
      </c>
      <c r="O4" s="75" t="s">
        <v>92</v>
      </c>
    </row>
    <row r="5" spans="1:49" x14ac:dyDescent="0.35">
      <c r="O5" s="29">
        <v>46007</v>
      </c>
    </row>
    <row r="6" spans="1:49" ht="13.15" x14ac:dyDescent="0.4">
      <c r="A6" t="s">
        <v>268</v>
      </c>
      <c r="B6" s="8"/>
      <c r="C6" s="8"/>
      <c r="D6" s="8"/>
      <c r="E6" s="8"/>
      <c r="F6" s="8"/>
      <c r="O6" t="s">
        <v>392</v>
      </c>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C8">
        <v>8.5659390000000002</v>
      </c>
      <c r="D8">
        <v>8.5025910000000007</v>
      </c>
      <c r="E8">
        <v>8.576848</v>
      </c>
      <c r="F8">
        <v>8.5717929999999996</v>
      </c>
      <c r="G8" s="78">
        <v>25.517626</v>
      </c>
      <c r="H8" s="78">
        <f>AVERAGE(B$8:F$8)*5</f>
        <v>42.771463750000002</v>
      </c>
      <c r="I8" s="79"/>
      <c r="K8" s="79"/>
    </row>
    <row r="9" spans="1:49" ht="13.15" x14ac:dyDescent="0.4">
      <c r="A9" s="83" t="s">
        <v>140</v>
      </c>
      <c r="C9">
        <v>39539</v>
      </c>
      <c r="D9">
        <v>40583</v>
      </c>
      <c r="E9">
        <v>40696</v>
      </c>
      <c r="F9">
        <v>39257</v>
      </c>
      <c r="G9" s="116">
        <f t="shared" ref="G9:G15" si="0">AVERAGE(B9:F9)/AVERAGE(B$8:F$8)</f>
        <v>4678.2067401188715</v>
      </c>
      <c r="H9" s="117">
        <f t="shared" ref="H9:H15" si="1">G9*H$8</f>
        <v>200093.75</v>
      </c>
      <c r="I9" s="118">
        <f t="shared" ref="I9:I15" si="2">STDEVP(B9:F9)/AVERAGE(B9:F9)</f>
        <v>1.5741969896488076E-2</v>
      </c>
      <c r="J9" s="118">
        <f t="shared" ref="J9:J15" si="3">IF(H9&gt;$A$21, $C$21, IF(H9&gt;$A$22, $C$22, IF(H9&gt;$A$23,$C$23,IF(H9&gt;$A$24,$C$24, IF(H9&gt;$A$25,$C$25,IF(H9&gt;$A$26,$C$26,$C$27))))))/100</f>
        <v>0.11</v>
      </c>
      <c r="K9" s="118">
        <f t="shared" ref="K9:K15" si="4">(MAX(B9:F9)-MIN(B9:F9))/H9*5</f>
        <v>3.595814461970951E-2</v>
      </c>
      <c r="M9" s="42"/>
    </row>
    <row r="10" spans="1:49" ht="13.15" x14ac:dyDescent="0.4">
      <c r="A10" s="68" t="s">
        <v>141</v>
      </c>
      <c r="C10">
        <v>21543</v>
      </c>
      <c r="D10">
        <v>21916</v>
      </c>
      <c r="E10">
        <v>21879</v>
      </c>
      <c r="F10">
        <v>21026</v>
      </c>
      <c r="G10" s="80">
        <f t="shared" si="0"/>
        <v>2523.9959200601356</v>
      </c>
      <c r="H10" s="81">
        <f t="shared" si="1"/>
        <v>107955</v>
      </c>
      <c r="I10" s="79">
        <f t="shared" si="2"/>
        <v>1.6539564014695234E-2</v>
      </c>
      <c r="J10" s="79">
        <f t="shared" si="3"/>
        <v>0.11</v>
      </c>
      <c r="K10" s="79">
        <f t="shared" si="4"/>
        <v>4.1220879069982862E-2</v>
      </c>
      <c r="M10" s="42"/>
    </row>
    <row r="11" spans="1:49" ht="13.15" x14ac:dyDescent="0.4">
      <c r="A11" s="68" t="s">
        <v>142</v>
      </c>
      <c r="C11">
        <v>10621</v>
      </c>
      <c r="D11">
        <v>10898</v>
      </c>
      <c r="E11">
        <v>10812</v>
      </c>
      <c r="F11">
        <v>10325</v>
      </c>
      <c r="G11" s="80">
        <f t="shared" si="0"/>
        <v>1246.6255611838862</v>
      </c>
      <c r="H11" s="81">
        <f t="shared" si="1"/>
        <v>53320</v>
      </c>
      <c r="I11" s="79">
        <f t="shared" si="2"/>
        <v>2.0621097887987151E-2</v>
      </c>
      <c r="J11" s="79">
        <f t="shared" si="3"/>
        <v>0.11</v>
      </c>
      <c r="K11" s="79">
        <f t="shared" si="4"/>
        <v>5.3732183045761439E-2</v>
      </c>
      <c r="M11" s="42"/>
    </row>
    <row r="12" spans="1:49" ht="13.15" x14ac:dyDescent="0.4">
      <c r="A12" s="68" t="s">
        <v>143</v>
      </c>
      <c r="C12">
        <v>5128</v>
      </c>
      <c r="D12">
        <v>5195</v>
      </c>
      <c r="E12">
        <v>5091</v>
      </c>
      <c r="F12">
        <v>4984</v>
      </c>
      <c r="G12" s="80">
        <f t="shared" si="0"/>
        <v>596.13344422892237</v>
      </c>
      <c r="H12" s="81">
        <f t="shared" si="1"/>
        <v>25497.5</v>
      </c>
      <c r="I12" s="79">
        <f t="shared" si="2"/>
        <v>1.4980949752295582E-2</v>
      </c>
      <c r="J12" s="79">
        <f t="shared" si="3"/>
        <v>0.11</v>
      </c>
      <c r="K12" s="79">
        <f t="shared" si="4"/>
        <v>4.1376605549563683E-2</v>
      </c>
      <c r="M12" s="42"/>
    </row>
    <row r="13" spans="1:49" ht="13.15" x14ac:dyDescent="0.4">
      <c r="A13" s="68" t="s">
        <v>144</v>
      </c>
      <c r="C13">
        <v>2618</v>
      </c>
      <c r="D13">
        <v>2665</v>
      </c>
      <c r="E13">
        <v>2608</v>
      </c>
      <c r="F13">
        <v>2535</v>
      </c>
      <c r="G13" s="80">
        <f t="shared" si="0"/>
        <v>304.70081819446733</v>
      </c>
      <c r="H13" s="81">
        <f t="shared" si="1"/>
        <v>13032.5</v>
      </c>
      <c r="I13" s="79">
        <f t="shared" si="2"/>
        <v>1.7860630115487205E-2</v>
      </c>
      <c r="J13" s="79">
        <f t="shared" si="3"/>
        <v>0.11</v>
      </c>
      <c r="K13" s="79">
        <f t="shared" si="4"/>
        <v>4.9875311720698257E-2</v>
      </c>
      <c r="M13" s="42"/>
    </row>
    <row r="14" spans="1:49" ht="13.15" x14ac:dyDescent="0.4">
      <c r="A14" s="87" t="s">
        <v>145</v>
      </c>
      <c r="C14">
        <v>1299</v>
      </c>
      <c r="D14">
        <v>1363</v>
      </c>
      <c r="E14">
        <v>1305</v>
      </c>
      <c r="F14">
        <v>1322</v>
      </c>
      <c r="G14" s="119">
        <f t="shared" si="0"/>
        <v>154.57151615485688</v>
      </c>
      <c r="H14" s="120">
        <f t="shared" si="1"/>
        <v>6611.2500000000009</v>
      </c>
      <c r="I14" s="121">
        <f t="shared" si="2"/>
        <v>1.8902438433393554E-2</v>
      </c>
      <c r="J14" s="121">
        <f t="shared" si="3"/>
        <v>0.113</v>
      </c>
      <c r="K14" s="121">
        <f t="shared" si="4"/>
        <v>4.8402344488561164E-2</v>
      </c>
      <c r="M14" s="42"/>
    </row>
    <row r="15" spans="1:49" ht="13.15" x14ac:dyDescent="0.4">
      <c r="A15" s="68" t="s">
        <v>146</v>
      </c>
      <c r="C15">
        <v>656</v>
      </c>
      <c r="D15">
        <v>678</v>
      </c>
      <c r="E15">
        <v>642</v>
      </c>
      <c r="F15">
        <v>635</v>
      </c>
      <c r="G15" s="80">
        <f t="shared" si="0"/>
        <v>76.30671746650242</v>
      </c>
      <c r="H15" s="81">
        <f t="shared" si="1"/>
        <v>3263.7500000000005</v>
      </c>
      <c r="I15" s="79">
        <f t="shared" si="2"/>
        <v>2.5158429567085396E-2</v>
      </c>
      <c r="J15" s="79">
        <f t="shared" si="3"/>
        <v>0.11900000000000001</v>
      </c>
      <c r="K15" s="79">
        <f t="shared" si="4"/>
        <v>6.587514362313289E-2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2"/>
      <c r="J78" s="122"/>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F31" sqref="F31"/>
    </sheetView>
  </sheetViews>
  <sheetFormatPr defaultColWidth="11.53125" defaultRowHeight="12.75" x14ac:dyDescent="0.35"/>
  <sheetData>
    <row r="1" spans="1:49" x14ac:dyDescent="0.35">
      <c r="A1" t="s">
        <v>266</v>
      </c>
    </row>
    <row r="2" spans="1:49" ht="16.899999999999999" customHeight="1" x14ac:dyDescent="1.05">
      <c r="O2" s="75"/>
    </row>
    <row r="4" spans="1:49" ht="40.15" x14ac:dyDescent="1.05">
      <c r="A4" s="8" t="s">
        <v>28</v>
      </c>
      <c r="O4" s="75" t="s">
        <v>92</v>
      </c>
    </row>
    <row r="5" spans="1:49" x14ac:dyDescent="0.35">
      <c r="O5" s="29">
        <v>45831</v>
      </c>
    </row>
    <row r="6" spans="1:49" ht="13.15" x14ac:dyDescent="0.4">
      <c r="A6" t="s">
        <v>268</v>
      </c>
      <c r="B6" s="8"/>
      <c r="C6" s="8"/>
      <c r="D6" s="8"/>
      <c r="E6" s="8"/>
      <c r="F6" s="8"/>
      <c r="O6" t="s">
        <v>269</v>
      </c>
    </row>
    <row r="7" spans="1:49" ht="14.65" x14ac:dyDescent="0.5">
      <c r="B7" s="65" t="s">
        <v>40</v>
      </c>
      <c r="C7" s="65" t="s">
        <v>41</v>
      </c>
      <c r="D7" s="65" t="s">
        <v>43</v>
      </c>
      <c r="E7" s="65" t="s">
        <v>44</v>
      </c>
      <c r="F7" s="65" t="s">
        <v>46</v>
      </c>
      <c r="G7" s="65" t="s">
        <v>133</v>
      </c>
      <c r="H7" s="65" t="s">
        <v>134</v>
      </c>
      <c r="I7" s="65" t="s">
        <v>135</v>
      </c>
      <c r="J7" s="65" t="s">
        <v>136</v>
      </c>
      <c r="K7" s="65" t="s">
        <v>137</v>
      </c>
      <c r="M7" s="65"/>
    </row>
    <row r="8" spans="1:49" ht="13.15" x14ac:dyDescent="0.4">
      <c r="A8" s="68" t="s">
        <v>139</v>
      </c>
      <c r="C8">
        <v>8.5622120000000006</v>
      </c>
      <c r="D8" s="8">
        <v>8.5088539999999995</v>
      </c>
      <c r="E8">
        <v>8.5649069999999998</v>
      </c>
      <c r="F8">
        <v>8.5590030000000006</v>
      </c>
      <c r="G8" s="78">
        <v>25.517626</v>
      </c>
      <c r="H8" s="78">
        <f>AVERAGE(B$8:F$8)*5</f>
        <v>42.743719999999996</v>
      </c>
      <c r="I8" s="79"/>
      <c r="K8" s="79"/>
    </row>
    <row r="9" spans="1:49" ht="13.15" x14ac:dyDescent="0.4">
      <c r="A9" s="83" t="s">
        <v>140</v>
      </c>
      <c r="C9">
        <v>40722</v>
      </c>
      <c r="D9">
        <v>41147</v>
      </c>
      <c r="E9">
        <v>40180</v>
      </c>
      <c r="F9">
        <v>38777</v>
      </c>
      <c r="G9" s="116">
        <f t="shared" ref="G9:G15" si="0">AVERAGE(B9:F9)/AVERAGE(B$8:F$8)</f>
        <v>4703.2055235248599</v>
      </c>
      <c r="H9" s="117">
        <f t="shared" ref="H9:H15" si="1">G9*H$8</f>
        <v>201032.5</v>
      </c>
      <c r="I9" s="118">
        <f t="shared" ref="I9:I15" si="2">STDEVP(B9:F9)/AVERAGE(B9:F9)</f>
        <v>2.2226546402795651E-2</v>
      </c>
      <c r="J9" s="118">
        <f t="shared" ref="J9:J15" si="3">IF(H9&gt;$A$21, $C$21, IF(H9&gt;$A$22, $C$22, IF(H9&gt;$A$23,$C$23,IF(H9&gt;$A$24,$C$24, IF(H9&gt;$A$25,$C$25,IF(H9&gt;$A$26,$C$26,$C$27))))))/100</f>
        <v>0.11</v>
      </c>
      <c r="K9" s="118">
        <f t="shared" ref="K9:K15" si="4">(MAX(B9:F9)-MIN(B9:F9))/H9*5</f>
        <v>5.8945692860607114E-2</v>
      </c>
      <c r="M9" s="42"/>
    </row>
    <row r="10" spans="1:49" ht="13.15" x14ac:dyDescent="0.4">
      <c r="A10" s="68" t="s">
        <v>141</v>
      </c>
      <c r="C10">
        <v>21911</v>
      </c>
      <c r="D10">
        <v>22141</v>
      </c>
      <c r="E10">
        <v>21678</v>
      </c>
      <c r="F10">
        <v>21008</v>
      </c>
      <c r="G10" s="80">
        <f t="shared" si="0"/>
        <v>2536.5714542393598</v>
      </c>
      <c r="H10" s="81">
        <f t="shared" si="1"/>
        <v>108422.5</v>
      </c>
      <c r="I10" s="79">
        <f t="shared" si="2"/>
        <v>1.952980685610162E-2</v>
      </c>
      <c r="J10" s="79">
        <f t="shared" si="3"/>
        <v>0.11</v>
      </c>
      <c r="K10" s="79">
        <f t="shared" si="4"/>
        <v>5.2249302497175402E-2</v>
      </c>
      <c r="M10" s="42"/>
    </row>
    <row r="11" spans="1:49" ht="13.15" x14ac:dyDescent="0.4">
      <c r="A11" s="68" t="s">
        <v>142</v>
      </c>
      <c r="C11">
        <v>10647</v>
      </c>
      <c r="D11">
        <v>10819</v>
      </c>
      <c r="E11">
        <v>10547</v>
      </c>
      <c r="F11">
        <v>10245</v>
      </c>
      <c r="G11" s="80">
        <f t="shared" si="0"/>
        <v>1235.7955741802539</v>
      </c>
      <c r="H11" s="81">
        <f t="shared" si="1"/>
        <v>52822.5</v>
      </c>
      <c r="I11" s="79">
        <f t="shared" si="2"/>
        <v>1.974010694206732E-2</v>
      </c>
      <c r="J11" s="79">
        <f t="shared" si="3"/>
        <v>0.11</v>
      </c>
      <c r="K11" s="79">
        <f t="shared" si="4"/>
        <v>5.4332907378484549E-2</v>
      </c>
      <c r="M11" s="42"/>
    </row>
    <row r="12" spans="1:49" ht="13.15" x14ac:dyDescent="0.4">
      <c r="A12" s="68" t="s">
        <v>143</v>
      </c>
      <c r="C12">
        <v>5096</v>
      </c>
      <c r="D12">
        <v>5209</v>
      </c>
      <c r="E12">
        <v>5121</v>
      </c>
      <c r="F12">
        <v>4927</v>
      </c>
      <c r="G12" s="80">
        <f t="shared" si="0"/>
        <v>595.20439493801666</v>
      </c>
      <c r="H12" s="81">
        <f t="shared" si="1"/>
        <v>25441.25</v>
      </c>
      <c r="I12" s="79">
        <f t="shared" si="2"/>
        <v>2.0069954395312589E-2</v>
      </c>
      <c r="J12" s="79">
        <f t="shared" si="3"/>
        <v>0.11</v>
      </c>
      <c r="K12" s="79">
        <f t="shared" si="4"/>
        <v>5.5421805139291506E-2</v>
      </c>
      <c r="M12" s="42"/>
    </row>
    <row r="13" spans="1:49" ht="13.15" x14ac:dyDescent="0.4">
      <c r="A13" s="68" t="s">
        <v>144</v>
      </c>
      <c r="C13">
        <v>2592</v>
      </c>
      <c r="D13">
        <v>2568</v>
      </c>
      <c r="E13">
        <v>2634</v>
      </c>
      <c r="F13">
        <v>2546</v>
      </c>
      <c r="G13" s="80">
        <f t="shared" si="0"/>
        <v>302.38360161445939</v>
      </c>
      <c r="H13" s="81">
        <f t="shared" si="1"/>
        <v>12925</v>
      </c>
      <c r="I13" s="79">
        <f t="shared" si="2"/>
        <v>1.2624502028689146E-2</v>
      </c>
      <c r="J13" s="79">
        <f t="shared" si="3"/>
        <v>0.11</v>
      </c>
      <c r="K13" s="79">
        <f t="shared" si="4"/>
        <v>3.4042553191489362E-2</v>
      </c>
      <c r="M13" s="42"/>
    </row>
    <row r="14" spans="1:49" ht="13.15" x14ac:dyDescent="0.4">
      <c r="A14" s="87" t="s">
        <v>145</v>
      </c>
      <c r="C14">
        <v>1298</v>
      </c>
      <c r="D14">
        <v>1278</v>
      </c>
      <c r="E14">
        <v>1306</v>
      </c>
      <c r="F14">
        <v>1210</v>
      </c>
      <c r="G14" s="119">
        <f t="shared" si="0"/>
        <v>148.91076396719799</v>
      </c>
      <c r="H14" s="120">
        <f t="shared" si="1"/>
        <v>6365</v>
      </c>
      <c r="I14" s="121">
        <f t="shared" si="2"/>
        <v>2.9674511810721293E-2</v>
      </c>
      <c r="J14" s="121">
        <f t="shared" si="3"/>
        <v>0.113</v>
      </c>
      <c r="K14" s="121">
        <f t="shared" si="4"/>
        <v>7.5412411626080131E-2</v>
      </c>
      <c r="M14" s="42"/>
    </row>
    <row r="15" spans="1:49" ht="13.15" x14ac:dyDescent="0.4">
      <c r="A15" s="68" t="s">
        <v>146</v>
      </c>
      <c r="C15" s="245">
        <v>611</v>
      </c>
      <c r="D15" s="246">
        <v>578</v>
      </c>
      <c r="E15">
        <v>623</v>
      </c>
      <c r="F15">
        <v>589</v>
      </c>
      <c r="G15" s="80">
        <f t="shared" si="0"/>
        <v>70.214992986104164</v>
      </c>
      <c r="H15" s="81">
        <f t="shared" si="1"/>
        <v>3001.25</v>
      </c>
      <c r="I15" s="79">
        <f t="shared" si="2"/>
        <v>2.9506414417423594E-2</v>
      </c>
      <c r="J15" s="79">
        <f t="shared" si="3"/>
        <v>0.11900000000000001</v>
      </c>
      <c r="K15" s="79">
        <f t="shared" si="4"/>
        <v>7.496876301541025E-2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170</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171</v>
      </c>
      <c r="C19" s="35"/>
      <c r="D19" s="84" t="s">
        <v>172</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173</v>
      </c>
      <c r="B20" s="87" t="s">
        <v>174</v>
      </c>
      <c r="C20" s="86" t="s">
        <v>175</v>
      </c>
      <c r="D20" s="86" t="s">
        <v>176</v>
      </c>
      <c r="E20" s="87" t="s">
        <v>177</v>
      </c>
      <c r="F20" s="87" t="s">
        <v>178</v>
      </c>
      <c r="G20" s="87" t="s">
        <v>179</v>
      </c>
      <c r="H20" s="88" t="s">
        <v>180</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2"/>
      <c r="J78" s="122"/>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85" zoomScaleNormal="85" workbookViewId="0">
      <selection activeCell="D16" sqref="D16"/>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271</v>
      </c>
      <c r="C1" s="262" t="s">
        <v>19</v>
      </c>
      <c r="D1" s="262"/>
      <c r="E1" s="262"/>
      <c r="F1" s="262"/>
      <c r="G1" s="262"/>
      <c r="H1" s="262"/>
      <c r="I1" s="262"/>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117</v>
      </c>
      <c r="D3" s="68" t="s">
        <v>244</v>
      </c>
    </row>
    <row r="4" spans="1:1024" x14ac:dyDescent="0.35">
      <c r="A4" t="s">
        <v>22</v>
      </c>
      <c r="D4" s="68" t="s">
        <v>60</v>
      </c>
    </row>
    <row r="5" spans="1:1024" x14ac:dyDescent="0.35">
      <c r="A5" t="s">
        <v>24</v>
      </c>
      <c r="D5" s="68" t="s">
        <v>25</v>
      </c>
    </row>
    <row r="6" spans="1:1024" x14ac:dyDescent="0.35">
      <c r="A6" t="s">
        <v>26</v>
      </c>
      <c r="D6" s="68" t="s">
        <v>60</v>
      </c>
    </row>
    <row r="7" spans="1:1024" x14ac:dyDescent="0.35">
      <c r="A7" t="s">
        <v>27</v>
      </c>
      <c r="D7" s="68"/>
    </row>
    <row r="8" spans="1:1024" ht="13.15" x14ac:dyDescent="0.4">
      <c r="A8" t="s">
        <v>28</v>
      </c>
      <c r="D8" s="123">
        <v>45831</v>
      </c>
    </row>
    <row r="9" spans="1:1024" x14ac:dyDescent="0.35">
      <c r="A9" t="s">
        <v>29</v>
      </c>
      <c r="D9" s="63" t="s">
        <v>30</v>
      </c>
    </row>
    <row r="10" spans="1:1024" ht="13.15" x14ac:dyDescent="0.4">
      <c r="A10" t="s">
        <v>31</v>
      </c>
      <c r="D10" s="65">
        <v>36</v>
      </c>
    </row>
    <row r="11" spans="1:1024" x14ac:dyDescent="0.35">
      <c r="A11" t="s">
        <v>272</v>
      </c>
      <c r="D11">
        <v>1</v>
      </c>
    </row>
    <row r="13" spans="1:1024" x14ac:dyDescent="0.35">
      <c r="A13" t="s">
        <v>273</v>
      </c>
      <c r="B13">
        <v>50</v>
      </c>
      <c r="C13" t="s">
        <v>53</v>
      </c>
    </row>
    <row r="14" spans="1:1024" x14ac:dyDescent="0.35">
      <c r="A14" t="s">
        <v>274</v>
      </c>
      <c r="B14">
        <v>5</v>
      </c>
    </row>
    <row r="15" spans="1:1024" x14ac:dyDescent="0.35">
      <c r="A15" t="s">
        <v>275</v>
      </c>
      <c r="B15">
        <f>B13/B14</f>
        <v>10</v>
      </c>
      <c r="C15" t="s">
        <v>53</v>
      </c>
    </row>
    <row r="16" spans="1:1024" x14ac:dyDescent="0.35">
      <c r="A16" t="s">
        <v>265</v>
      </c>
      <c r="B16">
        <v>0.7</v>
      </c>
    </row>
    <row r="17" spans="1:10" x14ac:dyDescent="0.35">
      <c r="D17" s="68"/>
    </row>
    <row r="18" spans="1:10" x14ac:dyDescent="0.35">
      <c r="A18" t="s">
        <v>276</v>
      </c>
      <c r="B18">
        <f>$B$16*$B$15/100</f>
        <v>7.0000000000000007E-2</v>
      </c>
    </row>
    <row r="19" spans="1:10" x14ac:dyDescent="0.35">
      <c r="A19" s="70" t="s">
        <v>277</v>
      </c>
      <c r="B19">
        <f>B16*$B$13</f>
        <v>35</v>
      </c>
      <c r="C19" t="s">
        <v>53</v>
      </c>
    </row>
    <row r="20" spans="1:10" x14ac:dyDescent="0.35">
      <c r="A20" t="s">
        <v>278</v>
      </c>
      <c r="B20">
        <f>B15*B16</f>
        <v>7</v>
      </c>
      <c r="C20" t="s">
        <v>53</v>
      </c>
    </row>
    <row r="22" spans="1:10" x14ac:dyDescent="0.35">
      <c r="A22" s="124" t="s">
        <v>225</v>
      </c>
      <c r="B22" s="124" t="s">
        <v>279</v>
      </c>
      <c r="C22" s="124" t="s">
        <v>280</v>
      </c>
      <c r="D22" s="124" t="s">
        <v>281</v>
      </c>
      <c r="E22" s="124" t="s">
        <v>282</v>
      </c>
      <c r="F22" s="124" t="s">
        <v>283</v>
      </c>
      <c r="G22" s="124" t="s">
        <v>284</v>
      </c>
      <c r="H22" s="124" t="s">
        <v>285</v>
      </c>
      <c r="I22" s="124" t="s">
        <v>39</v>
      </c>
    </row>
    <row r="23" spans="1:10" x14ac:dyDescent="0.35">
      <c r="A23" s="125">
        <v>4</v>
      </c>
      <c r="B23" s="126">
        <f>'E - B1'!$G9</f>
        <v>4725.6895729616126</v>
      </c>
      <c r="C23" s="126">
        <f>'E - B2'!$G9</f>
        <v>4678.2067401188715</v>
      </c>
      <c r="D23" s="126">
        <f>'E - B3'!$G9</f>
        <v>4703.2055235248599</v>
      </c>
      <c r="E23" s="42">
        <f t="shared" ref="E23:E28" si="0">AVERAGE(B23:D23)</f>
        <v>4702.367278868448</v>
      </c>
      <c r="F23" s="110">
        <v>6300</v>
      </c>
      <c r="G23">
        <v>4553</v>
      </c>
      <c r="H23">
        <v>8713</v>
      </c>
      <c r="I23" s="79">
        <f t="shared" ref="I23:I28" si="1">(E23-F23)/F23</f>
        <v>-0.25359249541770668</v>
      </c>
    </row>
    <row r="24" spans="1:10" x14ac:dyDescent="0.35">
      <c r="A24" s="68">
        <v>5</v>
      </c>
      <c r="B24" s="126">
        <f>'E - B1'!$G10</f>
        <v>2559.0846408437919</v>
      </c>
      <c r="C24" s="126">
        <f>'E - B2'!$G10</f>
        <v>2523.9959200601356</v>
      </c>
      <c r="D24" s="126">
        <f>'E - B3'!$G10</f>
        <v>2536.5714542393598</v>
      </c>
      <c r="E24" s="42">
        <f t="shared" si="0"/>
        <v>2539.8840050477625</v>
      </c>
      <c r="F24" s="127">
        <v>3475</v>
      </c>
      <c r="G24">
        <v>2330</v>
      </c>
      <c r="H24">
        <v>5183</v>
      </c>
      <c r="I24" s="79">
        <f t="shared" si="1"/>
        <v>-0.26909812804380939</v>
      </c>
    </row>
    <row r="25" spans="1:10" x14ac:dyDescent="0.35">
      <c r="A25" s="68">
        <v>6</v>
      </c>
      <c r="B25" s="126">
        <f>'E - B1'!$G11</f>
        <v>1256.2858877744836</v>
      </c>
      <c r="C25" s="126">
        <f>'E - B2'!$G11</f>
        <v>1246.6255611838862</v>
      </c>
      <c r="D25" s="126">
        <f>'E - B3'!$G11</f>
        <v>1235.7955741802539</v>
      </c>
      <c r="E25" s="42">
        <f t="shared" si="0"/>
        <v>1246.2356743795413</v>
      </c>
      <c r="F25" s="127">
        <v>1631</v>
      </c>
      <c r="G25">
        <v>938.2</v>
      </c>
      <c r="H25">
        <v>2834</v>
      </c>
      <c r="I25" s="79">
        <f t="shared" si="1"/>
        <v>-0.23590700528538244</v>
      </c>
    </row>
    <row r="26" spans="1:10" x14ac:dyDescent="0.35">
      <c r="A26" s="68">
        <v>7</v>
      </c>
      <c r="B26" s="126">
        <f>'E - B1'!$G12</f>
        <v>605.83664833730393</v>
      </c>
      <c r="C26" s="126">
        <f>'E - B2'!$G12</f>
        <v>596.13344422892237</v>
      </c>
      <c r="D26" s="126">
        <f>'E - B3'!$G12</f>
        <v>595.20439493801666</v>
      </c>
      <c r="E26" s="42">
        <f t="shared" si="0"/>
        <v>599.05816250141436</v>
      </c>
      <c r="F26" s="127">
        <v>769.8</v>
      </c>
      <c r="G26">
        <v>413.6</v>
      </c>
      <c r="H26">
        <v>1433</v>
      </c>
      <c r="I26" s="79">
        <f t="shared" si="1"/>
        <v>-0.22180025655830815</v>
      </c>
    </row>
    <row r="27" spans="1:10" x14ac:dyDescent="0.35">
      <c r="A27" s="68">
        <v>8</v>
      </c>
      <c r="B27" s="126">
        <f>'E - B1'!$G13</f>
        <v>306.148790300065</v>
      </c>
      <c r="C27" s="126">
        <f>'E - B2'!$G13</f>
        <v>304.70081819446733</v>
      </c>
      <c r="D27" s="126">
        <f>'E - B3'!$G13</f>
        <v>302.38360161445939</v>
      </c>
      <c r="E27" s="42">
        <f t="shared" si="0"/>
        <v>304.41107003633056</v>
      </c>
      <c r="F27" s="127">
        <v>379.1</v>
      </c>
      <c r="G27">
        <v>179.7</v>
      </c>
      <c r="H27">
        <v>799.5</v>
      </c>
      <c r="I27" s="79">
        <f t="shared" si="1"/>
        <v>-0.19701643356283161</v>
      </c>
    </row>
    <row r="28" spans="1:10" x14ac:dyDescent="0.35">
      <c r="A28" s="87">
        <v>9</v>
      </c>
      <c r="B28" s="128">
        <f>'E - B1'!$G14</f>
        <v>152.02193559590697</v>
      </c>
      <c r="C28" s="128">
        <f>'E - B2'!$G14</f>
        <v>154.57151615485688</v>
      </c>
      <c r="D28" s="128">
        <f>'E - B3'!$G14</f>
        <v>148.91076396719799</v>
      </c>
      <c r="E28" s="129">
        <f t="shared" si="0"/>
        <v>151.83473857265395</v>
      </c>
      <c r="F28" s="130">
        <v>196.2</v>
      </c>
      <c r="G28" s="48">
        <v>76.569999999999993</v>
      </c>
      <c r="H28" s="48">
        <v>502.6</v>
      </c>
      <c r="I28" s="121">
        <f t="shared" si="1"/>
        <v>-0.22612263724437331</v>
      </c>
    </row>
    <row r="29" spans="1:10" ht="13.15" x14ac:dyDescent="0.4">
      <c r="A29" s="8"/>
      <c r="B29" s="8"/>
      <c r="C29" s="131"/>
      <c r="D29" s="110"/>
      <c r="E29" s="110"/>
      <c r="J29" s="68"/>
    </row>
    <row r="30" spans="1:10" x14ac:dyDescent="0.35">
      <c r="A30" t="s">
        <v>283</v>
      </c>
      <c r="C30" s="43"/>
    </row>
    <row r="31" spans="1:10" x14ac:dyDescent="0.35">
      <c r="A31" s="124" t="s">
        <v>225</v>
      </c>
      <c r="B31" s="124" t="s">
        <v>286</v>
      </c>
      <c r="C31" s="124" t="s">
        <v>287</v>
      </c>
      <c r="D31" s="124" t="s">
        <v>288</v>
      </c>
    </row>
    <row r="32" spans="1:10" x14ac:dyDescent="0.35">
      <c r="A32">
        <v>2</v>
      </c>
      <c r="B32">
        <v>20210</v>
      </c>
      <c r="C32">
        <v>14180</v>
      </c>
      <c r="D32">
        <v>28820</v>
      </c>
    </row>
    <row r="33" spans="1:21" x14ac:dyDescent="0.35">
      <c r="A33">
        <v>3</v>
      </c>
      <c r="B33">
        <v>10700</v>
      </c>
      <c r="C33">
        <v>7928</v>
      </c>
      <c r="D33">
        <v>14440</v>
      </c>
      <c r="U33" s="29"/>
    </row>
    <row r="34" spans="1:21" ht="13.15" x14ac:dyDescent="0.4">
      <c r="A34" s="132">
        <v>4</v>
      </c>
      <c r="B34" s="132">
        <v>6300</v>
      </c>
      <c r="C34" s="132">
        <v>4553</v>
      </c>
      <c r="D34" s="132">
        <v>8713</v>
      </c>
    </row>
    <row r="35" spans="1:21" x14ac:dyDescent="0.35">
      <c r="A35">
        <v>5</v>
      </c>
      <c r="B35">
        <v>3475</v>
      </c>
      <c r="C35">
        <v>2330</v>
      </c>
      <c r="D35">
        <v>5183</v>
      </c>
      <c r="E35" s="82"/>
      <c r="F35" s="42"/>
      <c r="G35" s="82"/>
      <c r="H35" s="42"/>
      <c r="I35" s="82"/>
      <c r="J35" s="42"/>
      <c r="K35" s="82"/>
    </row>
    <row r="36" spans="1:21" ht="13.15" x14ac:dyDescent="0.4">
      <c r="A36" s="132">
        <v>6</v>
      </c>
      <c r="B36" s="132">
        <v>1631</v>
      </c>
      <c r="C36" s="132">
        <v>938.2</v>
      </c>
      <c r="D36" s="132">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170</v>
      </c>
    </row>
    <row r="43" spans="1:21" ht="15" x14ac:dyDescent="0.5">
      <c r="A43" s="35"/>
      <c r="B43" s="83" t="s">
        <v>171</v>
      </c>
      <c r="C43" s="35"/>
      <c r="D43" s="84" t="s">
        <v>172</v>
      </c>
      <c r="E43" s="36"/>
      <c r="F43" s="36"/>
      <c r="G43" s="36"/>
      <c r="H43" s="85"/>
      <c r="U43" s="29"/>
    </row>
    <row r="44" spans="1:21" ht="15" x14ac:dyDescent="0.5">
      <c r="A44" s="86" t="s">
        <v>173</v>
      </c>
      <c r="B44" s="87" t="s">
        <v>174</v>
      </c>
      <c r="C44" s="86" t="s">
        <v>175</v>
      </c>
      <c r="D44" s="86" t="s">
        <v>176</v>
      </c>
      <c r="E44" s="87" t="s">
        <v>177</v>
      </c>
      <c r="F44" s="87" t="s">
        <v>178</v>
      </c>
      <c r="G44" s="87" t="s">
        <v>179</v>
      </c>
      <c r="H44" s="88" t="s">
        <v>180</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33" t="s">
        <v>289</v>
      </c>
    </row>
    <row r="54" spans="1:12" x14ac:dyDescent="0.35">
      <c r="B54" s="82"/>
      <c r="D54" s="82"/>
      <c r="F54" s="82"/>
      <c r="H54" s="82"/>
      <c r="J54" s="82"/>
    </row>
    <row r="55" spans="1:12" ht="13.15" x14ac:dyDescent="0.4">
      <c r="A55" s="8"/>
      <c r="B55" s="122"/>
      <c r="D55" s="122"/>
      <c r="F55" s="122"/>
      <c r="H55" s="122"/>
      <c r="J55" s="122"/>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2026-02-05T16:49:08Z</dcterms:modified>
  <dc:language>en-GB</dc:language>
</cp:coreProperties>
</file>