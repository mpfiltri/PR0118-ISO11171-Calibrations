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results\2025-05-19-LPA3-NAVAIR-11171-00009\"/>
    </mc:Choice>
  </mc:AlternateContent>
  <xr:revisionPtr revIDLastSave="0" documentId="8_{DB5B3097-A30F-46E6-A761-0F2EF1717F8D}" xr6:coauthVersionLast="47" xr6:coauthVersionMax="47" xr10:uidLastSave="{00000000-0000-0000-0000-000000000000}"/>
  <bookViews>
    <workbookView xWindow="-98" yWindow="-98" windowWidth="28996" windowHeight="17745" tabRatio="500" firstSheet="1" activeTab="9" xr2:uid="{00000000-000D-0000-FFFF-FFFF00000000}"/>
  </bookViews>
  <sheets>
    <sheet name="ISO 11171_2020 Summary" sheetId="1" r:id="rId1"/>
    <sheet name="Annex A" sheetId="2" r:id="rId2"/>
    <sheet name="A - B1" sheetId="19" r:id="rId3"/>
    <sheet name="A - B2" sheetId="20" r:id="rId4"/>
    <sheet name="A - B3" sheetId="21" r:id="rId5"/>
    <sheet name="A - B4" sheetId="22" r:id="rId6"/>
    <sheet name="A - B5" sheetId="23" r:id="rId7"/>
    <sheet name="Annex B" sheetId="3" r:id="rId8"/>
    <sheet name="Clause 6" sheetId="4" r:id="rId9"/>
    <sheet name="6 - B1" sheetId="5" r:id="rId10"/>
    <sheet name="6 - B2" sheetId="6" r:id="rId11"/>
    <sheet name="6 - B3" sheetId="7" r:id="rId12"/>
    <sheet name="6 - Thresholds" sheetId="8" r:id="rId13"/>
    <sheet name="6 - Spheres" sheetId="9" r:id="rId14"/>
    <sheet name="6 - Curve" sheetId="10" r:id="rId15"/>
    <sheet name="Annex C" sheetId="11" r:id="rId16"/>
    <sheet name="C - B1" sheetId="24" r:id="rId17"/>
    <sheet name="C -B2" sheetId="25" r:id="rId18"/>
    <sheet name="C - B3" sheetId="26" r:id="rId19"/>
    <sheet name="C - B4" sheetId="27" r:id="rId20"/>
    <sheet name="C - B5" sheetId="28" r:id="rId21"/>
    <sheet name="D1" sheetId="17" r:id="rId22"/>
    <sheet name="Annex D" sheetId="18" r:id="rId23"/>
    <sheet name="E - B1" sheetId="13" r:id="rId24"/>
    <sheet name="E - B2" sheetId="14" r:id="rId25"/>
    <sheet name="E - B3" sheetId="15" r:id="rId26"/>
    <sheet name="Annex E" sheetId="16" r:id="rId27"/>
  </sheets>
  <functionGroups builtInGroupCount="19"/>
  <definedNames>
    <definedName name="_xlnm._FilterDatabase" localSheetId="12" hidden="1">'6 - Thresholds'!$A$4:$H$33</definedName>
    <definedName name="_xlnm.Print_Area" localSheetId="0">'ISO 11171_2020 Summary'!$A$1:$C$18</definedName>
  </definedNames>
  <calcPr calcId="191029"/>
</workbook>
</file>

<file path=xl/calcChain.xml><?xml version="1.0" encoding="utf-8"?>
<calcChain xmlns="http://schemas.openxmlformats.org/spreadsheetml/2006/main">
  <c r="B24" i="5" l="1"/>
  <c r="F24" i="5"/>
  <c r="F8" i="5"/>
  <c r="F9" i="5"/>
  <c r="F10" i="5"/>
  <c r="F11" i="5"/>
  <c r="F12" i="5"/>
  <c r="F13" i="5"/>
  <c r="F14" i="5"/>
  <c r="F15" i="5"/>
  <c r="F16" i="5"/>
  <c r="F17" i="5"/>
  <c r="F18" i="5"/>
  <c r="F19" i="5"/>
  <c r="F25" i="5"/>
  <c r="F26" i="5"/>
  <c r="F27" i="5"/>
  <c r="F28" i="5"/>
  <c r="F29" i="5"/>
  <c r="F30" i="5"/>
  <c r="F31" i="5"/>
  <c r="F32" i="5"/>
  <c r="F33" i="5"/>
  <c r="F34" i="5"/>
  <c r="F35" i="5"/>
  <c r="F36" i="5"/>
  <c r="F37" i="5"/>
  <c r="F38" i="5"/>
  <c r="A51" i="7"/>
  <c r="B51" i="7"/>
  <c r="C51" i="7"/>
  <c r="D51" i="7"/>
  <c r="E51" i="7"/>
  <c r="F51" i="7"/>
  <c r="G51" i="7"/>
  <c r="H51" i="7"/>
  <c r="I51" i="7"/>
  <c r="J51" i="7"/>
  <c r="K51" i="7"/>
  <c r="L51" i="7"/>
  <c r="M51" i="7"/>
  <c r="N51" i="7"/>
  <c r="O51" i="7"/>
  <c r="P51" i="7"/>
  <c r="A52" i="7"/>
  <c r="B52" i="7"/>
  <c r="C52" i="7"/>
  <c r="D52" i="7"/>
  <c r="E52" i="7"/>
  <c r="F52" i="7"/>
  <c r="G52" i="7"/>
  <c r="H52" i="7"/>
  <c r="I52" i="7"/>
  <c r="J52" i="7"/>
  <c r="K52" i="7"/>
  <c r="L52" i="7"/>
  <c r="B8" i="7" s="1"/>
  <c r="M52" i="7"/>
  <c r="N52" i="7"/>
  <c r="O52" i="7"/>
  <c r="P52" i="7"/>
  <c r="A53" i="7"/>
  <c r="B53" i="7"/>
  <c r="C53" i="7"/>
  <c r="D53" i="7"/>
  <c r="E53" i="7"/>
  <c r="F53" i="7"/>
  <c r="G53" i="7"/>
  <c r="H53" i="7"/>
  <c r="I53" i="7"/>
  <c r="J53" i="7"/>
  <c r="K53" i="7"/>
  <c r="L53" i="7"/>
  <c r="B9" i="7" s="1"/>
  <c r="M53" i="7"/>
  <c r="C9" i="7" s="1"/>
  <c r="N53" i="7"/>
  <c r="O53" i="7"/>
  <c r="E9" i="7" s="1"/>
  <c r="P53" i="7"/>
  <c r="A54" i="7"/>
  <c r="B54" i="7"/>
  <c r="C54" i="7"/>
  <c r="D54" i="7"/>
  <c r="E54" i="7"/>
  <c r="F54" i="7"/>
  <c r="G54" i="7"/>
  <c r="H54" i="7"/>
  <c r="I54" i="7"/>
  <c r="J54" i="7"/>
  <c r="K54" i="7"/>
  <c r="L54" i="7"/>
  <c r="B10" i="7" s="1"/>
  <c r="M54" i="7"/>
  <c r="C10" i="7" s="1"/>
  <c r="N54" i="7"/>
  <c r="O54" i="7"/>
  <c r="E10" i="7" s="1"/>
  <c r="P54" i="7"/>
  <c r="A55" i="7"/>
  <c r="B55" i="7"/>
  <c r="C55" i="7"/>
  <c r="D55" i="7"/>
  <c r="E55" i="7"/>
  <c r="F55" i="7"/>
  <c r="G55" i="7"/>
  <c r="H55" i="7"/>
  <c r="I55" i="7"/>
  <c r="J55" i="7"/>
  <c r="K55" i="7"/>
  <c r="L55" i="7"/>
  <c r="M55" i="7"/>
  <c r="C11" i="7" s="1"/>
  <c r="N55" i="7"/>
  <c r="O55" i="7"/>
  <c r="E11" i="7" s="1"/>
  <c r="P55" i="7"/>
  <c r="A56" i="7"/>
  <c r="B56" i="7"/>
  <c r="C56" i="7"/>
  <c r="D56" i="7"/>
  <c r="E56" i="7"/>
  <c r="F56" i="7"/>
  <c r="G56" i="7"/>
  <c r="H56" i="7"/>
  <c r="I56" i="7"/>
  <c r="J56" i="7"/>
  <c r="K56" i="7"/>
  <c r="L56" i="7"/>
  <c r="B12" i="7" s="1"/>
  <c r="M56" i="7"/>
  <c r="C12" i="7" s="1"/>
  <c r="N56" i="7"/>
  <c r="O56" i="7"/>
  <c r="E12" i="7" s="1"/>
  <c r="P56" i="7"/>
  <c r="A57" i="7"/>
  <c r="B57" i="7"/>
  <c r="C57" i="7"/>
  <c r="D57" i="7"/>
  <c r="E57" i="7"/>
  <c r="F57" i="7"/>
  <c r="G57" i="7"/>
  <c r="H57" i="7"/>
  <c r="I57" i="7"/>
  <c r="J57" i="7"/>
  <c r="K57" i="7"/>
  <c r="L57" i="7"/>
  <c r="B13" i="7" s="1"/>
  <c r="M57" i="7"/>
  <c r="C13" i="7" s="1"/>
  <c r="N57" i="7"/>
  <c r="O57" i="7"/>
  <c r="P57" i="7"/>
  <c r="A58" i="7"/>
  <c r="B58" i="7"/>
  <c r="C58" i="7"/>
  <c r="D58" i="7"/>
  <c r="E58" i="7"/>
  <c r="F58" i="7"/>
  <c r="G58" i="7"/>
  <c r="H58" i="7"/>
  <c r="I58" i="7"/>
  <c r="J58" i="7"/>
  <c r="K58" i="7"/>
  <c r="L58" i="7"/>
  <c r="M58" i="7"/>
  <c r="C14" i="7" s="1"/>
  <c r="N58" i="7"/>
  <c r="O58" i="7"/>
  <c r="E14" i="7" s="1"/>
  <c r="P58" i="7"/>
  <c r="A59" i="7"/>
  <c r="B59" i="7"/>
  <c r="C59" i="7"/>
  <c r="D59" i="7"/>
  <c r="E59" i="7"/>
  <c r="F59" i="7"/>
  <c r="G59" i="7"/>
  <c r="H59" i="7"/>
  <c r="I59" i="7"/>
  <c r="J59" i="7"/>
  <c r="K59" i="7"/>
  <c r="L59" i="7"/>
  <c r="B15" i="7" s="1"/>
  <c r="M59" i="7"/>
  <c r="C15" i="7" s="1"/>
  <c r="N59" i="7"/>
  <c r="O59" i="7"/>
  <c r="E15" i="7" s="1"/>
  <c r="P59" i="7"/>
  <c r="A60" i="7"/>
  <c r="B60" i="7"/>
  <c r="C60" i="7"/>
  <c r="D60" i="7"/>
  <c r="E60" i="7"/>
  <c r="F60" i="7"/>
  <c r="G60" i="7"/>
  <c r="H60" i="7"/>
  <c r="I60" i="7"/>
  <c r="J60" i="7"/>
  <c r="K60" i="7"/>
  <c r="L60" i="7"/>
  <c r="B16" i="7" s="1"/>
  <c r="M60" i="7"/>
  <c r="C16" i="7" s="1"/>
  <c r="N60" i="7"/>
  <c r="O60" i="7"/>
  <c r="E16" i="7" s="1"/>
  <c r="P60" i="7"/>
  <c r="A61" i="7"/>
  <c r="B61" i="7"/>
  <c r="C61" i="7"/>
  <c r="D61" i="7"/>
  <c r="E61" i="7"/>
  <c r="F61" i="7"/>
  <c r="G61" i="7"/>
  <c r="H61" i="7"/>
  <c r="I61" i="7"/>
  <c r="J61" i="7"/>
  <c r="K61" i="7"/>
  <c r="L61" i="7"/>
  <c r="B17" i="7" s="1"/>
  <c r="M61" i="7"/>
  <c r="C17" i="7" s="1"/>
  <c r="N61" i="7"/>
  <c r="O61" i="7"/>
  <c r="E17" i="7" s="1"/>
  <c r="P61" i="7"/>
  <c r="A62" i="7"/>
  <c r="B62" i="7"/>
  <c r="C62" i="7"/>
  <c r="D62" i="7"/>
  <c r="E62" i="7"/>
  <c r="F62" i="7"/>
  <c r="G62" i="7"/>
  <c r="H62" i="7"/>
  <c r="I62" i="7"/>
  <c r="J62" i="7"/>
  <c r="K62" i="7"/>
  <c r="L62" i="7"/>
  <c r="B18" i="7" s="1"/>
  <c r="M62" i="7"/>
  <c r="C18" i="7" s="1"/>
  <c r="N62" i="7"/>
  <c r="O62" i="7"/>
  <c r="E18" i="7" s="1"/>
  <c r="P62" i="7"/>
  <c r="A63" i="7"/>
  <c r="B63" i="7"/>
  <c r="C63" i="7"/>
  <c r="D63" i="7"/>
  <c r="E63" i="7"/>
  <c r="F63" i="7"/>
  <c r="G63" i="7"/>
  <c r="H63" i="7"/>
  <c r="I63" i="7"/>
  <c r="J63" i="7"/>
  <c r="K63" i="7"/>
  <c r="L63" i="7"/>
  <c r="B19" i="7" s="1"/>
  <c r="M63" i="7"/>
  <c r="C19" i="7" s="1"/>
  <c r="N63" i="7"/>
  <c r="O63" i="7"/>
  <c r="E19" i="7" s="1"/>
  <c r="P63" i="7"/>
  <c r="A64" i="7"/>
  <c r="B64" i="7"/>
  <c r="C64" i="7"/>
  <c r="D64" i="7"/>
  <c r="E64" i="7"/>
  <c r="F64" i="7"/>
  <c r="G64" i="7"/>
  <c r="H64" i="7"/>
  <c r="I64" i="7"/>
  <c r="J64" i="7"/>
  <c r="K64" i="7"/>
  <c r="L64" i="7"/>
  <c r="M64" i="7"/>
  <c r="C20" i="7" s="1"/>
  <c r="N64" i="7"/>
  <c r="O64" i="7"/>
  <c r="E20" i="7" s="1"/>
  <c r="P64" i="7"/>
  <c r="A65" i="7"/>
  <c r="B65" i="7"/>
  <c r="C65" i="7"/>
  <c r="D65" i="7"/>
  <c r="E65" i="7"/>
  <c r="F65" i="7"/>
  <c r="G65" i="7"/>
  <c r="H65" i="7"/>
  <c r="I65" i="7"/>
  <c r="J65" i="7"/>
  <c r="K65" i="7"/>
  <c r="L65" i="7"/>
  <c r="B21" i="7" s="1"/>
  <c r="M65" i="7"/>
  <c r="C21" i="7" s="1"/>
  <c r="N65" i="7"/>
  <c r="O65" i="7"/>
  <c r="E21" i="7" s="1"/>
  <c r="P65" i="7"/>
  <c r="A66" i="7"/>
  <c r="B66" i="7"/>
  <c r="C66" i="7"/>
  <c r="D66" i="7"/>
  <c r="E66" i="7"/>
  <c r="F66" i="7"/>
  <c r="G66" i="7"/>
  <c r="H66" i="7"/>
  <c r="I66" i="7"/>
  <c r="J66" i="7"/>
  <c r="K66" i="7"/>
  <c r="L66" i="7"/>
  <c r="B22" i="7" s="1"/>
  <c r="M66" i="7"/>
  <c r="C22" i="7" s="1"/>
  <c r="N66" i="7"/>
  <c r="O66" i="7"/>
  <c r="E22" i="7" s="1"/>
  <c r="P66" i="7"/>
  <c r="F22" i="7" s="1"/>
  <c r="A67" i="7"/>
  <c r="B67" i="7"/>
  <c r="C67" i="7"/>
  <c r="D67" i="7"/>
  <c r="E67" i="7"/>
  <c r="F67" i="7"/>
  <c r="G67" i="7"/>
  <c r="H67" i="7"/>
  <c r="I67" i="7"/>
  <c r="J67" i="7"/>
  <c r="K67" i="7"/>
  <c r="L67" i="7"/>
  <c r="B23" i="7" s="1"/>
  <c r="M67" i="7"/>
  <c r="C23" i="7" s="1"/>
  <c r="N67" i="7"/>
  <c r="O67" i="7"/>
  <c r="P67" i="7"/>
  <c r="A68" i="7"/>
  <c r="B68" i="7"/>
  <c r="C68" i="7"/>
  <c r="D68" i="7"/>
  <c r="E68" i="7"/>
  <c r="F68" i="7"/>
  <c r="G68" i="7"/>
  <c r="H68" i="7"/>
  <c r="I68" i="7"/>
  <c r="J68" i="7"/>
  <c r="K68" i="7"/>
  <c r="L68" i="7"/>
  <c r="B24" i="7" s="1"/>
  <c r="M68" i="7"/>
  <c r="C24" i="7" s="1"/>
  <c r="N68" i="7"/>
  <c r="O68" i="7"/>
  <c r="E24" i="7" s="1"/>
  <c r="P68" i="7"/>
  <c r="A69" i="7"/>
  <c r="B69" i="7"/>
  <c r="C69" i="7"/>
  <c r="D69" i="7"/>
  <c r="E69" i="7"/>
  <c r="F69" i="7"/>
  <c r="G69" i="7"/>
  <c r="H69" i="7"/>
  <c r="I69" i="7"/>
  <c r="J69" i="7"/>
  <c r="K69" i="7"/>
  <c r="L69" i="7"/>
  <c r="B25" i="7" s="1"/>
  <c r="M69" i="7"/>
  <c r="C25" i="7" s="1"/>
  <c r="N69" i="7"/>
  <c r="O69" i="7"/>
  <c r="E25" i="7" s="1"/>
  <c r="P69" i="7"/>
  <c r="F25" i="7" s="1"/>
  <c r="A70" i="7"/>
  <c r="B70" i="7"/>
  <c r="C70" i="7"/>
  <c r="D70" i="7"/>
  <c r="E70" i="7"/>
  <c r="F70" i="7"/>
  <c r="G70" i="7"/>
  <c r="H70" i="7"/>
  <c r="I70" i="7"/>
  <c r="J70" i="7"/>
  <c r="K70" i="7"/>
  <c r="L70" i="7"/>
  <c r="B26" i="7" s="1"/>
  <c r="M70" i="7"/>
  <c r="C26" i="7" s="1"/>
  <c r="N70" i="7"/>
  <c r="O70" i="7"/>
  <c r="E26" i="7" s="1"/>
  <c r="P70" i="7"/>
  <c r="A71" i="7"/>
  <c r="B71" i="7"/>
  <c r="C71" i="7"/>
  <c r="D71" i="7"/>
  <c r="E71" i="7"/>
  <c r="F71" i="7"/>
  <c r="G71" i="7"/>
  <c r="H71" i="7"/>
  <c r="I71" i="7"/>
  <c r="J71" i="7"/>
  <c r="K71" i="7"/>
  <c r="L71" i="7"/>
  <c r="M71" i="7"/>
  <c r="C27" i="7" s="1"/>
  <c r="N71" i="7"/>
  <c r="O71" i="7"/>
  <c r="E27" i="7" s="1"/>
  <c r="P71" i="7"/>
  <c r="A72" i="7"/>
  <c r="B72" i="7"/>
  <c r="C72" i="7"/>
  <c r="D72" i="7"/>
  <c r="E72" i="7"/>
  <c r="F72" i="7"/>
  <c r="G72" i="7"/>
  <c r="H72" i="7"/>
  <c r="I72" i="7"/>
  <c r="J72" i="7"/>
  <c r="K72" i="7"/>
  <c r="L72" i="7"/>
  <c r="B28" i="7" s="1"/>
  <c r="M72" i="7"/>
  <c r="C28" i="7" s="1"/>
  <c r="N72" i="7"/>
  <c r="D28" i="7" s="1"/>
  <c r="O72" i="7"/>
  <c r="E28" i="7" s="1"/>
  <c r="P72" i="7"/>
  <c r="F28" i="7" s="1"/>
  <c r="A73" i="7"/>
  <c r="B73" i="7"/>
  <c r="C73" i="7"/>
  <c r="D73" i="7"/>
  <c r="E73" i="7"/>
  <c r="F73" i="7"/>
  <c r="G73" i="7"/>
  <c r="H73" i="7"/>
  <c r="I73" i="7"/>
  <c r="J73" i="7"/>
  <c r="K73" i="7"/>
  <c r="L73" i="7"/>
  <c r="B29" i="7" s="1"/>
  <c r="M73" i="7"/>
  <c r="C29" i="7" s="1"/>
  <c r="N73" i="7"/>
  <c r="O73" i="7"/>
  <c r="P73" i="7"/>
  <c r="A74" i="7"/>
  <c r="B74" i="7"/>
  <c r="C74" i="7"/>
  <c r="D74" i="7"/>
  <c r="E74" i="7"/>
  <c r="F74" i="7"/>
  <c r="G74" i="7"/>
  <c r="H74" i="7"/>
  <c r="I74" i="7"/>
  <c r="J74" i="7"/>
  <c r="K74" i="7"/>
  <c r="L74" i="7"/>
  <c r="M74" i="7"/>
  <c r="C30" i="7" s="1"/>
  <c r="N74" i="7"/>
  <c r="O74" i="7"/>
  <c r="E30" i="7" s="1"/>
  <c r="P74" i="7"/>
  <c r="F30" i="7" s="1"/>
  <c r="A75" i="7"/>
  <c r="B75" i="7"/>
  <c r="C75" i="7"/>
  <c r="D75" i="7"/>
  <c r="E75" i="7"/>
  <c r="F75" i="7"/>
  <c r="G75" i="7"/>
  <c r="H75" i="7"/>
  <c r="I75" i="7"/>
  <c r="J75" i="7"/>
  <c r="K75" i="7"/>
  <c r="L75" i="7"/>
  <c r="B31" i="7" s="1"/>
  <c r="M75" i="7"/>
  <c r="C31" i="7" s="1"/>
  <c r="N75" i="7"/>
  <c r="D31" i="7" s="1"/>
  <c r="O75" i="7"/>
  <c r="E31" i="7" s="1"/>
  <c r="P75" i="7"/>
  <c r="F31" i="7" s="1"/>
  <c r="A76" i="7"/>
  <c r="B76" i="7"/>
  <c r="C76" i="7"/>
  <c r="D76" i="7"/>
  <c r="E76" i="7"/>
  <c r="F76" i="7"/>
  <c r="G76" i="7"/>
  <c r="H76" i="7"/>
  <c r="I76" i="7"/>
  <c r="J76" i="7"/>
  <c r="K76" i="7"/>
  <c r="L76" i="7"/>
  <c r="B32" i="7" s="1"/>
  <c r="M76" i="7"/>
  <c r="C32" i="7" s="1"/>
  <c r="N76" i="7"/>
  <c r="D32" i="7" s="1"/>
  <c r="O76" i="7"/>
  <c r="E32" i="7" s="1"/>
  <c r="P76" i="7"/>
  <c r="A77" i="7"/>
  <c r="B77" i="7"/>
  <c r="C77" i="7"/>
  <c r="D77" i="7"/>
  <c r="E77" i="7"/>
  <c r="F77" i="7"/>
  <c r="G77" i="7"/>
  <c r="H77" i="7"/>
  <c r="I77" i="7"/>
  <c r="J77" i="7"/>
  <c r="K77" i="7"/>
  <c r="L77" i="7"/>
  <c r="B33" i="7" s="1"/>
  <c r="M77" i="7"/>
  <c r="N77" i="7"/>
  <c r="O77" i="7"/>
  <c r="E33" i="7" s="1"/>
  <c r="P77" i="7"/>
  <c r="F33" i="7" s="1"/>
  <c r="A78" i="7"/>
  <c r="B78" i="7"/>
  <c r="C78" i="7"/>
  <c r="D78" i="7"/>
  <c r="E78" i="7"/>
  <c r="F78" i="7"/>
  <c r="G78" i="7"/>
  <c r="H78" i="7"/>
  <c r="I78" i="7"/>
  <c r="J78" i="7"/>
  <c r="K78" i="7"/>
  <c r="L78" i="7"/>
  <c r="B34" i="7" s="1"/>
  <c r="M78" i="7"/>
  <c r="C34" i="7" s="1"/>
  <c r="N78" i="7"/>
  <c r="D34" i="7" s="1"/>
  <c r="O78" i="7"/>
  <c r="E34" i="7" s="1"/>
  <c r="P78" i="7"/>
  <c r="F34" i="7" s="1"/>
  <c r="A79" i="7"/>
  <c r="B79" i="7"/>
  <c r="C79" i="7"/>
  <c r="D79" i="7"/>
  <c r="E79" i="7"/>
  <c r="F79" i="7"/>
  <c r="G79" i="7"/>
  <c r="H79" i="7"/>
  <c r="I79" i="7"/>
  <c r="J79" i="7"/>
  <c r="K79" i="7"/>
  <c r="L79" i="7"/>
  <c r="B35" i="7" s="1"/>
  <c r="M79" i="7"/>
  <c r="C35" i="7" s="1"/>
  <c r="N79" i="7"/>
  <c r="D35" i="7" s="1"/>
  <c r="O79" i="7"/>
  <c r="E35" i="7" s="1"/>
  <c r="P79" i="7"/>
  <c r="A80" i="7"/>
  <c r="B80" i="7"/>
  <c r="C80" i="7"/>
  <c r="D80" i="7"/>
  <c r="E80" i="7"/>
  <c r="F80" i="7"/>
  <c r="G80" i="7"/>
  <c r="H80" i="7"/>
  <c r="I80" i="7"/>
  <c r="J80" i="7"/>
  <c r="K80" i="7"/>
  <c r="L80" i="7"/>
  <c r="M80" i="7"/>
  <c r="C36" i="7" s="1"/>
  <c r="N80" i="7"/>
  <c r="O80" i="7"/>
  <c r="E36" i="7" s="1"/>
  <c r="P80" i="7"/>
  <c r="F36" i="7" s="1"/>
  <c r="A81" i="7"/>
  <c r="B81" i="7"/>
  <c r="C81" i="7"/>
  <c r="D81" i="7"/>
  <c r="E81" i="7"/>
  <c r="F81" i="7"/>
  <c r="G81" i="7"/>
  <c r="H81" i="7"/>
  <c r="I81" i="7"/>
  <c r="J81" i="7"/>
  <c r="K81" i="7"/>
  <c r="L81" i="7"/>
  <c r="B37" i="7" s="1"/>
  <c r="M81" i="7"/>
  <c r="C37" i="7" s="1"/>
  <c r="N81" i="7"/>
  <c r="O81" i="7"/>
  <c r="E37" i="7" s="1"/>
  <c r="P81" i="7"/>
  <c r="F37" i="7" s="1"/>
  <c r="A82" i="7"/>
  <c r="B82" i="7"/>
  <c r="C82" i="7"/>
  <c r="D82" i="7"/>
  <c r="E82" i="7"/>
  <c r="F82" i="7"/>
  <c r="G82" i="7"/>
  <c r="H82" i="7"/>
  <c r="I82" i="7"/>
  <c r="J82" i="7"/>
  <c r="K82" i="7"/>
  <c r="L82" i="7"/>
  <c r="B38" i="7" s="1"/>
  <c r="M82" i="7"/>
  <c r="C38" i="7" s="1"/>
  <c r="N82" i="7"/>
  <c r="D38" i="7" s="1"/>
  <c r="O82" i="7"/>
  <c r="E38" i="7" s="1"/>
  <c r="P82" i="7"/>
  <c r="F38" i="7" s="1"/>
  <c r="A51" i="6"/>
  <c r="B51" i="6"/>
  <c r="C51" i="6"/>
  <c r="D51" i="6"/>
  <c r="E51" i="6"/>
  <c r="F51" i="6"/>
  <c r="G51" i="6"/>
  <c r="H51" i="6"/>
  <c r="I51" i="6"/>
  <c r="J51" i="6"/>
  <c r="K51" i="6"/>
  <c r="L51" i="6"/>
  <c r="M51" i="6"/>
  <c r="N51" i="6"/>
  <c r="O51" i="6"/>
  <c r="P51" i="6"/>
  <c r="A52" i="6"/>
  <c r="B52" i="6"/>
  <c r="C52" i="6"/>
  <c r="D52" i="6"/>
  <c r="E52" i="6"/>
  <c r="F52" i="6"/>
  <c r="G52" i="6"/>
  <c r="H52" i="6"/>
  <c r="I52" i="6"/>
  <c r="J52" i="6"/>
  <c r="K52" i="6"/>
  <c r="L52" i="6"/>
  <c r="M52" i="6"/>
  <c r="N52" i="6"/>
  <c r="O52" i="6"/>
  <c r="P52" i="6"/>
  <c r="A53" i="6"/>
  <c r="B53" i="6"/>
  <c r="C53" i="6"/>
  <c r="D53" i="6"/>
  <c r="E53" i="6"/>
  <c r="F53" i="6"/>
  <c r="G53" i="6"/>
  <c r="H53" i="6"/>
  <c r="I53" i="6"/>
  <c r="J53" i="6"/>
  <c r="K53" i="6"/>
  <c r="L53" i="6"/>
  <c r="M53" i="6"/>
  <c r="N53" i="6"/>
  <c r="O53" i="6"/>
  <c r="P53" i="6"/>
  <c r="A54" i="6"/>
  <c r="B54" i="6"/>
  <c r="C54" i="6"/>
  <c r="D54" i="6"/>
  <c r="E54" i="6"/>
  <c r="F54" i="6"/>
  <c r="G54" i="6"/>
  <c r="H54" i="6"/>
  <c r="I54" i="6"/>
  <c r="J54" i="6"/>
  <c r="K54" i="6"/>
  <c r="L54" i="6"/>
  <c r="M54" i="6"/>
  <c r="N54" i="6"/>
  <c r="O54" i="6"/>
  <c r="P54" i="6"/>
  <c r="A55" i="6"/>
  <c r="B55" i="6"/>
  <c r="C55" i="6"/>
  <c r="D55" i="6"/>
  <c r="E55" i="6"/>
  <c r="F55" i="6"/>
  <c r="G55" i="6"/>
  <c r="H55" i="6"/>
  <c r="I55" i="6"/>
  <c r="J55" i="6"/>
  <c r="K55" i="6"/>
  <c r="L55" i="6"/>
  <c r="M55" i="6"/>
  <c r="N55" i="6"/>
  <c r="O55" i="6"/>
  <c r="P55" i="6"/>
  <c r="A56" i="6"/>
  <c r="B56" i="6"/>
  <c r="C56" i="6"/>
  <c r="D56" i="6"/>
  <c r="E56" i="6"/>
  <c r="F56" i="6"/>
  <c r="G56" i="6"/>
  <c r="H56" i="6"/>
  <c r="I56" i="6"/>
  <c r="J56" i="6"/>
  <c r="K56" i="6"/>
  <c r="L56" i="6"/>
  <c r="M56" i="6"/>
  <c r="N56" i="6"/>
  <c r="O56" i="6"/>
  <c r="P56" i="6"/>
  <c r="A57" i="6"/>
  <c r="B57" i="6"/>
  <c r="C57" i="6"/>
  <c r="D57" i="6"/>
  <c r="E57" i="6"/>
  <c r="F57" i="6"/>
  <c r="G57" i="6"/>
  <c r="H57" i="6"/>
  <c r="I57" i="6"/>
  <c r="J57" i="6"/>
  <c r="K57" i="6"/>
  <c r="L57" i="6"/>
  <c r="M57" i="6"/>
  <c r="N57" i="6"/>
  <c r="O57" i="6"/>
  <c r="P57" i="6"/>
  <c r="A58" i="6"/>
  <c r="B58" i="6"/>
  <c r="C58" i="6"/>
  <c r="D58" i="6"/>
  <c r="E58" i="6"/>
  <c r="F58" i="6"/>
  <c r="G58" i="6"/>
  <c r="H58" i="6"/>
  <c r="I58" i="6"/>
  <c r="J58" i="6"/>
  <c r="K58" i="6"/>
  <c r="L58" i="6"/>
  <c r="M58" i="6"/>
  <c r="N58" i="6"/>
  <c r="O58" i="6"/>
  <c r="P58" i="6"/>
  <c r="A59" i="6"/>
  <c r="B59" i="6"/>
  <c r="C59" i="6"/>
  <c r="D59" i="6"/>
  <c r="E59" i="6"/>
  <c r="F59" i="6"/>
  <c r="G59" i="6"/>
  <c r="H59" i="6"/>
  <c r="I59" i="6"/>
  <c r="J59" i="6"/>
  <c r="K59" i="6"/>
  <c r="L59" i="6"/>
  <c r="M59" i="6"/>
  <c r="N59" i="6"/>
  <c r="O59" i="6"/>
  <c r="P59" i="6"/>
  <c r="A60" i="6"/>
  <c r="B60" i="6"/>
  <c r="C60" i="6"/>
  <c r="D60" i="6"/>
  <c r="E60" i="6"/>
  <c r="F60" i="6"/>
  <c r="G60" i="6"/>
  <c r="H60" i="6"/>
  <c r="I60" i="6"/>
  <c r="J60" i="6"/>
  <c r="K60" i="6"/>
  <c r="L60" i="6"/>
  <c r="M60" i="6"/>
  <c r="N60" i="6"/>
  <c r="O60" i="6"/>
  <c r="P60" i="6"/>
  <c r="A61" i="6"/>
  <c r="B61" i="6"/>
  <c r="C61" i="6"/>
  <c r="D61" i="6"/>
  <c r="E61" i="6"/>
  <c r="F61" i="6"/>
  <c r="G61" i="6"/>
  <c r="H61" i="6"/>
  <c r="I61" i="6"/>
  <c r="J61" i="6"/>
  <c r="K61" i="6"/>
  <c r="L61" i="6"/>
  <c r="M61" i="6"/>
  <c r="N61" i="6"/>
  <c r="O61" i="6"/>
  <c r="P61" i="6"/>
  <c r="A62" i="6"/>
  <c r="B62" i="6"/>
  <c r="C62" i="6"/>
  <c r="D62" i="6"/>
  <c r="E62" i="6"/>
  <c r="F62" i="6"/>
  <c r="G62" i="6"/>
  <c r="H62" i="6"/>
  <c r="I62" i="6"/>
  <c r="J62" i="6"/>
  <c r="K62" i="6"/>
  <c r="L62" i="6"/>
  <c r="M62" i="6"/>
  <c r="N62" i="6"/>
  <c r="O62" i="6"/>
  <c r="P62" i="6"/>
  <c r="A63" i="6"/>
  <c r="B63" i="6"/>
  <c r="C63" i="6"/>
  <c r="D63" i="6"/>
  <c r="E63" i="6"/>
  <c r="F63" i="6"/>
  <c r="G63" i="6"/>
  <c r="H63" i="6"/>
  <c r="I63" i="6"/>
  <c r="J63" i="6"/>
  <c r="K63" i="6"/>
  <c r="L63" i="6"/>
  <c r="M63" i="6"/>
  <c r="N63" i="6"/>
  <c r="O63" i="6"/>
  <c r="P63" i="6"/>
  <c r="A64" i="6"/>
  <c r="B64" i="6"/>
  <c r="C64" i="6"/>
  <c r="D64" i="6"/>
  <c r="E64" i="6"/>
  <c r="F64" i="6"/>
  <c r="G64" i="6"/>
  <c r="H64" i="6"/>
  <c r="I64" i="6"/>
  <c r="J64" i="6"/>
  <c r="K64" i="6"/>
  <c r="L64" i="6"/>
  <c r="M64" i="6"/>
  <c r="N64" i="6"/>
  <c r="O64" i="6"/>
  <c r="P64" i="6"/>
  <c r="A65" i="6"/>
  <c r="B65" i="6"/>
  <c r="C65" i="6"/>
  <c r="D65" i="6"/>
  <c r="E65" i="6"/>
  <c r="F65" i="6"/>
  <c r="G65" i="6"/>
  <c r="H65" i="6"/>
  <c r="I65" i="6"/>
  <c r="J65" i="6"/>
  <c r="K65" i="6"/>
  <c r="L65" i="6"/>
  <c r="M65" i="6"/>
  <c r="N65" i="6"/>
  <c r="O65" i="6"/>
  <c r="P65" i="6"/>
  <c r="A66" i="6"/>
  <c r="B66" i="6"/>
  <c r="C66" i="6"/>
  <c r="D66" i="6"/>
  <c r="E66" i="6"/>
  <c r="F66" i="6"/>
  <c r="G66" i="6"/>
  <c r="H66" i="6"/>
  <c r="I66" i="6"/>
  <c r="J66" i="6"/>
  <c r="K66" i="6"/>
  <c r="L66" i="6"/>
  <c r="M66" i="6"/>
  <c r="N66" i="6"/>
  <c r="O66" i="6"/>
  <c r="P66" i="6"/>
  <c r="A67" i="6"/>
  <c r="B67" i="6"/>
  <c r="C67" i="6"/>
  <c r="D67" i="6"/>
  <c r="E67" i="6"/>
  <c r="F67" i="6"/>
  <c r="G67" i="6"/>
  <c r="H67" i="6"/>
  <c r="I67" i="6"/>
  <c r="J67" i="6"/>
  <c r="K67" i="6"/>
  <c r="L67" i="6"/>
  <c r="M67" i="6"/>
  <c r="N67" i="6"/>
  <c r="O67" i="6"/>
  <c r="P67" i="6"/>
  <c r="A68" i="6"/>
  <c r="B68" i="6"/>
  <c r="C68" i="6"/>
  <c r="D68" i="6"/>
  <c r="E68" i="6"/>
  <c r="F68" i="6"/>
  <c r="G68" i="6"/>
  <c r="H68" i="6"/>
  <c r="I68" i="6"/>
  <c r="J68" i="6"/>
  <c r="K68" i="6"/>
  <c r="L68" i="6"/>
  <c r="M68" i="6"/>
  <c r="N68" i="6"/>
  <c r="O68" i="6"/>
  <c r="P68" i="6"/>
  <c r="A69" i="6"/>
  <c r="B69" i="6"/>
  <c r="C69" i="6"/>
  <c r="D69" i="6"/>
  <c r="E69" i="6"/>
  <c r="F69" i="6"/>
  <c r="G69" i="6"/>
  <c r="H69" i="6"/>
  <c r="I69" i="6"/>
  <c r="J69" i="6"/>
  <c r="K69" i="6"/>
  <c r="L69" i="6"/>
  <c r="M69" i="6"/>
  <c r="N69" i="6"/>
  <c r="O69" i="6"/>
  <c r="P69" i="6"/>
  <c r="A70" i="6"/>
  <c r="B70" i="6"/>
  <c r="C70" i="6"/>
  <c r="D70" i="6"/>
  <c r="E70" i="6"/>
  <c r="F70" i="6"/>
  <c r="G70" i="6"/>
  <c r="H70" i="6"/>
  <c r="I70" i="6"/>
  <c r="J70" i="6"/>
  <c r="K70" i="6"/>
  <c r="L70" i="6"/>
  <c r="M70" i="6"/>
  <c r="N70" i="6"/>
  <c r="O70" i="6"/>
  <c r="P70" i="6"/>
  <c r="A71" i="6"/>
  <c r="B71" i="6"/>
  <c r="C71" i="6"/>
  <c r="D71" i="6"/>
  <c r="E71" i="6"/>
  <c r="F71" i="6"/>
  <c r="G71" i="6"/>
  <c r="H71" i="6"/>
  <c r="I71" i="6"/>
  <c r="J71" i="6"/>
  <c r="K71" i="6"/>
  <c r="L71" i="6"/>
  <c r="M71" i="6"/>
  <c r="N71" i="6"/>
  <c r="O71" i="6"/>
  <c r="P71" i="6"/>
  <c r="A72" i="6"/>
  <c r="B72" i="6"/>
  <c r="C72" i="6"/>
  <c r="D72" i="6"/>
  <c r="E72" i="6"/>
  <c r="F72" i="6"/>
  <c r="G72" i="6"/>
  <c r="H72" i="6"/>
  <c r="I72" i="6"/>
  <c r="J72" i="6"/>
  <c r="K72" i="6"/>
  <c r="L72" i="6"/>
  <c r="M72" i="6"/>
  <c r="N72" i="6"/>
  <c r="O72" i="6"/>
  <c r="P72" i="6"/>
  <c r="A73" i="6"/>
  <c r="B73" i="6"/>
  <c r="C73" i="6"/>
  <c r="D73" i="6"/>
  <c r="E73" i="6"/>
  <c r="F73" i="6"/>
  <c r="G73" i="6"/>
  <c r="H73" i="6"/>
  <c r="I73" i="6"/>
  <c r="J73" i="6"/>
  <c r="K73" i="6"/>
  <c r="L73" i="6"/>
  <c r="M73" i="6"/>
  <c r="N73" i="6"/>
  <c r="O73" i="6"/>
  <c r="P73" i="6"/>
  <c r="A74" i="6"/>
  <c r="B74" i="6"/>
  <c r="C74" i="6"/>
  <c r="D74" i="6"/>
  <c r="E74" i="6"/>
  <c r="F74" i="6"/>
  <c r="G74" i="6"/>
  <c r="H74" i="6"/>
  <c r="I74" i="6"/>
  <c r="J74" i="6"/>
  <c r="K74" i="6"/>
  <c r="L74" i="6"/>
  <c r="M74" i="6"/>
  <c r="N74" i="6"/>
  <c r="O74" i="6"/>
  <c r="P74" i="6"/>
  <c r="A75" i="6"/>
  <c r="B75" i="6"/>
  <c r="C75" i="6"/>
  <c r="D75" i="6"/>
  <c r="E75" i="6"/>
  <c r="F75" i="6"/>
  <c r="G75" i="6"/>
  <c r="H75" i="6"/>
  <c r="I75" i="6"/>
  <c r="J75" i="6"/>
  <c r="K75" i="6"/>
  <c r="L75" i="6"/>
  <c r="M75" i="6"/>
  <c r="N75" i="6"/>
  <c r="O75" i="6"/>
  <c r="P75" i="6"/>
  <c r="A76" i="6"/>
  <c r="B76" i="6"/>
  <c r="C76" i="6"/>
  <c r="D76" i="6"/>
  <c r="E76" i="6"/>
  <c r="F76" i="6"/>
  <c r="G76" i="6"/>
  <c r="H76" i="6"/>
  <c r="I76" i="6"/>
  <c r="J76" i="6"/>
  <c r="K76" i="6"/>
  <c r="L76" i="6"/>
  <c r="M76" i="6"/>
  <c r="N76" i="6"/>
  <c r="O76" i="6"/>
  <c r="P76" i="6"/>
  <c r="A77" i="6"/>
  <c r="B77" i="6"/>
  <c r="C77" i="6"/>
  <c r="D77" i="6"/>
  <c r="E77" i="6"/>
  <c r="F77" i="6"/>
  <c r="G77" i="6"/>
  <c r="H77" i="6"/>
  <c r="I77" i="6"/>
  <c r="J77" i="6"/>
  <c r="K77" i="6"/>
  <c r="F33" i="6" s="1"/>
  <c r="L77" i="6"/>
  <c r="M77" i="6"/>
  <c r="N77" i="6"/>
  <c r="O77" i="6"/>
  <c r="P77" i="6"/>
  <c r="A78" i="6"/>
  <c r="B78" i="6"/>
  <c r="C78" i="6"/>
  <c r="D78" i="6"/>
  <c r="E78" i="6"/>
  <c r="F78" i="6"/>
  <c r="G78" i="6"/>
  <c r="H78" i="6"/>
  <c r="I78" i="6"/>
  <c r="J78" i="6"/>
  <c r="K78" i="6"/>
  <c r="L78" i="6"/>
  <c r="M78" i="6"/>
  <c r="N78" i="6"/>
  <c r="O78" i="6"/>
  <c r="P78" i="6"/>
  <c r="A79" i="6"/>
  <c r="B79" i="6"/>
  <c r="C79" i="6"/>
  <c r="D79" i="6"/>
  <c r="E79" i="6"/>
  <c r="F79" i="6"/>
  <c r="G79" i="6"/>
  <c r="H79" i="6"/>
  <c r="I79" i="6"/>
  <c r="J79" i="6"/>
  <c r="K79" i="6"/>
  <c r="F35" i="6" s="1"/>
  <c r="L79" i="6"/>
  <c r="M79" i="6"/>
  <c r="N79" i="6"/>
  <c r="O79" i="6"/>
  <c r="P79" i="6"/>
  <c r="A80" i="6"/>
  <c r="B80" i="6"/>
  <c r="C80" i="6"/>
  <c r="D80" i="6"/>
  <c r="E80" i="6"/>
  <c r="F80" i="6"/>
  <c r="G80" i="6"/>
  <c r="B36" i="6" s="1"/>
  <c r="H80" i="6"/>
  <c r="I80" i="6"/>
  <c r="J80" i="6"/>
  <c r="K80" i="6"/>
  <c r="F36" i="6" s="1"/>
  <c r="L80" i="6"/>
  <c r="M80" i="6"/>
  <c r="N80" i="6"/>
  <c r="O80" i="6"/>
  <c r="P80" i="6"/>
  <c r="A81" i="6"/>
  <c r="B81" i="6"/>
  <c r="C81" i="6"/>
  <c r="D81" i="6"/>
  <c r="E81" i="6"/>
  <c r="F81" i="6"/>
  <c r="G81" i="6"/>
  <c r="B37" i="6" s="1"/>
  <c r="H81" i="6"/>
  <c r="I81" i="6"/>
  <c r="J81" i="6"/>
  <c r="K81" i="6"/>
  <c r="F37" i="6" s="1"/>
  <c r="L81" i="6"/>
  <c r="M81" i="6"/>
  <c r="N81" i="6"/>
  <c r="O81" i="6"/>
  <c r="P81" i="6"/>
  <c r="A82" i="6"/>
  <c r="B82" i="6"/>
  <c r="C82" i="6"/>
  <c r="D82" i="6"/>
  <c r="E82" i="6"/>
  <c r="F82" i="6"/>
  <c r="G82" i="6"/>
  <c r="H82" i="6"/>
  <c r="I82" i="6"/>
  <c r="J82" i="6"/>
  <c r="E38" i="6" s="1"/>
  <c r="K82" i="6"/>
  <c r="F38" i="6" s="1"/>
  <c r="L82" i="6"/>
  <c r="M82" i="6"/>
  <c r="N82" i="6"/>
  <c r="O82" i="6"/>
  <c r="P82" i="6"/>
  <c r="D37" i="7"/>
  <c r="D36" i="7"/>
  <c r="B36" i="7"/>
  <c r="F35" i="7"/>
  <c r="D33" i="7"/>
  <c r="C33" i="7"/>
  <c r="F32" i="7"/>
  <c r="D30" i="7"/>
  <c r="B30" i="7"/>
  <c r="F29" i="7"/>
  <c r="E29" i="7"/>
  <c r="D29" i="7"/>
  <c r="F27" i="7"/>
  <c r="D27" i="7"/>
  <c r="B27" i="7"/>
  <c r="F26" i="7"/>
  <c r="D26" i="7"/>
  <c r="D25" i="7"/>
  <c r="F24" i="7"/>
  <c r="D24" i="7"/>
  <c r="F23" i="7"/>
  <c r="E23" i="7"/>
  <c r="D23" i="7"/>
  <c r="D22" i="7"/>
  <c r="F21" i="7"/>
  <c r="D21" i="7"/>
  <c r="F20" i="7"/>
  <c r="D20" i="7"/>
  <c r="B20" i="7"/>
  <c r="F19" i="7"/>
  <c r="D19" i="7"/>
  <c r="F18" i="7"/>
  <c r="D18" i="7"/>
  <c r="F17" i="7"/>
  <c r="D17" i="7"/>
  <c r="F16" i="7"/>
  <c r="D16" i="7"/>
  <c r="F15" i="7"/>
  <c r="D15" i="7"/>
  <c r="F14" i="7"/>
  <c r="D14" i="7"/>
  <c r="B14" i="7"/>
  <c r="F13" i="7"/>
  <c r="E13" i="7"/>
  <c r="D13" i="7"/>
  <c r="F12" i="7"/>
  <c r="D12" i="7"/>
  <c r="F11" i="7"/>
  <c r="D11" i="7"/>
  <c r="B11" i="7"/>
  <c r="F10" i="7"/>
  <c r="D10" i="7"/>
  <c r="F9" i="7"/>
  <c r="D9" i="7"/>
  <c r="D38" i="6"/>
  <c r="C38" i="6"/>
  <c r="B38" i="6"/>
  <c r="E37" i="6"/>
  <c r="D37" i="6"/>
  <c r="C37" i="6"/>
  <c r="E36" i="6"/>
  <c r="D36" i="6"/>
  <c r="C36" i="6"/>
  <c r="E35" i="6"/>
  <c r="D35" i="6"/>
  <c r="C35" i="6"/>
  <c r="B35" i="6"/>
  <c r="F34" i="6"/>
  <c r="E34" i="6"/>
  <c r="D34" i="6"/>
  <c r="C34" i="6"/>
  <c r="B34" i="6"/>
  <c r="E33" i="6"/>
  <c r="D33" i="6"/>
  <c r="C33" i="6"/>
  <c r="B33" i="6"/>
  <c r="F32" i="6"/>
  <c r="E32" i="6"/>
  <c r="D32" i="6"/>
  <c r="C32" i="6"/>
  <c r="B32" i="6"/>
  <c r="F31" i="6"/>
  <c r="E31" i="6"/>
  <c r="D31" i="6"/>
  <c r="C31" i="6"/>
  <c r="B31" i="6"/>
  <c r="F30" i="6"/>
  <c r="E30" i="6"/>
  <c r="D30" i="6"/>
  <c r="C30" i="6"/>
  <c r="B30" i="6"/>
  <c r="F29" i="6"/>
  <c r="E29" i="6"/>
  <c r="D29" i="6"/>
  <c r="C29" i="6"/>
  <c r="B29" i="6"/>
  <c r="F28" i="6"/>
  <c r="E28" i="6"/>
  <c r="D28" i="6"/>
  <c r="C28" i="6"/>
  <c r="B28" i="6"/>
  <c r="F27" i="6"/>
  <c r="E27" i="6"/>
  <c r="D27" i="6"/>
  <c r="C27" i="6"/>
  <c r="B27" i="6"/>
  <c r="F26" i="6"/>
  <c r="E26" i="6"/>
  <c r="D26" i="6"/>
  <c r="C26" i="6"/>
  <c r="B26" i="6"/>
  <c r="F25" i="6"/>
  <c r="E25" i="6"/>
  <c r="D25" i="6"/>
  <c r="C25" i="6"/>
  <c r="B25" i="6"/>
  <c r="F24" i="6"/>
  <c r="E24" i="6"/>
  <c r="D24" i="6"/>
  <c r="C24" i="6"/>
  <c r="B24" i="6"/>
  <c r="F23" i="6"/>
  <c r="E23" i="6"/>
  <c r="D23" i="6"/>
  <c r="C23" i="6"/>
  <c r="B23" i="6"/>
  <c r="F22" i="6"/>
  <c r="E22" i="6"/>
  <c r="D22" i="6"/>
  <c r="C22" i="6"/>
  <c r="B22" i="6"/>
  <c r="F21" i="6"/>
  <c r="E21" i="6"/>
  <c r="D21" i="6"/>
  <c r="C21" i="6"/>
  <c r="B21" i="6"/>
  <c r="F20" i="6"/>
  <c r="E20" i="6"/>
  <c r="D20" i="6"/>
  <c r="C20" i="6"/>
  <c r="B20" i="6"/>
  <c r="F19" i="6"/>
  <c r="E19" i="6"/>
  <c r="D19" i="6"/>
  <c r="C19" i="6"/>
  <c r="B19" i="6"/>
  <c r="F18" i="6"/>
  <c r="E18" i="6"/>
  <c r="D18" i="6"/>
  <c r="C18" i="6"/>
  <c r="B18" i="6"/>
  <c r="F17" i="6"/>
  <c r="E17" i="6"/>
  <c r="D17" i="6"/>
  <c r="C17" i="6"/>
  <c r="B17" i="6"/>
  <c r="F16" i="6"/>
  <c r="E16" i="6"/>
  <c r="D16" i="6"/>
  <c r="C16" i="6"/>
  <c r="B16" i="6"/>
  <c r="F15" i="6"/>
  <c r="E15" i="6"/>
  <c r="D15" i="6"/>
  <c r="C15" i="6"/>
  <c r="B15" i="6"/>
  <c r="F14" i="6"/>
  <c r="E14" i="6"/>
  <c r="D14" i="6"/>
  <c r="C14" i="6"/>
  <c r="B14" i="6"/>
  <c r="F13" i="6"/>
  <c r="E13" i="6"/>
  <c r="D13" i="6"/>
  <c r="C13" i="6"/>
  <c r="B13" i="6"/>
  <c r="F12" i="6"/>
  <c r="E12" i="6"/>
  <c r="D12" i="6"/>
  <c r="C12" i="6"/>
  <c r="B12" i="6"/>
  <c r="F11" i="6"/>
  <c r="E11" i="6"/>
  <c r="D11" i="6"/>
  <c r="C11" i="6"/>
  <c r="B11" i="6"/>
  <c r="F10" i="6"/>
  <c r="E10" i="6"/>
  <c r="D10" i="6"/>
  <c r="C10" i="6"/>
  <c r="B10" i="6"/>
  <c r="F9" i="6"/>
  <c r="E9" i="6"/>
  <c r="D9" i="6"/>
  <c r="C9" i="6"/>
  <c r="B9" i="6"/>
  <c r="E38" i="5"/>
  <c r="D38" i="5"/>
  <c r="C38" i="5"/>
  <c r="B38" i="5"/>
  <c r="E37" i="5"/>
  <c r="D37" i="5"/>
  <c r="C37" i="5"/>
  <c r="B37" i="5"/>
  <c r="E36" i="5"/>
  <c r="D36" i="5"/>
  <c r="C36" i="5"/>
  <c r="B36" i="5"/>
  <c r="E35" i="5"/>
  <c r="D35" i="5"/>
  <c r="C35" i="5"/>
  <c r="B35" i="5"/>
  <c r="E34" i="5"/>
  <c r="D34" i="5"/>
  <c r="C34" i="5"/>
  <c r="B34" i="5"/>
  <c r="E33" i="5"/>
  <c r="D33" i="5"/>
  <c r="C33" i="5"/>
  <c r="B33" i="5"/>
  <c r="E32" i="5"/>
  <c r="D32" i="5"/>
  <c r="C32" i="5"/>
  <c r="B32" i="5"/>
  <c r="E31" i="5"/>
  <c r="D31" i="5"/>
  <c r="C31" i="5"/>
  <c r="B31" i="5"/>
  <c r="E30" i="5"/>
  <c r="D30" i="5"/>
  <c r="C30" i="5"/>
  <c r="B30" i="5"/>
  <c r="E29" i="5"/>
  <c r="D29" i="5"/>
  <c r="C29" i="5"/>
  <c r="B29" i="5"/>
  <c r="E28" i="5"/>
  <c r="D28" i="5"/>
  <c r="C28" i="5"/>
  <c r="B28" i="5"/>
  <c r="E27" i="5"/>
  <c r="D27" i="5"/>
  <c r="C27" i="5"/>
  <c r="B27" i="5"/>
  <c r="E26" i="5"/>
  <c r="D26" i="5"/>
  <c r="C26" i="5"/>
  <c r="B26" i="5"/>
  <c r="E25" i="5"/>
  <c r="D25" i="5"/>
  <c r="C25" i="5"/>
  <c r="B25" i="5"/>
  <c r="E24" i="5"/>
  <c r="D24" i="5"/>
  <c r="C24" i="5"/>
  <c r="E23" i="5"/>
  <c r="D23" i="5"/>
  <c r="C23" i="5"/>
  <c r="B23" i="5"/>
  <c r="E22" i="5"/>
  <c r="D22" i="5"/>
  <c r="C22" i="5"/>
  <c r="B22" i="5"/>
  <c r="E21" i="5"/>
  <c r="D21" i="5"/>
  <c r="C21" i="5"/>
  <c r="B21" i="5"/>
  <c r="E20" i="5"/>
  <c r="D20" i="5"/>
  <c r="C20" i="5"/>
  <c r="B20" i="5"/>
  <c r="E19" i="5"/>
  <c r="D19" i="5"/>
  <c r="C19" i="5"/>
  <c r="B19" i="5"/>
  <c r="E18" i="5"/>
  <c r="D18" i="5"/>
  <c r="C18" i="5"/>
  <c r="B18" i="5"/>
  <c r="E17" i="5"/>
  <c r="D17" i="5"/>
  <c r="C17" i="5"/>
  <c r="B17" i="5"/>
  <c r="E16" i="5"/>
  <c r="D16" i="5"/>
  <c r="C16" i="5"/>
  <c r="B16" i="5"/>
  <c r="E15" i="5"/>
  <c r="D15" i="5"/>
  <c r="C15" i="5"/>
  <c r="B15" i="5"/>
  <c r="E14" i="5"/>
  <c r="D14" i="5"/>
  <c r="C14" i="5"/>
  <c r="B14" i="5"/>
  <c r="E13" i="5"/>
  <c r="D13" i="5"/>
  <c r="C13" i="5"/>
  <c r="B13" i="5"/>
  <c r="E12" i="5"/>
  <c r="D12" i="5"/>
  <c r="C12" i="5"/>
  <c r="B12" i="5"/>
  <c r="E11" i="5"/>
  <c r="D11" i="5"/>
  <c r="C11" i="5"/>
  <c r="B11" i="5"/>
  <c r="E10" i="5"/>
  <c r="D10" i="5"/>
  <c r="C10" i="5"/>
  <c r="B10" i="5"/>
  <c r="E9" i="5"/>
  <c r="D9" i="5"/>
  <c r="C9" i="5"/>
  <c r="B9" i="5"/>
  <c r="I11" i="4"/>
  <c r="H11" i="4"/>
  <c r="G11" i="4"/>
  <c r="F11" i="4"/>
  <c r="R8" i="2"/>
  <c r="R7" i="2"/>
  <c r="R17" i="2"/>
  <c r="R15" i="2"/>
  <c r="W5" i="2"/>
  <c r="H8" i="15"/>
  <c r="G9" i="15"/>
  <c r="H9" i="15" s="1"/>
  <c r="I9" i="15"/>
  <c r="G10" i="15"/>
  <c r="H10" i="15" s="1"/>
  <c r="I10" i="15"/>
  <c r="G11" i="15"/>
  <c r="H11" i="15" s="1"/>
  <c r="I11" i="15"/>
  <c r="G12" i="15"/>
  <c r="H12" i="15" s="1"/>
  <c r="I12" i="15"/>
  <c r="H8" i="14"/>
  <c r="G9" i="14"/>
  <c r="I9" i="14"/>
  <c r="G10" i="14"/>
  <c r="I10" i="14"/>
  <c r="G11" i="14"/>
  <c r="I11" i="14"/>
  <c r="G12" i="14"/>
  <c r="I12" i="14"/>
  <c r="H8" i="13"/>
  <c r="G9" i="13"/>
  <c r="H9" i="13" s="1"/>
  <c r="I9" i="13"/>
  <c r="G10" i="13"/>
  <c r="H10" i="13" s="1"/>
  <c r="I10" i="13"/>
  <c r="G11" i="13"/>
  <c r="I11" i="13"/>
  <c r="G12" i="13"/>
  <c r="I12" i="13"/>
  <c r="M31" i="9"/>
  <c r="M25" i="9"/>
  <c r="F31" i="9"/>
  <c r="F30" i="9"/>
  <c r="F22" i="9"/>
  <c r="F15" i="9"/>
  <c r="F17" i="9" s="1"/>
  <c r="F19" i="9" s="1"/>
  <c r="F21" i="9" s="1"/>
  <c r="F23" i="9" s="1"/>
  <c r="F14" i="9"/>
  <c r="F13" i="9"/>
  <c r="F33" i="8"/>
  <c r="F8" i="7"/>
  <c r="F8" i="6"/>
  <c r="F9" i="4"/>
  <c r="P34" i="4"/>
  <c r="Q34" i="4" s="1"/>
  <c r="P33" i="4"/>
  <c r="Q33" i="4" s="1"/>
  <c r="P32" i="4"/>
  <c r="Q32" i="4" s="1"/>
  <c r="P31" i="4"/>
  <c r="Q31" i="4" s="1"/>
  <c r="P30" i="4"/>
  <c r="Q30" i="4" s="1"/>
  <c r="P29" i="4"/>
  <c r="Q29" i="4" s="1"/>
  <c r="P28" i="4"/>
  <c r="Q28" i="4" s="1"/>
  <c r="P27" i="4"/>
  <c r="Q27" i="4" s="1"/>
  <c r="P26" i="4"/>
  <c r="Q26" i="4" s="1"/>
  <c r="P25" i="4"/>
  <c r="Q25" i="4" s="1"/>
  <c r="P24" i="4"/>
  <c r="Q24" i="4" s="1"/>
  <c r="P23" i="4"/>
  <c r="Q23" i="4" s="1"/>
  <c r="P22" i="4"/>
  <c r="Q22" i="4" s="1"/>
  <c r="P21" i="4"/>
  <c r="Q21" i="4" s="1"/>
  <c r="P20" i="4"/>
  <c r="Q20" i="4" s="1"/>
  <c r="P19" i="4"/>
  <c r="Q19" i="4" s="1"/>
  <c r="P18" i="4"/>
  <c r="Q18" i="4" s="1"/>
  <c r="P17" i="4"/>
  <c r="Q17" i="4" s="1"/>
  <c r="P16" i="4"/>
  <c r="Q16" i="4" s="1"/>
  <c r="P15" i="4"/>
  <c r="Q15" i="4" s="1"/>
  <c r="P14" i="4"/>
  <c r="Q14" i="4" s="1"/>
  <c r="P13" i="4"/>
  <c r="Q13" i="4" s="1"/>
  <c r="P12" i="4"/>
  <c r="Q12" i="4" s="1"/>
  <c r="P11" i="4"/>
  <c r="Q11" i="4" s="1"/>
  <c r="P10" i="4"/>
  <c r="Q10" i="4" s="1"/>
  <c r="P9" i="4"/>
  <c r="Q9" i="4" s="1"/>
  <c r="P8" i="4"/>
  <c r="Q8" i="4" s="1"/>
  <c r="P7" i="4"/>
  <c r="Q7" i="4" s="1"/>
  <c r="P6" i="4"/>
  <c r="Q6" i="4" s="1"/>
  <c r="P5" i="4"/>
  <c r="Q5" i="4" s="1"/>
  <c r="L3" i="8"/>
  <c r="D48" i="4"/>
  <c r="AC84" i="3"/>
  <c r="AC83" i="3"/>
  <c r="AC82" i="3"/>
  <c r="AC81" i="3"/>
  <c r="AC80" i="3"/>
  <c r="AC79" i="3"/>
  <c r="AC78" i="3"/>
  <c r="AC77" i="3"/>
  <c r="AC76" i="3"/>
  <c r="AC75" i="3"/>
  <c r="AC74" i="3"/>
  <c r="AC73" i="3"/>
  <c r="AC72" i="3"/>
  <c r="AC71" i="3"/>
  <c r="AD75" i="3" s="1"/>
  <c r="AE75" i="3" s="1"/>
  <c r="AC70" i="3"/>
  <c r="AC69" i="3"/>
  <c r="AD70" i="3" s="1"/>
  <c r="G44" i="3" s="1"/>
  <c r="L44" i="3" s="1"/>
  <c r="AC68" i="3"/>
  <c r="AC67" i="3"/>
  <c r="AC66" i="3"/>
  <c r="AC65" i="3"/>
  <c r="AC64" i="3"/>
  <c r="AC63" i="3"/>
  <c r="AC62" i="3"/>
  <c r="AC61" i="3"/>
  <c r="AC60" i="3"/>
  <c r="AC59" i="3"/>
  <c r="AC58" i="3"/>
  <c r="AC57" i="3"/>
  <c r="AC56" i="3"/>
  <c r="AC55" i="3"/>
  <c r="AC5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C13" i="3"/>
  <c r="AC12" i="3"/>
  <c r="AC11" i="3"/>
  <c r="AC10" i="3"/>
  <c r="AC9" i="3"/>
  <c r="AC8" i="3"/>
  <c r="AC7" i="3"/>
  <c r="AC6" i="3"/>
  <c r="AD10" i="3" s="1"/>
  <c r="AE10" i="3" s="1"/>
  <c r="AC5" i="3"/>
  <c r="Z82" i="28"/>
  <c r="Y82" i="28"/>
  <c r="X82" i="28"/>
  <c r="W82" i="28"/>
  <c r="V82" i="28"/>
  <c r="U82" i="28"/>
  <c r="T82" i="28"/>
  <c r="S82" i="28"/>
  <c r="R82" i="28"/>
  <c r="Q82" i="28"/>
  <c r="P82" i="28"/>
  <c r="O82" i="28"/>
  <c r="N82" i="28"/>
  <c r="M82" i="28"/>
  <c r="L82" i="28"/>
  <c r="K82" i="28"/>
  <c r="J82" i="28"/>
  <c r="I82" i="28"/>
  <c r="H82" i="28"/>
  <c r="G82" i="28"/>
  <c r="F82" i="28"/>
  <c r="E82" i="28"/>
  <c r="D82" i="28"/>
  <c r="C82" i="28"/>
  <c r="B82" i="28"/>
  <c r="A82" i="28"/>
  <c r="Z81" i="28"/>
  <c r="Y81" i="28"/>
  <c r="X81" i="28"/>
  <c r="W81" i="28"/>
  <c r="C37" i="28" s="1"/>
  <c r="V81" i="28"/>
  <c r="U81" i="28"/>
  <c r="T81" i="28"/>
  <c r="S81" i="28"/>
  <c r="R81" i="28"/>
  <c r="Q81" i="28"/>
  <c r="P81" i="28"/>
  <c r="O81" i="28"/>
  <c r="N81" i="28"/>
  <c r="M81" i="28"/>
  <c r="L81" i="28"/>
  <c r="K81" i="28"/>
  <c r="J81" i="28"/>
  <c r="I81" i="28"/>
  <c r="H81" i="28"/>
  <c r="G81" i="28"/>
  <c r="F81" i="28"/>
  <c r="E81" i="28"/>
  <c r="D81" i="28"/>
  <c r="C81" i="28"/>
  <c r="B81" i="28"/>
  <c r="A81" i="28"/>
  <c r="Z80" i="28"/>
  <c r="Y80" i="28"/>
  <c r="X80" i="28"/>
  <c r="W80" i="28"/>
  <c r="V80" i="28"/>
  <c r="U80" i="28"/>
  <c r="T80" i="28"/>
  <c r="S80" i="28"/>
  <c r="R80" i="28"/>
  <c r="Q80" i="28"/>
  <c r="P80" i="28"/>
  <c r="O80" i="28"/>
  <c r="N80" i="28"/>
  <c r="M80" i="28"/>
  <c r="L80" i="28"/>
  <c r="K80" i="28"/>
  <c r="J80" i="28"/>
  <c r="I80" i="28"/>
  <c r="H80" i="28"/>
  <c r="G80" i="28"/>
  <c r="F80" i="28"/>
  <c r="E80" i="28"/>
  <c r="D80" i="28"/>
  <c r="C80" i="28"/>
  <c r="B80" i="28"/>
  <c r="A80" i="28"/>
  <c r="Z79" i="28"/>
  <c r="Y79" i="28"/>
  <c r="E35" i="28" s="1"/>
  <c r="X79" i="28"/>
  <c r="W79" i="28"/>
  <c r="V79" i="28"/>
  <c r="U79" i="28"/>
  <c r="T79" i="28"/>
  <c r="S79" i="28"/>
  <c r="R79" i="28"/>
  <c r="Q79" i="28"/>
  <c r="P79" i="28"/>
  <c r="O79" i="28"/>
  <c r="N79" i="28"/>
  <c r="M79" i="28"/>
  <c r="L79" i="28"/>
  <c r="K79" i="28"/>
  <c r="J79" i="28"/>
  <c r="I79" i="28"/>
  <c r="H79" i="28"/>
  <c r="G79" i="28"/>
  <c r="F79" i="28"/>
  <c r="E79" i="28"/>
  <c r="D79" i="28"/>
  <c r="C79" i="28"/>
  <c r="B79" i="28"/>
  <c r="A79" i="28"/>
  <c r="Z78" i="28"/>
  <c r="Y78" i="28"/>
  <c r="X78" i="28"/>
  <c r="W78" i="28"/>
  <c r="V78" i="28"/>
  <c r="U78" i="28"/>
  <c r="T78" i="28"/>
  <c r="S78" i="28"/>
  <c r="R78" i="28"/>
  <c r="Q78" i="28"/>
  <c r="P78" i="28"/>
  <c r="O78" i="28"/>
  <c r="N78" i="28"/>
  <c r="M78" i="28"/>
  <c r="L78" i="28"/>
  <c r="K78" i="28"/>
  <c r="J78" i="28"/>
  <c r="I78" i="28"/>
  <c r="H78" i="28"/>
  <c r="G78" i="28"/>
  <c r="F78" i="28"/>
  <c r="E78" i="28"/>
  <c r="D78" i="28"/>
  <c r="C78" i="28"/>
  <c r="B78" i="28"/>
  <c r="A78" i="28"/>
  <c r="Z77" i="28"/>
  <c r="Y77" i="28"/>
  <c r="X77" i="28"/>
  <c r="W77" i="28"/>
  <c r="V77" i="28"/>
  <c r="U77" i="28"/>
  <c r="T77" i="28"/>
  <c r="S77" i="28"/>
  <c r="R77" i="28"/>
  <c r="Q77" i="28"/>
  <c r="P77" i="28"/>
  <c r="O77" i="28"/>
  <c r="N77" i="28"/>
  <c r="M77" i="28"/>
  <c r="L77" i="28"/>
  <c r="K77" i="28"/>
  <c r="J77" i="28"/>
  <c r="I77" i="28"/>
  <c r="H77" i="28"/>
  <c r="G77" i="28"/>
  <c r="F77" i="28"/>
  <c r="E77" i="28"/>
  <c r="D77" i="28"/>
  <c r="C77" i="28"/>
  <c r="B77" i="28"/>
  <c r="A77" i="28"/>
  <c r="Z76" i="28"/>
  <c r="Y76" i="28"/>
  <c r="E32" i="28" s="1"/>
  <c r="X76" i="28"/>
  <c r="W76" i="28"/>
  <c r="C32" i="28" s="1"/>
  <c r="V76" i="28"/>
  <c r="U76" i="28"/>
  <c r="T76" i="28"/>
  <c r="S76" i="28"/>
  <c r="R76" i="28"/>
  <c r="Q76" i="28"/>
  <c r="P76" i="28"/>
  <c r="O76" i="28"/>
  <c r="N76" i="28"/>
  <c r="M76" i="28"/>
  <c r="L76" i="28"/>
  <c r="K76" i="28"/>
  <c r="J76" i="28"/>
  <c r="I76" i="28"/>
  <c r="H76" i="28"/>
  <c r="G76" i="28"/>
  <c r="F76" i="28"/>
  <c r="E76" i="28"/>
  <c r="D76" i="28"/>
  <c r="C76" i="28"/>
  <c r="B76" i="28"/>
  <c r="A76" i="28"/>
  <c r="Z75" i="28"/>
  <c r="Y75" i="28"/>
  <c r="X75" i="28"/>
  <c r="W75" i="28"/>
  <c r="V75" i="28"/>
  <c r="U75" i="28"/>
  <c r="T75" i="28"/>
  <c r="S75" i="28"/>
  <c r="R75" i="28"/>
  <c r="Q75" i="28"/>
  <c r="P75" i="28"/>
  <c r="O75" i="28"/>
  <c r="N75" i="28"/>
  <c r="M75" i="28"/>
  <c r="L75" i="28"/>
  <c r="K75" i="28"/>
  <c r="J75" i="28"/>
  <c r="I75" i="28"/>
  <c r="H75" i="28"/>
  <c r="G75" i="28"/>
  <c r="F75" i="28"/>
  <c r="E75" i="28"/>
  <c r="D75" i="28"/>
  <c r="C75" i="28"/>
  <c r="B75" i="28"/>
  <c r="A75" i="28"/>
  <c r="Z74" i="28"/>
  <c r="Y74" i="28"/>
  <c r="X74" i="28"/>
  <c r="W74" i="28"/>
  <c r="V74" i="28"/>
  <c r="U74" i="28"/>
  <c r="T74" i="28"/>
  <c r="S74" i="28"/>
  <c r="R74" i="28"/>
  <c r="Q74" i="28"/>
  <c r="P74" i="28"/>
  <c r="O74" i="28"/>
  <c r="N74" i="28"/>
  <c r="M74" i="28"/>
  <c r="L74" i="28"/>
  <c r="K74" i="28"/>
  <c r="J74" i="28"/>
  <c r="I74" i="28"/>
  <c r="H74" i="28"/>
  <c r="G74" i="28"/>
  <c r="F74" i="28"/>
  <c r="E74" i="28"/>
  <c r="D74" i="28"/>
  <c r="C74" i="28"/>
  <c r="B74" i="28"/>
  <c r="A74" i="28"/>
  <c r="Z73" i="28"/>
  <c r="Y73" i="28"/>
  <c r="X73" i="28"/>
  <c r="W73" i="28"/>
  <c r="C29" i="28" s="1"/>
  <c r="V73" i="28"/>
  <c r="U73" i="28"/>
  <c r="T73" i="28"/>
  <c r="S73" i="28"/>
  <c r="R73" i="28"/>
  <c r="Q73" i="28"/>
  <c r="P73" i="28"/>
  <c r="O73" i="28"/>
  <c r="N73" i="28"/>
  <c r="M73" i="28"/>
  <c r="L73" i="28"/>
  <c r="K73" i="28"/>
  <c r="J73" i="28"/>
  <c r="I73" i="28"/>
  <c r="H73" i="28"/>
  <c r="G73" i="28"/>
  <c r="F73" i="28"/>
  <c r="E73" i="28"/>
  <c r="D73" i="28"/>
  <c r="C73" i="28"/>
  <c r="B73" i="28"/>
  <c r="A73" i="28"/>
  <c r="Z72" i="28"/>
  <c r="Y72" i="28"/>
  <c r="X72" i="28"/>
  <c r="W72" i="28"/>
  <c r="V72" i="28"/>
  <c r="U72" i="28"/>
  <c r="T72" i="28"/>
  <c r="S72" i="28"/>
  <c r="R72" i="28"/>
  <c r="Q72" i="28"/>
  <c r="P72" i="28"/>
  <c r="O72" i="28"/>
  <c r="N72" i="28"/>
  <c r="M72" i="28"/>
  <c r="L72" i="28"/>
  <c r="K72" i="28"/>
  <c r="J72" i="28"/>
  <c r="I72" i="28"/>
  <c r="H72" i="28"/>
  <c r="G72" i="28"/>
  <c r="F72" i="28"/>
  <c r="E72" i="28"/>
  <c r="D72" i="28"/>
  <c r="C72" i="28"/>
  <c r="B72" i="28"/>
  <c r="A72" i="28"/>
  <c r="Z71" i="28"/>
  <c r="Y71" i="28"/>
  <c r="E27" i="28" s="1"/>
  <c r="X71" i="28"/>
  <c r="W71" i="28"/>
  <c r="V71" i="28"/>
  <c r="U71" i="28"/>
  <c r="T71" i="28"/>
  <c r="S71" i="28"/>
  <c r="R71" i="28"/>
  <c r="Q71" i="28"/>
  <c r="P71" i="28"/>
  <c r="O71" i="28"/>
  <c r="N71" i="28"/>
  <c r="M71" i="28"/>
  <c r="L71" i="28"/>
  <c r="K71" i="28"/>
  <c r="J71" i="28"/>
  <c r="I71" i="28"/>
  <c r="H71" i="28"/>
  <c r="G71" i="28"/>
  <c r="F71" i="28"/>
  <c r="E71" i="28"/>
  <c r="D71" i="28"/>
  <c r="C71" i="28"/>
  <c r="B71" i="28"/>
  <c r="A71" i="28"/>
  <c r="Z70" i="28"/>
  <c r="Y70" i="28"/>
  <c r="X70" i="28"/>
  <c r="W70" i="28"/>
  <c r="V70" i="28"/>
  <c r="U70" i="28"/>
  <c r="T70" i="28"/>
  <c r="S70" i="28"/>
  <c r="R70" i="28"/>
  <c r="Q70" i="28"/>
  <c r="P70" i="28"/>
  <c r="O70" i="28"/>
  <c r="N70" i="28"/>
  <c r="M70" i="28"/>
  <c r="L70" i="28"/>
  <c r="K70" i="28"/>
  <c r="J70" i="28"/>
  <c r="I70" i="28"/>
  <c r="H70" i="28"/>
  <c r="G70" i="28"/>
  <c r="F70" i="28"/>
  <c r="E70" i="28"/>
  <c r="D70" i="28"/>
  <c r="C70" i="28"/>
  <c r="B70" i="28"/>
  <c r="A70" i="28"/>
  <c r="Z69" i="28"/>
  <c r="Y69" i="28"/>
  <c r="X69" i="28"/>
  <c r="W69" i="28"/>
  <c r="V69" i="28"/>
  <c r="U69" i="28"/>
  <c r="T69" i="28"/>
  <c r="S69" i="28"/>
  <c r="R69" i="28"/>
  <c r="Q69" i="28"/>
  <c r="P69" i="28"/>
  <c r="O69" i="28"/>
  <c r="N69" i="28"/>
  <c r="M69" i="28"/>
  <c r="L69" i="28"/>
  <c r="K69" i="28"/>
  <c r="J69" i="28"/>
  <c r="I69" i="28"/>
  <c r="H69" i="28"/>
  <c r="G69" i="28"/>
  <c r="F69" i="28"/>
  <c r="E69" i="28"/>
  <c r="D69" i="28"/>
  <c r="C69" i="28"/>
  <c r="B69" i="28"/>
  <c r="A69" i="28"/>
  <c r="Z68" i="28"/>
  <c r="Y68" i="28"/>
  <c r="E24" i="28" s="1"/>
  <c r="X68" i="28"/>
  <c r="W68" i="28"/>
  <c r="C24" i="28" s="1"/>
  <c r="V68" i="28"/>
  <c r="U68" i="28"/>
  <c r="T68" i="28"/>
  <c r="S68" i="28"/>
  <c r="R68" i="28"/>
  <c r="Q68" i="28"/>
  <c r="P68" i="28"/>
  <c r="O68" i="28"/>
  <c r="N68" i="28"/>
  <c r="M68" i="28"/>
  <c r="L68" i="28"/>
  <c r="K68" i="28"/>
  <c r="J68" i="28"/>
  <c r="I68" i="28"/>
  <c r="H68" i="28"/>
  <c r="G68" i="28"/>
  <c r="F68" i="28"/>
  <c r="E68" i="28"/>
  <c r="D68" i="28"/>
  <c r="C68" i="28"/>
  <c r="B68" i="28"/>
  <c r="A68" i="28"/>
  <c r="Z67" i="28"/>
  <c r="Y67" i="28"/>
  <c r="X67" i="28"/>
  <c r="W67" i="28"/>
  <c r="V67" i="28"/>
  <c r="U67" i="28"/>
  <c r="T67" i="28"/>
  <c r="S67" i="28"/>
  <c r="R67" i="28"/>
  <c r="Q67" i="28"/>
  <c r="P67" i="28"/>
  <c r="O67" i="28"/>
  <c r="N67" i="28"/>
  <c r="M67" i="28"/>
  <c r="L67" i="28"/>
  <c r="K67" i="28"/>
  <c r="J67" i="28"/>
  <c r="I67" i="28"/>
  <c r="H67" i="28"/>
  <c r="G67" i="28"/>
  <c r="F67" i="28"/>
  <c r="E67" i="28"/>
  <c r="D67" i="28"/>
  <c r="C67" i="28"/>
  <c r="B67" i="28"/>
  <c r="A67" i="28"/>
  <c r="Z66" i="28"/>
  <c r="Y66" i="28"/>
  <c r="X66" i="28"/>
  <c r="W66" i="28"/>
  <c r="V66" i="28"/>
  <c r="U66" i="28"/>
  <c r="T66" i="28"/>
  <c r="S66" i="28"/>
  <c r="R66" i="28"/>
  <c r="Q66" i="28"/>
  <c r="P66" i="28"/>
  <c r="O66" i="28"/>
  <c r="N66" i="28"/>
  <c r="M66" i="28"/>
  <c r="L66" i="28"/>
  <c r="K66" i="28"/>
  <c r="J66" i="28"/>
  <c r="I66" i="28"/>
  <c r="H66" i="28"/>
  <c r="G66" i="28"/>
  <c r="F66" i="28"/>
  <c r="E66" i="28"/>
  <c r="D66" i="28"/>
  <c r="C66" i="28"/>
  <c r="B66" i="28"/>
  <c r="A66" i="28"/>
  <c r="Z65" i="28"/>
  <c r="Y65" i="28"/>
  <c r="X65" i="28"/>
  <c r="W65" i="28"/>
  <c r="C21" i="28" s="1"/>
  <c r="V65" i="28"/>
  <c r="U65" i="28"/>
  <c r="T65" i="28"/>
  <c r="S65" i="28"/>
  <c r="R65" i="28"/>
  <c r="Q65" i="28"/>
  <c r="P65" i="28"/>
  <c r="O65" i="28"/>
  <c r="N65" i="28"/>
  <c r="M65" i="28"/>
  <c r="L65" i="28"/>
  <c r="K65" i="28"/>
  <c r="J65" i="28"/>
  <c r="I65" i="28"/>
  <c r="H65" i="28"/>
  <c r="G65" i="28"/>
  <c r="F65" i="28"/>
  <c r="E65" i="28"/>
  <c r="D65" i="28"/>
  <c r="C65" i="28"/>
  <c r="B65" i="28"/>
  <c r="A65" i="28"/>
  <c r="Z64" i="28"/>
  <c r="Y64" i="28"/>
  <c r="X64" i="28"/>
  <c r="W64" i="28"/>
  <c r="V64" i="28"/>
  <c r="U64" i="28"/>
  <c r="T64" i="28"/>
  <c r="S64" i="28"/>
  <c r="R64" i="28"/>
  <c r="Q64" i="28"/>
  <c r="P64" i="28"/>
  <c r="O64" i="28"/>
  <c r="N64" i="28"/>
  <c r="M64" i="28"/>
  <c r="L64" i="28"/>
  <c r="K64" i="28"/>
  <c r="J64" i="28"/>
  <c r="I64" i="28"/>
  <c r="H64" i="28"/>
  <c r="G64" i="28"/>
  <c r="F64" i="28"/>
  <c r="E64" i="28"/>
  <c r="D64" i="28"/>
  <c r="C64" i="28"/>
  <c r="B64" i="28"/>
  <c r="A64" i="28"/>
  <c r="Z63" i="28"/>
  <c r="Y63" i="28"/>
  <c r="E19" i="28" s="1"/>
  <c r="X63" i="28"/>
  <c r="W63" i="28"/>
  <c r="V63" i="28"/>
  <c r="U63" i="28"/>
  <c r="T63" i="28"/>
  <c r="S63" i="28"/>
  <c r="R63" i="28"/>
  <c r="Q63" i="28"/>
  <c r="P63" i="28"/>
  <c r="O63" i="28"/>
  <c r="N63" i="28"/>
  <c r="M63" i="28"/>
  <c r="L63" i="28"/>
  <c r="K63" i="28"/>
  <c r="J63" i="28"/>
  <c r="I63" i="28"/>
  <c r="H63" i="28"/>
  <c r="G63" i="28"/>
  <c r="F63" i="28"/>
  <c r="E63" i="28"/>
  <c r="D63" i="28"/>
  <c r="C63" i="28"/>
  <c r="B63" i="28"/>
  <c r="A63" i="28"/>
  <c r="Z62" i="28"/>
  <c r="Y62" i="28"/>
  <c r="X62" i="28"/>
  <c r="W62" i="28"/>
  <c r="V62" i="28"/>
  <c r="U62" i="28"/>
  <c r="T62" i="28"/>
  <c r="S62" i="28"/>
  <c r="R62" i="28"/>
  <c r="Q62" i="28"/>
  <c r="P62" i="28"/>
  <c r="O62" i="28"/>
  <c r="N62" i="28"/>
  <c r="M62" i="28"/>
  <c r="L62" i="28"/>
  <c r="K62" i="28"/>
  <c r="J62" i="28"/>
  <c r="I62" i="28"/>
  <c r="H62" i="28"/>
  <c r="G62" i="28"/>
  <c r="F62" i="28"/>
  <c r="E62" i="28"/>
  <c r="D62" i="28"/>
  <c r="C62" i="28"/>
  <c r="B62" i="28"/>
  <c r="A62" i="28"/>
  <c r="Z61" i="28"/>
  <c r="Y61" i="28"/>
  <c r="X61" i="28"/>
  <c r="W61" i="28"/>
  <c r="V61" i="28"/>
  <c r="U61" i="28"/>
  <c r="T61" i="28"/>
  <c r="S61" i="28"/>
  <c r="R61" i="28"/>
  <c r="Q61" i="28"/>
  <c r="P61" i="28"/>
  <c r="O61" i="28"/>
  <c r="N61" i="28"/>
  <c r="M61" i="28"/>
  <c r="L61" i="28"/>
  <c r="K61" i="28"/>
  <c r="J61" i="28"/>
  <c r="I61" i="28"/>
  <c r="H61" i="28"/>
  <c r="G61" i="28"/>
  <c r="F61" i="28"/>
  <c r="E61" i="28"/>
  <c r="D61" i="28"/>
  <c r="C61" i="28"/>
  <c r="B61" i="28"/>
  <c r="A61" i="28"/>
  <c r="Z60" i="28"/>
  <c r="Y60" i="28"/>
  <c r="E16" i="28" s="1"/>
  <c r="X60" i="28"/>
  <c r="W60" i="28"/>
  <c r="C16" i="28" s="1"/>
  <c r="V60" i="28"/>
  <c r="U60" i="28"/>
  <c r="T60" i="28"/>
  <c r="S60" i="28"/>
  <c r="R60" i="28"/>
  <c r="Q60" i="28"/>
  <c r="P60" i="28"/>
  <c r="O60" i="28"/>
  <c r="N60" i="28"/>
  <c r="M60" i="28"/>
  <c r="L60" i="28"/>
  <c r="K60" i="28"/>
  <c r="J60" i="28"/>
  <c r="I60" i="28"/>
  <c r="H60" i="28"/>
  <c r="G60" i="28"/>
  <c r="F60" i="28"/>
  <c r="E60" i="28"/>
  <c r="D60" i="28"/>
  <c r="C60" i="28"/>
  <c r="B60" i="28"/>
  <c r="A60" i="28"/>
  <c r="Z59" i="28"/>
  <c r="Y59" i="28"/>
  <c r="X59" i="28"/>
  <c r="W59" i="28"/>
  <c r="V59" i="28"/>
  <c r="U59" i="28"/>
  <c r="T59" i="28"/>
  <c r="S59" i="28"/>
  <c r="R59" i="28"/>
  <c r="Q59" i="28"/>
  <c r="P59" i="28"/>
  <c r="O59" i="28"/>
  <c r="N59" i="28"/>
  <c r="M59" i="28"/>
  <c r="L59" i="28"/>
  <c r="K59" i="28"/>
  <c r="J59" i="28"/>
  <c r="I59" i="28"/>
  <c r="H59" i="28"/>
  <c r="G59" i="28"/>
  <c r="F59" i="28"/>
  <c r="E59" i="28"/>
  <c r="D59" i="28"/>
  <c r="C59" i="28"/>
  <c r="B59" i="28"/>
  <c r="A59" i="28"/>
  <c r="Z58" i="28"/>
  <c r="Y58" i="28"/>
  <c r="X58" i="28"/>
  <c r="W58" i="28"/>
  <c r="V58" i="28"/>
  <c r="U58" i="28"/>
  <c r="T58" i="28"/>
  <c r="S58" i="28"/>
  <c r="R58" i="28"/>
  <c r="Q58" i="28"/>
  <c r="P58" i="28"/>
  <c r="O58" i="28"/>
  <c r="N58" i="28"/>
  <c r="M58" i="28"/>
  <c r="L58" i="28"/>
  <c r="K58" i="28"/>
  <c r="J58" i="28"/>
  <c r="I58" i="28"/>
  <c r="H58" i="28"/>
  <c r="G58" i="28"/>
  <c r="F58" i="28"/>
  <c r="E58" i="28"/>
  <c r="D58" i="28"/>
  <c r="C58" i="28"/>
  <c r="B58" i="28"/>
  <c r="A58" i="28"/>
  <c r="Z57" i="28"/>
  <c r="Y57" i="28"/>
  <c r="X57" i="28"/>
  <c r="W57" i="28"/>
  <c r="C13" i="28" s="1"/>
  <c r="V57" i="28"/>
  <c r="U57" i="28"/>
  <c r="T57" i="28"/>
  <c r="S57" i="28"/>
  <c r="R57" i="28"/>
  <c r="Q57" i="28"/>
  <c r="P57" i="28"/>
  <c r="O57" i="28"/>
  <c r="N57" i="28"/>
  <c r="M57" i="28"/>
  <c r="L57" i="28"/>
  <c r="K57" i="28"/>
  <c r="J57" i="28"/>
  <c r="I57" i="28"/>
  <c r="H57" i="28"/>
  <c r="G57" i="28"/>
  <c r="F57" i="28"/>
  <c r="E57" i="28"/>
  <c r="D57" i="28"/>
  <c r="C57" i="28"/>
  <c r="B57" i="28"/>
  <c r="A57" i="28"/>
  <c r="Z56" i="28"/>
  <c r="Y56" i="28"/>
  <c r="X56" i="28"/>
  <c r="W56" i="28"/>
  <c r="V56" i="28"/>
  <c r="U56" i="28"/>
  <c r="T56" i="28"/>
  <c r="S56" i="28"/>
  <c r="R56" i="28"/>
  <c r="Q56" i="28"/>
  <c r="P56" i="28"/>
  <c r="O56" i="28"/>
  <c r="N56" i="28"/>
  <c r="M56" i="28"/>
  <c r="L56" i="28"/>
  <c r="K56" i="28"/>
  <c r="J56" i="28"/>
  <c r="I56" i="28"/>
  <c r="H56" i="28"/>
  <c r="G56" i="28"/>
  <c r="F56" i="28"/>
  <c r="E56" i="28"/>
  <c r="D56" i="28"/>
  <c r="C56" i="28"/>
  <c r="B56" i="28"/>
  <c r="A56" i="28"/>
  <c r="Z55" i="28"/>
  <c r="Y55" i="28"/>
  <c r="E11" i="28" s="1"/>
  <c r="X55" i="28"/>
  <c r="W55" i="28"/>
  <c r="V55" i="28"/>
  <c r="U55" i="28"/>
  <c r="T55" i="28"/>
  <c r="S55" i="28"/>
  <c r="R55" i="28"/>
  <c r="Q55" i="28"/>
  <c r="P55" i="28"/>
  <c r="O55" i="28"/>
  <c r="N55" i="28"/>
  <c r="M55" i="28"/>
  <c r="L55" i="28"/>
  <c r="K55" i="28"/>
  <c r="J55" i="28"/>
  <c r="I55" i="28"/>
  <c r="H55" i="28"/>
  <c r="G55" i="28"/>
  <c r="F55" i="28"/>
  <c r="E55" i="28"/>
  <c r="D55" i="28"/>
  <c r="C55" i="28"/>
  <c r="B55" i="28"/>
  <c r="A55" i="28"/>
  <c r="Z54" i="28"/>
  <c r="Y54" i="28"/>
  <c r="X54" i="28"/>
  <c r="W54" i="28"/>
  <c r="V54" i="28"/>
  <c r="U54" i="28"/>
  <c r="T54" i="28"/>
  <c r="S54" i="28"/>
  <c r="R54" i="28"/>
  <c r="Q54" i="28"/>
  <c r="P54" i="28"/>
  <c r="O54" i="28"/>
  <c r="N54" i="28"/>
  <c r="M54" i="28"/>
  <c r="L54" i="28"/>
  <c r="K54" i="28"/>
  <c r="J54" i="28"/>
  <c r="I54" i="28"/>
  <c r="H54" i="28"/>
  <c r="G54" i="28"/>
  <c r="F54" i="28"/>
  <c r="E54" i="28"/>
  <c r="D54" i="28"/>
  <c r="C54" i="28"/>
  <c r="B54" i="28"/>
  <c r="A54" i="28"/>
  <c r="Z53" i="28"/>
  <c r="Y53" i="28"/>
  <c r="X53" i="28"/>
  <c r="W53" i="28"/>
  <c r="V53" i="28"/>
  <c r="U53" i="28"/>
  <c r="T53" i="28"/>
  <c r="S53" i="28"/>
  <c r="R53" i="28"/>
  <c r="Q53" i="28"/>
  <c r="P53" i="28"/>
  <c r="O53" i="28"/>
  <c r="N53" i="28"/>
  <c r="M53" i="28"/>
  <c r="L53" i="28"/>
  <c r="K53" i="28"/>
  <c r="J53" i="28"/>
  <c r="I53" i="28"/>
  <c r="H53" i="28"/>
  <c r="G53" i="28"/>
  <c r="F53" i="28"/>
  <c r="E53" i="28"/>
  <c r="D53" i="28"/>
  <c r="C53" i="28"/>
  <c r="B53" i="28"/>
  <c r="A53" i="28"/>
  <c r="Z52" i="28"/>
  <c r="Y52" i="28"/>
  <c r="E8" i="28" s="1"/>
  <c r="X52" i="28"/>
  <c r="W52" i="28"/>
  <c r="C8" i="28" s="1"/>
  <c r="V52" i="28"/>
  <c r="U52" i="28"/>
  <c r="T52" i="28"/>
  <c r="S52" i="28"/>
  <c r="R52" i="28"/>
  <c r="Q52" i="28"/>
  <c r="P52" i="28"/>
  <c r="O52" i="28"/>
  <c r="N52" i="28"/>
  <c r="M52" i="28"/>
  <c r="L52" i="28"/>
  <c r="K52" i="28"/>
  <c r="J52" i="28"/>
  <c r="I52" i="28"/>
  <c r="H52" i="28"/>
  <c r="G52" i="28"/>
  <c r="F52" i="28"/>
  <c r="E52" i="28"/>
  <c r="D52" i="28"/>
  <c r="C52" i="28"/>
  <c r="B52" i="28"/>
  <c r="A52" i="28"/>
  <c r="Z51" i="28"/>
  <c r="Y51" i="28"/>
  <c r="X51" i="28"/>
  <c r="W51" i="28"/>
  <c r="V51" i="28"/>
  <c r="U51" i="28"/>
  <c r="T51" i="28"/>
  <c r="S51" i="28"/>
  <c r="R51" i="28"/>
  <c r="Q51" i="28"/>
  <c r="P51" i="28"/>
  <c r="O51" i="28"/>
  <c r="N51" i="28"/>
  <c r="M51" i="28"/>
  <c r="L51" i="28"/>
  <c r="K51" i="28"/>
  <c r="J51" i="28"/>
  <c r="I51" i="28"/>
  <c r="H51" i="28"/>
  <c r="G51" i="28"/>
  <c r="F51" i="28"/>
  <c r="E51" i="28"/>
  <c r="D51" i="28"/>
  <c r="C51" i="28"/>
  <c r="B51" i="28"/>
  <c r="A51" i="28"/>
  <c r="L38" i="28"/>
  <c r="I38" i="28"/>
  <c r="G38" i="28"/>
  <c r="K38" i="28" s="1"/>
  <c r="F38" i="28"/>
  <c r="E38" i="28"/>
  <c r="D38" i="28"/>
  <c r="C38" i="28"/>
  <c r="B38" i="28"/>
  <c r="F37" i="28"/>
  <c r="E37" i="28"/>
  <c r="D37" i="28"/>
  <c r="B37" i="28"/>
  <c r="F36" i="28"/>
  <c r="E36" i="28"/>
  <c r="D36" i="28"/>
  <c r="C36" i="28"/>
  <c r="L36" i="28" s="1"/>
  <c r="B36" i="28"/>
  <c r="F35" i="28"/>
  <c r="D35" i="28"/>
  <c r="C35" i="28"/>
  <c r="B35" i="28"/>
  <c r="I34" i="28"/>
  <c r="F34" i="28"/>
  <c r="E34" i="28"/>
  <c r="D34" i="28"/>
  <c r="C34" i="28"/>
  <c r="B34" i="28"/>
  <c r="G34" i="28" s="1"/>
  <c r="F33" i="28"/>
  <c r="E33" i="28"/>
  <c r="D33" i="28"/>
  <c r="G33" i="28" s="1"/>
  <c r="C33" i="28"/>
  <c r="B33" i="28"/>
  <c r="L33" i="28" s="1"/>
  <c r="F32" i="28"/>
  <c r="D32" i="28"/>
  <c r="B32" i="28"/>
  <c r="L31" i="28"/>
  <c r="F31" i="28"/>
  <c r="E31" i="28"/>
  <c r="D31" i="28"/>
  <c r="C31" i="28"/>
  <c r="B31" i="28"/>
  <c r="I31" i="28" s="1"/>
  <c r="F30" i="28"/>
  <c r="E30" i="28"/>
  <c r="G30" i="28" s="1"/>
  <c r="D30" i="28"/>
  <c r="C30" i="28"/>
  <c r="L30" i="28" s="1"/>
  <c r="B30" i="28"/>
  <c r="E29" i="28"/>
  <c r="D29" i="28"/>
  <c r="B29" i="28"/>
  <c r="L28" i="28"/>
  <c r="E28" i="28"/>
  <c r="D28" i="28"/>
  <c r="C28" i="28"/>
  <c r="B28" i="28"/>
  <c r="I28" i="28" s="1"/>
  <c r="F27" i="28"/>
  <c r="D27" i="28"/>
  <c r="C27" i="28"/>
  <c r="B27" i="28"/>
  <c r="E26" i="28"/>
  <c r="D26" i="28"/>
  <c r="C26" i="28"/>
  <c r="B26" i="28"/>
  <c r="L26" i="28" s="1"/>
  <c r="I25" i="28"/>
  <c r="E25" i="28"/>
  <c r="D25" i="28"/>
  <c r="C25" i="28"/>
  <c r="G25" i="28" s="1"/>
  <c r="B25" i="28"/>
  <c r="D24" i="28"/>
  <c r="B24" i="28"/>
  <c r="I23" i="28"/>
  <c r="E23" i="28"/>
  <c r="D23" i="28"/>
  <c r="C23" i="28"/>
  <c r="B23" i="28"/>
  <c r="L23" i="28" s="1"/>
  <c r="I22" i="28"/>
  <c r="G22" i="28"/>
  <c r="K22" i="28" s="1"/>
  <c r="E22" i="28"/>
  <c r="D22" i="28"/>
  <c r="C22" i="28"/>
  <c r="B22" i="28"/>
  <c r="L22" i="28" s="1"/>
  <c r="E21" i="28"/>
  <c r="D21" i="28"/>
  <c r="B21" i="28"/>
  <c r="K20" i="28"/>
  <c r="G20" i="28"/>
  <c r="E20" i="28"/>
  <c r="D20" i="28"/>
  <c r="C20" i="28"/>
  <c r="L20" i="28" s="1"/>
  <c r="B20" i="28"/>
  <c r="I20" i="28" s="1"/>
  <c r="D19" i="28"/>
  <c r="C19" i="28"/>
  <c r="B19" i="28"/>
  <c r="L18" i="28"/>
  <c r="K18" i="28"/>
  <c r="G18" i="28"/>
  <c r="E18" i="28"/>
  <c r="D18" i="28"/>
  <c r="C18" i="28"/>
  <c r="B18" i="28"/>
  <c r="I18" i="28" s="1"/>
  <c r="I17" i="28"/>
  <c r="E17" i="28"/>
  <c r="D17" i="28"/>
  <c r="C17" i="28"/>
  <c r="G17" i="28" s="1"/>
  <c r="B17" i="28"/>
  <c r="D16" i="28"/>
  <c r="B16" i="28"/>
  <c r="I15" i="28"/>
  <c r="E15" i="28"/>
  <c r="D15" i="28"/>
  <c r="C15" i="28"/>
  <c r="B15" i="28"/>
  <c r="L15" i="28" s="1"/>
  <c r="I14" i="28"/>
  <c r="G14" i="28"/>
  <c r="K14" i="28" s="1"/>
  <c r="E14" i="28"/>
  <c r="D14" i="28"/>
  <c r="C14" i="28"/>
  <c r="B14" i="28"/>
  <c r="L14" i="28" s="1"/>
  <c r="E13" i="28"/>
  <c r="D13" i="28"/>
  <c r="B13" i="28"/>
  <c r="K12" i="28"/>
  <c r="G12" i="28"/>
  <c r="E12" i="28"/>
  <c r="D12" i="28"/>
  <c r="C12" i="28"/>
  <c r="B12" i="28"/>
  <c r="I12" i="28" s="1"/>
  <c r="D11" i="28"/>
  <c r="C11" i="28"/>
  <c r="B11" i="28"/>
  <c r="L10" i="28"/>
  <c r="K10" i="28"/>
  <c r="G10" i="28"/>
  <c r="E10" i="28"/>
  <c r="D10" i="28"/>
  <c r="C10" i="28"/>
  <c r="B10" i="28"/>
  <c r="I10" i="28" s="1"/>
  <c r="I9" i="28"/>
  <c r="E9" i="28"/>
  <c r="D9" i="28"/>
  <c r="C9" i="28"/>
  <c r="G9" i="28" s="1"/>
  <c r="B9" i="28"/>
  <c r="F8" i="28"/>
  <c r="D8" i="28"/>
  <c r="B8" i="28"/>
  <c r="B6" i="28"/>
  <c r="B4" i="28"/>
  <c r="AA82" i="27"/>
  <c r="Z82" i="27"/>
  <c r="Y82" i="27"/>
  <c r="X82" i="27"/>
  <c r="W82" i="27"/>
  <c r="V82" i="27"/>
  <c r="U82" i="27"/>
  <c r="T82" i="27"/>
  <c r="S82" i="27"/>
  <c r="R82" i="27"/>
  <c r="Q82" i="27"/>
  <c r="P82" i="27"/>
  <c r="O82" i="27"/>
  <c r="N82" i="27"/>
  <c r="M82" i="27"/>
  <c r="L82" i="27"/>
  <c r="K82" i="27"/>
  <c r="J82" i="27"/>
  <c r="I82" i="27"/>
  <c r="H82" i="27"/>
  <c r="G82" i="27"/>
  <c r="F82" i="27"/>
  <c r="E82" i="27"/>
  <c r="D82" i="27"/>
  <c r="C82" i="27"/>
  <c r="B82" i="27"/>
  <c r="AA81" i="27"/>
  <c r="Z81" i="27"/>
  <c r="Y81" i="27"/>
  <c r="X81" i="27"/>
  <c r="W81" i="27"/>
  <c r="V81" i="27"/>
  <c r="U81" i="27"/>
  <c r="T81" i="27"/>
  <c r="S81" i="27"/>
  <c r="R81" i="27"/>
  <c r="Q81" i="27"/>
  <c r="P81" i="27"/>
  <c r="O81" i="27"/>
  <c r="N81" i="27"/>
  <c r="M81" i="27"/>
  <c r="L81" i="27"/>
  <c r="K81" i="27"/>
  <c r="J81" i="27"/>
  <c r="I81" i="27"/>
  <c r="H81" i="27"/>
  <c r="G81" i="27"/>
  <c r="F81" i="27"/>
  <c r="E81" i="27"/>
  <c r="D81" i="27"/>
  <c r="C81" i="27"/>
  <c r="B81" i="27"/>
  <c r="AA80" i="27"/>
  <c r="Z80" i="27"/>
  <c r="Y80" i="27"/>
  <c r="X80" i="27"/>
  <c r="W80" i="27"/>
  <c r="V80" i="27"/>
  <c r="U80" i="27"/>
  <c r="T80" i="27"/>
  <c r="S80" i="27"/>
  <c r="R80" i="27"/>
  <c r="Q80" i="27"/>
  <c r="P80" i="27"/>
  <c r="O80" i="27"/>
  <c r="N80" i="27"/>
  <c r="M80" i="27"/>
  <c r="L80" i="27"/>
  <c r="K80" i="27"/>
  <c r="J80" i="27"/>
  <c r="I80" i="27"/>
  <c r="H80" i="27"/>
  <c r="G80" i="27"/>
  <c r="F80" i="27"/>
  <c r="E80" i="27"/>
  <c r="D80" i="27"/>
  <c r="C80" i="27"/>
  <c r="B80" i="27"/>
  <c r="AA79" i="27"/>
  <c r="Z79" i="27"/>
  <c r="Y79" i="27"/>
  <c r="X79" i="27"/>
  <c r="W79" i="27"/>
  <c r="V79" i="27"/>
  <c r="U79" i="27"/>
  <c r="T79" i="27"/>
  <c r="S79" i="27"/>
  <c r="R79" i="27"/>
  <c r="Q79" i="27"/>
  <c r="P79" i="27"/>
  <c r="O79" i="27"/>
  <c r="N79" i="27"/>
  <c r="M79" i="27"/>
  <c r="L79" i="27"/>
  <c r="K79" i="27"/>
  <c r="J79" i="27"/>
  <c r="I79" i="27"/>
  <c r="H79" i="27"/>
  <c r="G79" i="27"/>
  <c r="F79" i="27"/>
  <c r="E79" i="27"/>
  <c r="D79" i="27"/>
  <c r="C79" i="27"/>
  <c r="B79" i="27"/>
  <c r="AA78" i="27"/>
  <c r="Z78" i="27"/>
  <c r="Y78" i="27"/>
  <c r="X78" i="27"/>
  <c r="W78" i="27"/>
  <c r="V78" i="27"/>
  <c r="U78" i="27"/>
  <c r="T78" i="27"/>
  <c r="S78" i="27"/>
  <c r="R78" i="27"/>
  <c r="Q78" i="27"/>
  <c r="P78" i="27"/>
  <c r="O78" i="27"/>
  <c r="N78" i="27"/>
  <c r="M78" i="27"/>
  <c r="L78" i="27"/>
  <c r="K78" i="27"/>
  <c r="J78" i="27"/>
  <c r="I78" i="27"/>
  <c r="H78" i="27"/>
  <c r="G78" i="27"/>
  <c r="F78" i="27"/>
  <c r="E78" i="27"/>
  <c r="D78" i="27"/>
  <c r="C78" i="27"/>
  <c r="B78" i="27"/>
  <c r="AA77" i="27"/>
  <c r="Z77" i="27"/>
  <c r="Y77" i="27"/>
  <c r="X77" i="27"/>
  <c r="W77" i="27"/>
  <c r="V77" i="27"/>
  <c r="U77" i="27"/>
  <c r="T77" i="27"/>
  <c r="S77" i="27"/>
  <c r="R77" i="27"/>
  <c r="Q77" i="27"/>
  <c r="P77" i="27"/>
  <c r="O77" i="27"/>
  <c r="N77" i="27"/>
  <c r="M77" i="27"/>
  <c r="L77" i="27"/>
  <c r="K77" i="27"/>
  <c r="J77" i="27"/>
  <c r="I77" i="27"/>
  <c r="H77" i="27"/>
  <c r="G77" i="27"/>
  <c r="F77" i="27"/>
  <c r="E77" i="27"/>
  <c r="D77" i="27"/>
  <c r="C77" i="27"/>
  <c r="B77" i="27"/>
  <c r="AA76" i="27"/>
  <c r="Z76" i="27"/>
  <c r="Y76" i="27"/>
  <c r="X76" i="27"/>
  <c r="W76" i="27"/>
  <c r="V76" i="27"/>
  <c r="U76" i="27"/>
  <c r="T76" i="27"/>
  <c r="S76" i="27"/>
  <c r="R76" i="27"/>
  <c r="Q76" i="27"/>
  <c r="P76" i="27"/>
  <c r="O76" i="27"/>
  <c r="N76" i="27"/>
  <c r="M76" i="27"/>
  <c r="L76" i="27"/>
  <c r="K76" i="27"/>
  <c r="J76" i="27"/>
  <c r="I76" i="27"/>
  <c r="H76" i="27"/>
  <c r="G76" i="27"/>
  <c r="F76" i="27"/>
  <c r="E76" i="27"/>
  <c r="D76" i="27"/>
  <c r="C76" i="27"/>
  <c r="B76" i="27"/>
  <c r="AA75" i="27"/>
  <c r="Z75" i="27"/>
  <c r="Y75" i="27"/>
  <c r="X75" i="27"/>
  <c r="W75" i="27"/>
  <c r="V75" i="27"/>
  <c r="U75" i="27"/>
  <c r="T75" i="27"/>
  <c r="S75" i="27"/>
  <c r="R75" i="27"/>
  <c r="Q75" i="27"/>
  <c r="P75" i="27"/>
  <c r="O75" i="27"/>
  <c r="N75" i="27"/>
  <c r="M75" i="27"/>
  <c r="L75" i="27"/>
  <c r="K75" i="27"/>
  <c r="J75" i="27"/>
  <c r="I75" i="27"/>
  <c r="H75" i="27"/>
  <c r="G75" i="27"/>
  <c r="F75" i="27"/>
  <c r="E75" i="27"/>
  <c r="D75" i="27"/>
  <c r="C75" i="27"/>
  <c r="B75" i="27"/>
  <c r="AA74" i="27"/>
  <c r="Z74" i="27"/>
  <c r="Y74" i="27"/>
  <c r="X74" i="27"/>
  <c r="W74" i="27"/>
  <c r="V74" i="27"/>
  <c r="U74" i="27"/>
  <c r="T74" i="27"/>
  <c r="S74" i="27"/>
  <c r="R74" i="27"/>
  <c r="Q74" i="27"/>
  <c r="P74" i="27"/>
  <c r="O74" i="27"/>
  <c r="N74" i="27"/>
  <c r="M74" i="27"/>
  <c r="L74" i="27"/>
  <c r="K74" i="27"/>
  <c r="J74" i="27"/>
  <c r="I74" i="27"/>
  <c r="H74" i="27"/>
  <c r="G74" i="27"/>
  <c r="F74" i="27"/>
  <c r="E74" i="27"/>
  <c r="D74" i="27"/>
  <c r="C74" i="27"/>
  <c r="B74" i="27"/>
  <c r="AA73" i="27"/>
  <c r="Z73" i="27"/>
  <c r="Y73" i="27"/>
  <c r="X73" i="27"/>
  <c r="W73" i="27"/>
  <c r="V73" i="27"/>
  <c r="U73" i="27"/>
  <c r="T73" i="27"/>
  <c r="S73" i="27"/>
  <c r="R73" i="27"/>
  <c r="Q73" i="27"/>
  <c r="P73" i="27"/>
  <c r="O73" i="27"/>
  <c r="N73" i="27"/>
  <c r="M73" i="27"/>
  <c r="L73" i="27"/>
  <c r="K73" i="27"/>
  <c r="J73" i="27"/>
  <c r="I73" i="27"/>
  <c r="H73" i="27"/>
  <c r="G73" i="27"/>
  <c r="F73" i="27"/>
  <c r="E73" i="27"/>
  <c r="D73" i="27"/>
  <c r="C73" i="27"/>
  <c r="B73" i="27"/>
  <c r="AA72" i="27"/>
  <c r="Z72" i="27"/>
  <c r="Y72" i="27"/>
  <c r="X72" i="27"/>
  <c r="W72" i="27"/>
  <c r="V72" i="27"/>
  <c r="U72" i="27"/>
  <c r="T72" i="27"/>
  <c r="S72" i="27"/>
  <c r="R72" i="27"/>
  <c r="Q72" i="27"/>
  <c r="P72" i="27"/>
  <c r="O72" i="27"/>
  <c r="N72" i="27"/>
  <c r="M72" i="27"/>
  <c r="L72" i="27"/>
  <c r="K72" i="27"/>
  <c r="J72" i="27"/>
  <c r="I72" i="27"/>
  <c r="H72" i="27"/>
  <c r="G72" i="27"/>
  <c r="F72" i="27"/>
  <c r="E72" i="27"/>
  <c r="D72" i="27"/>
  <c r="C72" i="27"/>
  <c r="B72" i="27"/>
  <c r="AA71" i="27"/>
  <c r="Z71" i="27"/>
  <c r="Y71" i="27"/>
  <c r="X71" i="27"/>
  <c r="W71" i="27"/>
  <c r="V71" i="27"/>
  <c r="U71" i="27"/>
  <c r="T71" i="27"/>
  <c r="S71" i="27"/>
  <c r="R71" i="27"/>
  <c r="Q71" i="27"/>
  <c r="P71" i="27"/>
  <c r="O71" i="27"/>
  <c r="N71" i="27"/>
  <c r="M71" i="27"/>
  <c r="L71" i="27"/>
  <c r="K71" i="27"/>
  <c r="J71" i="27"/>
  <c r="I71" i="27"/>
  <c r="H71" i="27"/>
  <c r="G71" i="27"/>
  <c r="F71" i="27"/>
  <c r="E71" i="27"/>
  <c r="D71" i="27"/>
  <c r="C71" i="27"/>
  <c r="B71" i="27"/>
  <c r="AA70" i="27"/>
  <c r="Z70" i="27"/>
  <c r="Y70" i="27"/>
  <c r="X70" i="27"/>
  <c r="W70" i="27"/>
  <c r="V70" i="27"/>
  <c r="U70" i="27"/>
  <c r="T70" i="27"/>
  <c r="S70" i="27"/>
  <c r="R70" i="27"/>
  <c r="Q70" i="27"/>
  <c r="P70" i="27"/>
  <c r="O70" i="27"/>
  <c r="N70" i="27"/>
  <c r="M70" i="27"/>
  <c r="L70" i="27"/>
  <c r="K70" i="27"/>
  <c r="J70" i="27"/>
  <c r="I70" i="27"/>
  <c r="H70" i="27"/>
  <c r="G70" i="27"/>
  <c r="F70" i="27"/>
  <c r="E70" i="27"/>
  <c r="D70" i="27"/>
  <c r="C70" i="27"/>
  <c r="B70" i="27"/>
  <c r="AA69" i="27"/>
  <c r="Z69" i="27"/>
  <c r="Y69" i="27"/>
  <c r="X69" i="27"/>
  <c r="W69" i="27"/>
  <c r="V69" i="27"/>
  <c r="U69" i="27"/>
  <c r="T69" i="27"/>
  <c r="S69" i="27"/>
  <c r="R69" i="27"/>
  <c r="Q69" i="27"/>
  <c r="P69" i="27"/>
  <c r="O69" i="27"/>
  <c r="N69" i="27"/>
  <c r="M69" i="27"/>
  <c r="L69" i="27"/>
  <c r="K69" i="27"/>
  <c r="J69" i="27"/>
  <c r="I69" i="27"/>
  <c r="H69" i="27"/>
  <c r="G69" i="27"/>
  <c r="F69" i="27"/>
  <c r="E69" i="27"/>
  <c r="D69" i="27"/>
  <c r="C69" i="27"/>
  <c r="B69" i="27"/>
  <c r="AA68" i="27"/>
  <c r="Z68" i="27"/>
  <c r="Y68" i="27"/>
  <c r="X68" i="27"/>
  <c r="W68" i="27"/>
  <c r="V68" i="27"/>
  <c r="U68" i="27"/>
  <c r="T68" i="27"/>
  <c r="S68" i="27"/>
  <c r="R68" i="27"/>
  <c r="Q68" i="27"/>
  <c r="P68" i="27"/>
  <c r="O68" i="27"/>
  <c r="N68" i="27"/>
  <c r="M68" i="27"/>
  <c r="L68" i="27"/>
  <c r="K68" i="27"/>
  <c r="J68" i="27"/>
  <c r="I68" i="27"/>
  <c r="H68" i="27"/>
  <c r="G68" i="27"/>
  <c r="F68" i="27"/>
  <c r="E68" i="27"/>
  <c r="D68" i="27"/>
  <c r="C68" i="27"/>
  <c r="B68" i="27"/>
  <c r="AA67" i="27"/>
  <c r="Z67" i="27"/>
  <c r="Y67" i="27"/>
  <c r="X67" i="27"/>
  <c r="W67" i="27"/>
  <c r="V67" i="27"/>
  <c r="U67" i="27"/>
  <c r="T67" i="27"/>
  <c r="S67" i="27"/>
  <c r="R67" i="27"/>
  <c r="Q67" i="27"/>
  <c r="P67" i="27"/>
  <c r="O67" i="27"/>
  <c r="N67" i="27"/>
  <c r="M67" i="27"/>
  <c r="L67" i="27"/>
  <c r="K67" i="27"/>
  <c r="J67" i="27"/>
  <c r="I67" i="27"/>
  <c r="H67" i="27"/>
  <c r="G67" i="27"/>
  <c r="F67" i="27"/>
  <c r="E67" i="27"/>
  <c r="D67" i="27"/>
  <c r="C67" i="27"/>
  <c r="B67" i="27"/>
  <c r="AA66" i="27"/>
  <c r="Z66" i="27"/>
  <c r="Y66" i="27"/>
  <c r="X66" i="27"/>
  <c r="W66" i="27"/>
  <c r="V66" i="27"/>
  <c r="U66" i="27"/>
  <c r="T66" i="27"/>
  <c r="S66" i="27"/>
  <c r="R66" i="27"/>
  <c r="Q66" i="27"/>
  <c r="P66" i="27"/>
  <c r="O66" i="27"/>
  <c r="N66" i="27"/>
  <c r="M66" i="27"/>
  <c r="L66" i="27"/>
  <c r="K66" i="27"/>
  <c r="J66" i="27"/>
  <c r="I66" i="27"/>
  <c r="H66" i="27"/>
  <c r="G66" i="27"/>
  <c r="F66" i="27"/>
  <c r="E66" i="27"/>
  <c r="D66" i="27"/>
  <c r="C66" i="27"/>
  <c r="B66" i="27"/>
  <c r="AA65" i="27"/>
  <c r="Z65" i="27"/>
  <c r="Y65" i="27"/>
  <c r="X65" i="27"/>
  <c r="W65" i="27"/>
  <c r="V65" i="27"/>
  <c r="U65" i="27"/>
  <c r="T65" i="27"/>
  <c r="S65" i="27"/>
  <c r="R65" i="27"/>
  <c r="Q65" i="27"/>
  <c r="P65" i="27"/>
  <c r="O65" i="27"/>
  <c r="N65" i="27"/>
  <c r="M65" i="27"/>
  <c r="L65" i="27"/>
  <c r="K65" i="27"/>
  <c r="J65" i="27"/>
  <c r="I65" i="27"/>
  <c r="H65" i="27"/>
  <c r="G65" i="27"/>
  <c r="F65" i="27"/>
  <c r="E65" i="27"/>
  <c r="D65" i="27"/>
  <c r="C65" i="27"/>
  <c r="B65" i="27"/>
  <c r="AA64" i="27"/>
  <c r="Z64" i="27"/>
  <c r="Y64" i="27"/>
  <c r="X64" i="27"/>
  <c r="W64" i="27"/>
  <c r="V64" i="27"/>
  <c r="U64" i="27"/>
  <c r="T64" i="27"/>
  <c r="S64" i="27"/>
  <c r="R64" i="27"/>
  <c r="Q64" i="27"/>
  <c r="P64" i="27"/>
  <c r="O64" i="27"/>
  <c r="N64" i="27"/>
  <c r="M64" i="27"/>
  <c r="L64" i="27"/>
  <c r="K64" i="27"/>
  <c r="J64" i="27"/>
  <c r="I64" i="27"/>
  <c r="H64" i="27"/>
  <c r="G64" i="27"/>
  <c r="F64" i="27"/>
  <c r="E64" i="27"/>
  <c r="D64" i="27"/>
  <c r="C64" i="27"/>
  <c r="B64" i="27"/>
  <c r="AA63" i="27"/>
  <c r="Z63" i="27"/>
  <c r="Y63" i="27"/>
  <c r="X63" i="27"/>
  <c r="W63" i="27"/>
  <c r="V63" i="27"/>
  <c r="U63" i="27"/>
  <c r="T63" i="27"/>
  <c r="S63" i="27"/>
  <c r="R63" i="27"/>
  <c r="Q63" i="27"/>
  <c r="P63" i="27"/>
  <c r="O63" i="27"/>
  <c r="N63" i="27"/>
  <c r="M63" i="27"/>
  <c r="L63" i="27"/>
  <c r="K63" i="27"/>
  <c r="J63" i="27"/>
  <c r="I63" i="27"/>
  <c r="H63" i="27"/>
  <c r="G63" i="27"/>
  <c r="F63" i="27"/>
  <c r="E63" i="27"/>
  <c r="D63" i="27"/>
  <c r="C63" i="27"/>
  <c r="B63" i="27"/>
  <c r="AA62" i="27"/>
  <c r="Z62" i="27"/>
  <c r="Y62" i="27"/>
  <c r="X62" i="27"/>
  <c r="W62" i="27"/>
  <c r="V62" i="27"/>
  <c r="U62" i="27"/>
  <c r="T62" i="27"/>
  <c r="S62" i="27"/>
  <c r="R62" i="27"/>
  <c r="Q62" i="27"/>
  <c r="P62" i="27"/>
  <c r="O62" i="27"/>
  <c r="N62" i="27"/>
  <c r="M62" i="27"/>
  <c r="L62" i="27"/>
  <c r="K62" i="27"/>
  <c r="J62" i="27"/>
  <c r="I62" i="27"/>
  <c r="H62" i="27"/>
  <c r="G62" i="27"/>
  <c r="F62" i="27"/>
  <c r="E62" i="27"/>
  <c r="D62" i="27"/>
  <c r="C62" i="27"/>
  <c r="B62" i="27"/>
  <c r="AA61" i="27"/>
  <c r="Z61" i="27"/>
  <c r="Y61" i="27"/>
  <c r="X61" i="27"/>
  <c r="W61" i="27"/>
  <c r="V61" i="27"/>
  <c r="U61" i="27"/>
  <c r="T61" i="27"/>
  <c r="S61" i="27"/>
  <c r="R61" i="27"/>
  <c r="Q61" i="27"/>
  <c r="P61" i="27"/>
  <c r="O61" i="27"/>
  <c r="N61" i="27"/>
  <c r="M61" i="27"/>
  <c r="L61" i="27"/>
  <c r="K61" i="27"/>
  <c r="J61" i="27"/>
  <c r="I61" i="27"/>
  <c r="H61" i="27"/>
  <c r="G61" i="27"/>
  <c r="F61" i="27"/>
  <c r="E61" i="27"/>
  <c r="D61" i="27"/>
  <c r="C61" i="27"/>
  <c r="B61" i="27"/>
  <c r="AA60" i="27"/>
  <c r="Z60" i="27"/>
  <c r="Y60" i="27"/>
  <c r="X60" i="27"/>
  <c r="W60" i="27"/>
  <c r="V60" i="27"/>
  <c r="U60" i="27"/>
  <c r="T60" i="27"/>
  <c r="S60" i="27"/>
  <c r="R60" i="27"/>
  <c r="Q60" i="27"/>
  <c r="P60" i="27"/>
  <c r="O60" i="27"/>
  <c r="N60" i="27"/>
  <c r="M60" i="27"/>
  <c r="L60" i="27"/>
  <c r="K60" i="27"/>
  <c r="J60" i="27"/>
  <c r="I60" i="27"/>
  <c r="H60" i="27"/>
  <c r="G60" i="27"/>
  <c r="F60" i="27"/>
  <c r="E60" i="27"/>
  <c r="D60" i="27"/>
  <c r="C60" i="27"/>
  <c r="B60" i="27"/>
  <c r="AA59" i="27"/>
  <c r="Z59" i="27"/>
  <c r="Y59" i="27"/>
  <c r="X59" i="27"/>
  <c r="W59" i="27"/>
  <c r="V59" i="27"/>
  <c r="U59" i="27"/>
  <c r="T59" i="27"/>
  <c r="S59" i="27"/>
  <c r="R59" i="27"/>
  <c r="Q59" i="27"/>
  <c r="P59" i="27"/>
  <c r="O59" i="27"/>
  <c r="N59" i="27"/>
  <c r="M59" i="27"/>
  <c r="L59" i="27"/>
  <c r="K59" i="27"/>
  <c r="J59" i="27"/>
  <c r="I59" i="27"/>
  <c r="H59" i="27"/>
  <c r="G59" i="27"/>
  <c r="F59" i="27"/>
  <c r="E59" i="27"/>
  <c r="D59" i="27"/>
  <c r="C59" i="27"/>
  <c r="B59" i="27"/>
  <c r="AA58" i="27"/>
  <c r="Z58" i="27"/>
  <c r="Y58" i="27"/>
  <c r="X58" i="27"/>
  <c r="W58" i="27"/>
  <c r="V58" i="27"/>
  <c r="U58" i="27"/>
  <c r="T58" i="27"/>
  <c r="S58" i="27"/>
  <c r="R58" i="27"/>
  <c r="Q58" i="27"/>
  <c r="P58" i="27"/>
  <c r="O58" i="27"/>
  <c r="N58" i="27"/>
  <c r="M58" i="27"/>
  <c r="L58" i="27"/>
  <c r="K58" i="27"/>
  <c r="J58" i="27"/>
  <c r="I58" i="27"/>
  <c r="H58" i="27"/>
  <c r="G58" i="27"/>
  <c r="F58" i="27"/>
  <c r="E58" i="27"/>
  <c r="D58" i="27"/>
  <c r="C58" i="27"/>
  <c r="B58" i="27"/>
  <c r="AA57" i="27"/>
  <c r="Z57" i="27"/>
  <c r="Y57" i="27"/>
  <c r="X57" i="27"/>
  <c r="W57" i="27"/>
  <c r="V57" i="27"/>
  <c r="U57" i="27"/>
  <c r="T57" i="27"/>
  <c r="S57" i="27"/>
  <c r="R57" i="27"/>
  <c r="Q57" i="27"/>
  <c r="P57" i="27"/>
  <c r="O57" i="27"/>
  <c r="N57" i="27"/>
  <c r="M57" i="27"/>
  <c r="L57" i="27"/>
  <c r="K57" i="27"/>
  <c r="J57" i="27"/>
  <c r="I57" i="27"/>
  <c r="H57" i="27"/>
  <c r="G57" i="27"/>
  <c r="F57" i="27"/>
  <c r="E57" i="27"/>
  <c r="D57" i="27"/>
  <c r="C57" i="27"/>
  <c r="B57" i="27"/>
  <c r="AA56" i="27"/>
  <c r="Z56" i="27"/>
  <c r="Y56" i="27"/>
  <c r="X56" i="27"/>
  <c r="W56" i="27"/>
  <c r="V56" i="27"/>
  <c r="U56" i="27"/>
  <c r="T56" i="27"/>
  <c r="S56" i="27"/>
  <c r="R56" i="27"/>
  <c r="Q56" i="27"/>
  <c r="P56" i="27"/>
  <c r="O56" i="27"/>
  <c r="N56" i="27"/>
  <c r="M56" i="27"/>
  <c r="L56" i="27"/>
  <c r="K56" i="27"/>
  <c r="J56" i="27"/>
  <c r="I56" i="27"/>
  <c r="H56" i="27"/>
  <c r="G56" i="27"/>
  <c r="F56" i="27"/>
  <c r="E56" i="27"/>
  <c r="D56" i="27"/>
  <c r="C56" i="27"/>
  <c r="B56" i="27"/>
  <c r="AA55" i="27"/>
  <c r="Z55" i="27"/>
  <c r="Y55" i="27"/>
  <c r="X55" i="27"/>
  <c r="W55" i="27"/>
  <c r="V55" i="27"/>
  <c r="U55" i="27"/>
  <c r="T55" i="27"/>
  <c r="S55" i="27"/>
  <c r="R55" i="27"/>
  <c r="Q55" i="27"/>
  <c r="P55" i="27"/>
  <c r="O55" i="27"/>
  <c r="N55" i="27"/>
  <c r="M55" i="27"/>
  <c r="L55" i="27"/>
  <c r="K55" i="27"/>
  <c r="J55" i="27"/>
  <c r="I55" i="27"/>
  <c r="H55" i="27"/>
  <c r="G55" i="27"/>
  <c r="F55" i="27"/>
  <c r="E55" i="27"/>
  <c r="D55" i="27"/>
  <c r="C55" i="27"/>
  <c r="B55" i="27"/>
  <c r="AA54" i="27"/>
  <c r="Z54" i="27"/>
  <c r="Y54" i="27"/>
  <c r="X54" i="27"/>
  <c r="W54" i="27"/>
  <c r="V54" i="27"/>
  <c r="U54" i="27"/>
  <c r="T54" i="27"/>
  <c r="S54" i="27"/>
  <c r="R54" i="27"/>
  <c r="Q54" i="27"/>
  <c r="P54" i="27"/>
  <c r="O54" i="27"/>
  <c r="N54" i="27"/>
  <c r="M54" i="27"/>
  <c r="L54" i="27"/>
  <c r="K54" i="27"/>
  <c r="J54" i="27"/>
  <c r="I54" i="27"/>
  <c r="H54" i="27"/>
  <c r="G54" i="27"/>
  <c r="F54" i="27"/>
  <c r="E54" i="27"/>
  <c r="D54" i="27"/>
  <c r="C54" i="27"/>
  <c r="B54" i="27"/>
  <c r="AA53" i="27"/>
  <c r="Z53" i="27"/>
  <c r="Y53" i="27"/>
  <c r="X53" i="27"/>
  <c r="W53" i="27"/>
  <c r="V53" i="27"/>
  <c r="U53" i="27"/>
  <c r="T53" i="27"/>
  <c r="S53" i="27"/>
  <c r="R53" i="27"/>
  <c r="Q53" i="27"/>
  <c r="P53" i="27"/>
  <c r="O53" i="27"/>
  <c r="N53" i="27"/>
  <c r="M53" i="27"/>
  <c r="L53" i="27"/>
  <c r="K53" i="27"/>
  <c r="J53" i="27"/>
  <c r="I53" i="27"/>
  <c r="H53" i="27"/>
  <c r="G53" i="27"/>
  <c r="F53" i="27"/>
  <c r="E53" i="27"/>
  <c r="D53" i="27"/>
  <c r="C53" i="27"/>
  <c r="B53" i="27"/>
  <c r="AA52" i="27"/>
  <c r="Z52" i="27"/>
  <c r="Y52" i="27"/>
  <c r="X52" i="27"/>
  <c r="W52" i="27"/>
  <c r="V52" i="27"/>
  <c r="U52" i="27"/>
  <c r="T52" i="27"/>
  <c r="D8" i="27" s="1"/>
  <c r="S52" i="27"/>
  <c r="R52" i="27"/>
  <c r="Q52" i="27"/>
  <c r="P52" i="27"/>
  <c r="O52" i="27"/>
  <c r="N52" i="27"/>
  <c r="M52" i="27"/>
  <c r="L52" i="27"/>
  <c r="K52" i="27"/>
  <c r="J52" i="27"/>
  <c r="I52" i="27"/>
  <c r="H52" i="27"/>
  <c r="G52" i="27"/>
  <c r="F52" i="27"/>
  <c r="E52" i="27"/>
  <c r="D52" i="27"/>
  <c r="C52" i="27"/>
  <c r="B52" i="27"/>
  <c r="AA51" i="27"/>
  <c r="Z51" i="27"/>
  <c r="Y51" i="27"/>
  <c r="X51" i="27"/>
  <c r="W51" i="27"/>
  <c r="V51" i="27"/>
  <c r="U51" i="27"/>
  <c r="T51" i="27"/>
  <c r="S51" i="27"/>
  <c r="R51" i="27"/>
  <c r="Q51" i="27"/>
  <c r="P51" i="27"/>
  <c r="O51" i="27"/>
  <c r="N51" i="27"/>
  <c r="M51" i="27"/>
  <c r="L51" i="27"/>
  <c r="K51" i="27"/>
  <c r="J51" i="27"/>
  <c r="I51" i="27"/>
  <c r="H51" i="27"/>
  <c r="G51" i="27"/>
  <c r="F51" i="27"/>
  <c r="E51" i="27"/>
  <c r="D51" i="27"/>
  <c r="C51" i="27"/>
  <c r="B51" i="27"/>
  <c r="L38" i="27"/>
  <c r="I38" i="27"/>
  <c r="E38" i="27"/>
  <c r="D38" i="27"/>
  <c r="C38" i="27"/>
  <c r="B38" i="27"/>
  <c r="G38" i="27" s="1"/>
  <c r="E37" i="27"/>
  <c r="D37" i="27"/>
  <c r="C37" i="27"/>
  <c r="B37" i="27"/>
  <c r="L37" i="27" s="1"/>
  <c r="E36" i="27"/>
  <c r="D36" i="27"/>
  <c r="C36" i="27"/>
  <c r="B36" i="27"/>
  <c r="L36" i="27" s="1"/>
  <c r="L35" i="27"/>
  <c r="G35" i="27"/>
  <c r="E35" i="27"/>
  <c r="D35" i="27"/>
  <c r="C35" i="27"/>
  <c r="I35" i="27" s="1"/>
  <c r="B35" i="27"/>
  <c r="E34" i="27"/>
  <c r="D34" i="27"/>
  <c r="C34" i="27"/>
  <c r="I34" i="27" s="1"/>
  <c r="B34" i="27"/>
  <c r="L34" i="27" s="1"/>
  <c r="E33" i="27"/>
  <c r="D33" i="27"/>
  <c r="I33" i="27" s="1"/>
  <c r="C33" i="27"/>
  <c r="B33" i="27"/>
  <c r="L33" i="27" s="1"/>
  <c r="E32" i="27"/>
  <c r="D32" i="27"/>
  <c r="C32" i="27"/>
  <c r="B32" i="27"/>
  <c r="G32" i="27" s="1"/>
  <c r="E31" i="27"/>
  <c r="D31" i="27"/>
  <c r="C31" i="27"/>
  <c r="I31" i="27" s="1"/>
  <c r="B31" i="27"/>
  <c r="L31" i="27" s="1"/>
  <c r="L30" i="27"/>
  <c r="I30" i="27"/>
  <c r="E30" i="27"/>
  <c r="D30" i="27"/>
  <c r="C30" i="27"/>
  <c r="B30" i="27"/>
  <c r="G30" i="27" s="1"/>
  <c r="E29" i="27"/>
  <c r="D29" i="27"/>
  <c r="C29" i="27"/>
  <c r="B29" i="27"/>
  <c r="L29" i="27" s="1"/>
  <c r="E28" i="27"/>
  <c r="D28" i="27"/>
  <c r="C28" i="27"/>
  <c r="B28" i="27"/>
  <c r="L28" i="27" s="1"/>
  <c r="L27" i="27"/>
  <c r="G27" i="27"/>
  <c r="E27" i="27"/>
  <c r="D27" i="27"/>
  <c r="I27" i="27" s="1"/>
  <c r="C27" i="27"/>
  <c r="B27" i="27"/>
  <c r="E26" i="27"/>
  <c r="D26" i="27"/>
  <c r="C26" i="27"/>
  <c r="G26" i="27" s="1"/>
  <c r="B26" i="27"/>
  <c r="L26" i="27" s="1"/>
  <c r="E25" i="27"/>
  <c r="D25" i="27"/>
  <c r="I25" i="27" s="1"/>
  <c r="C25" i="27"/>
  <c r="B25" i="27"/>
  <c r="L25" i="27" s="1"/>
  <c r="E24" i="27"/>
  <c r="D24" i="27"/>
  <c r="C24" i="27"/>
  <c r="B24" i="27"/>
  <c r="G24" i="27" s="1"/>
  <c r="E23" i="27"/>
  <c r="D23" i="27"/>
  <c r="C23" i="27"/>
  <c r="I23" i="27" s="1"/>
  <c r="B23" i="27"/>
  <c r="L23" i="27" s="1"/>
  <c r="L22" i="27"/>
  <c r="I22" i="27"/>
  <c r="E22" i="27"/>
  <c r="D22" i="27"/>
  <c r="C22" i="27"/>
  <c r="B22" i="27"/>
  <c r="G22" i="27" s="1"/>
  <c r="E21" i="27"/>
  <c r="D21" i="27"/>
  <c r="C21" i="27"/>
  <c r="B21" i="27"/>
  <c r="L21" i="27" s="1"/>
  <c r="E20" i="27"/>
  <c r="D20" i="27"/>
  <c r="C20" i="27"/>
  <c r="B20" i="27"/>
  <c r="L20" i="27" s="1"/>
  <c r="L19" i="27"/>
  <c r="G19" i="27"/>
  <c r="E19" i="27"/>
  <c r="D19" i="27"/>
  <c r="I19" i="27" s="1"/>
  <c r="C19" i="27"/>
  <c r="B19" i="27"/>
  <c r="E18" i="27"/>
  <c r="D18" i="27"/>
  <c r="C18" i="27"/>
  <c r="G18" i="27" s="1"/>
  <c r="B18" i="27"/>
  <c r="L18" i="27" s="1"/>
  <c r="E17" i="27"/>
  <c r="D17" i="27"/>
  <c r="I17" i="27" s="1"/>
  <c r="C17" i="27"/>
  <c r="B17" i="27"/>
  <c r="L17" i="27" s="1"/>
  <c r="E16" i="27"/>
  <c r="D16" i="27"/>
  <c r="C16" i="27"/>
  <c r="B16" i="27"/>
  <c r="G16" i="27" s="1"/>
  <c r="E15" i="27"/>
  <c r="D15" i="27"/>
  <c r="C15" i="27"/>
  <c r="I15" i="27" s="1"/>
  <c r="B15" i="27"/>
  <c r="L15" i="27" s="1"/>
  <c r="L14" i="27"/>
  <c r="I14" i="27"/>
  <c r="E14" i="27"/>
  <c r="D14" i="27"/>
  <c r="C14" i="27"/>
  <c r="B14" i="27"/>
  <c r="G14" i="27" s="1"/>
  <c r="E13" i="27"/>
  <c r="D13" i="27"/>
  <c r="C13" i="27"/>
  <c r="B13" i="27"/>
  <c r="L13" i="27" s="1"/>
  <c r="E12" i="27"/>
  <c r="D12" i="27"/>
  <c r="C12" i="27"/>
  <c r="B12" i="27"/>
  <c r="L12" i="27" s="1"/>
  <c r="L11" i="27"/>
  <c r="G11" i="27"/>
  <c r="E11" i="27"/>
  <c r="D11" i="27"/>
  <c r="I11" i="27" s="1"/>
  <c r="C11" i="27"/>
  <c r="B11" i="27"/>
  <c r="E10" i="27"/>
  <c r="D10" i="27"/>
  <c r="C10" i="27"/>
  <c r="G10" i="27" s="1"/>
  <c r="B10" i="27"/>
  <c r="L10" i="27" s="1"/>
  <c r="E9" i="27"/>
  <c r="D9" i="27"/>
  <c r="I9" i="27" s="1"/>
  <c r="C9" i="27"/>
  <c r="B9" i="27"/>
  <c r="L9" i="27" s="1"/>
  <c r="F8" i="27"/>
  <c r="E8" i="27"/>
  <c r="C8" i="27"/>
  <c r="B8" i="27"/>
  <c r="G8" i="27" s="1"/>
  <c r="B6" i="27"/>
  <c r="B4" i="27"/>
  <c r="Z82" i="26"/>
  <c r="Y82" i="26"/>
  <c r="X82" i="26"/>
  <c r="W82" i="26"/>
  <c r="V82" i="26"/>
  <c r="U82" i="26"/>
  <c r="T82" i="26"/>
  <c r="S82" i="26"/>
  <c r="R82" i="26"/>
  <c r="Q82" i="26"/>
  <c r="P82" i="26"/>
  <c r="O82" i="26"/>
  <c r="E38" i="26" s="1"/>
  <c r="N82" i="26"/>
  <c r="M82" i="26"/>
  <c r="L82" i="26"/>
  <c r="K82" i="26"/>
  <c r="J82" i="26"/>
  <c r="I82" i="26"/>
  <c r="H82" i="26"/>
  <c r="G82" i="26"/>
  <c r="F82" i="26"/>
  <c r="E82" i="26"/>
  <c r="D82" i="26"/>
  <c r="C82" i="26"/>
  <c r="B82" i="26"/>
  <c r="A82" i="26"/>
  <c r="Z81" i="26"/>
  <c r="Y81" i="26"/>
  <c r="X81" i="26"/>
  <c r="W81" i="26"/>
  <c r="V81" i="26"/>
  <c r="U81" i="26"/>
  <c r="T81" i="26"/>
  <c r="S81" i="26"/>
  <c r="R81" i="26"/>
  <c r="Q81" i="26"/>
  <c r="P81" i="26"/>
  <c r="O81" i="26"/>
  <c r="N81" i="26"/>
  <c r="M81" i="26"/>
  <c r="L81" i="26"/>
  <c r="K81" i="26"/>
  <c r="J81" i="26"/>
  <c r="I81" i="26"/>
  <c r="H81" i="26"/>
  <c r="G81" i="26"/>
  <c r="F81" i="26"/>
  <c r="E81" i="26"/>
  <c r="D81" i="26"/>
  <c r="C81" i="26"/>
  <c r="B81" i="26"/>
  <c r="A81" i="26"/>
  <c r="Z80" i="26"/>
  <c r="Y80" i="26"/>
  <c r="X80" i="26"/>
  <c r="W80" i="26"/>
  <c r="V80" i="26"/>
  <c r="U80" i="26"/>
  <c r="T80" i="26"/>
  <c r="S80" i="26"/>
  <c r="R80" i="26"/>
  <c r="Q80" i="26"/>
  <c r="P80" i="26"/>
  <c r="O80" i="26"/>
  <c r="N80" i="26"/>
  <c r="M80" i="26"/>
  <c r="L80" i="26"/>
  <c r="K80" i="26"/>
  <c r="J80" i="26"/>
  <c r="I80" i="26"/>
  <c r="H80" i="26"/>
  <c r="G80" i="26"/>
  <c r="F80" i="26"/>
  <c r="E80" i="26"/>
  <c r="D80" i="26"/>
  <c r="C80" i="26"/>
  <c r="B80" i="26"/>
  <c r="A80" i="26"/>
  <c r="Z79" i="26"/>
  <c r="Y79" i="26"/>
  <c r="X79" i="26"/>
  <c r="W79" i="26"/>
  <c r="V79" i="26"/>
  <c r="U79" i="26"/>
  <c r="T79" i="26"/>
  <c r="S79" i="26"/>
  <c r="R79" i="26"/>
  <c r="Q79" i="26"/>
  <c r="P79" i="26"/>
  <c r="O79" i="26"/>
  <c r="E35" i="26" s="1"/>
  <c r="N79" i="26"/>
  <c r="M79" i="26"/>
  <c r="C35" i="26" s="1"/>
  <c r="L79" i="26"/>
  <c r="K79" i="26"/>
  <c r="J79" i="26"/>
  <c r="I79" i="26"/>
  <c r="H79" i="26"/>
  <c r="G79" i="26"/>
  <c r="F79" i="26"/>
  <c r="E79" i="26"/>
  <c r="D79" i="26"/>
  <c r="C79" i="26"/>
  <c r="B79" i="26"/>
  <c r="A79" i="26"/>
  <c r="Z78" i="26"/>
  <c r="Y78" i="26"/>
  <c r="X78" i="26"/>
  <c r="W78" i="26"/>
  <c r="V78" i="26"/>
  <c r="U78" i="26"/>
  <c r="T78" i="26"/>
  <c r="S78" i="26"/>
  <c r="R78" i="26"/>
  <c r="Q78" i="26"/>
  <c r="P78" i="26"/>
  <c r="O78" i="26"/>
  <c r="N78" i="26"/>
  <c r="M78" i="26"/>
  <c r="L78" i="26"/>
  <c r="K78" i="26"/>
  <c r="J78" i="26"/>
  <c r="I78" i="26"/>
  <c r="H78" i="26"/>
  <c r="G78" i="26"/>
  <c r="F78" i="26"/>
  <c r="E78" i="26"/>
  <c r="D78" i="26"/>
  <c r="C78" i="26"/>
  <c r="B78" i="26"/>
  <c r="A78" i="26"/>
  <c r="Z77" i="26"/>
  <c r="Y77" i="26"/>
  <c r="X77" i="26"/>
  <c r="W77" i="26"/>
  <c r="V77" i="26"/>
  <c r="U77" i="26"/>
  <c r="T77" i="26"/>
  <c r="S77" i="26"/>
  <c r="R77" i="26"/>
  <c r="Q77" i="26"/>
  <c r="P77" i="26"/>
  <c r="O77" i="26"/>
  <c r="N77" i="26"/>
  <c r="M77" i="26"/>
  <c r="L77" i="26"/>
  <c r="K77" i="26"/>
  <c r="J77" i="26"/>
  <c r="I77" i="26"/>
  <c r="H77" i="26"/>
  <c r="G77" i="26"/>
  <c r="F77" i="26"/>
  <c r="E77" i="26"/>
  <c r="D77" i="26"/>
  <c r="C77" i="26"/>
  <c r="B77" i="26"/>
  <c r="A77" i="26"/>
  <c r="Z76" i="26"/>
  <c r="Y76" i="26"/>
  <c r="X76" i="26"/>
  <c r="W76" i="26"/>
  <c r="V76" i="26"/>
  <c r="U76" i="26"/>
  <c r="T76" i="26"/>
  <c r="S76" i="26"/>
  <c r="R76" i="26"/>
  <c r="Q76" i="26"/>
  <c r="P76" i="26"/>
  <c r="O76" i="26"/>
  <c r="N76" i="26"/>
  <c r="M76" i="26"/>
  <c r="L76" i="26"/>
  <c r="K76" i="26"/>
  <c r="J76" i="26"/>
  <c r="I76" i="26"/>
  <c r="H76" i="26"/>
  <c r="G76" i="26"/>
  <c r="F76" i="26"/>
  <c r="E76" i="26"/>
  <c r="D76" i="26"/>
  <c r="C76" i="26"/>
  <c r="B76" i="26"/>
  <c r="A76" i="26"/>
  <c r="Z75" i="26"/>
  <c r="Y75" i="26"/>
  <c r="X75" i="26"/>
  <c r="W75" i="26"/>
  <c r="V75" i="26"/>
  <c r="U75" i="26"/>
  <c r="T75" i="26"/>
  <c r="S75" i="26"/>
  <c r="R75" i="26"/>
  <c r="Q75" i="26"/>
  <c r="P75" i="26"/>
  <c r="O75" i="26"/>
  <c r="N75" i="26"/>
  <c r="M75" i="26"/>
  <c r="L75" i="26"/>
  <c r="K75" i="26"/>
  <c r="J75" i="26"/>
  <c r="I75" i="26"/>
  <c r="H75" i="26"/>
  <c r="G75" i="26"/>
  <c r="F75" i="26"/>
  <c r="E75" i="26"/>
  <c r="D75" i="26"/>
  <c r="C75" i="26"/>
  <c r="B75" i="26"/>
  <c r="A75" i="26"/>
  <c r="Z74" i="26"/>
  <c r="Y74" i="26"/>
  <c r="X74" i="26"/>
  <c r="W74" i="26"/>
  <c r="V74" i="26"/>
  <c r="U74" i="26"/>
  <c r="T74" i="26"/>
  <c r="S74" i="26"/>
  <c r="R74" i="26"/>
  <c r="Q74" i="26"/>
  <c r="P74" i="26"/>
  <c r="O74" i="26"/>
  <c r="E30" i="26" s="1"/>
  <c r="N74" i="26"/>
  <c r="M74" i="26"/>
  <c r="L74" i="26"/>
  <c r="K74" i="26"/>
  <c r="J74" i="26"/>
  <c r="I74" i="26"/>
  <c r="H74" i="26"/>
  <c r="G74" i="26"/>
  <c r="F74" i="26"/>
  <c r="E74" i="26"/>
  <c r="D74" i="26"/>
  <c r="C74" i="26"/>
  <c r="B74" i="26"/>
  <c r="A74" i="26"/>
  <c r="Z73" i="26"/>
  <c r="Y73" i="26"/>
  <c r="X73" i="26"/>
  <c r="W73" i="26"/>
  <c r="V73" i="26"/>
  <c r="U73" i="26"/>
  <c r="T73" i="26"/>
  <c r="S73" i="26"/>
  <c r="R73" i="26"/>
  <c r="Q73" i="26"/>
  <c r="P73" i="26"/>
  <c r="O73" i="26"/>
  <c r="N73" i="26"/>
  <c r="M73" i="26"/>
  <c r="L73" i="26"/>
  <c r="K73" i="26"/>
  <c r="J73" i="26"/>
  <c r="I73" i="26"/>
  <c r="H73" i="26"/>
  <c r="G73" i="26"/>
  <c r="F73" i="26"/>
  <c r="E73" i="26"/>
  <c r="D73" i="26"/>
  <c r="C73" i="26"/>
  <c r="B73" i="26"/>
  <c r="A73" i="26"/>
  <c r="Z72" i="26"/>
  <c r="Y72" i="26"/>
  <c r="X72" i="26"/>
  <c r="W72" i="26"/>
  <c r="V72" i="26"/>
  <c r="U72" i="26"/>
  <c r="T72" i="26"/>
  <c r="S72" i="26"/>
  <c r="R72" i="26"/>
  <c r="Q72" i="26"/>
  <c r="P72" i="26"/>
  <c r="O72" i="26"/>
  <c r="N72" i="26"/>
  <c r="M72" i="26"/>
  <c r="L72" i="26"/>
  <c r="K72" i="26"/>
  <c r="J72" i="26"/>
  <c r="I72" i="26"/>
  <c r="H72" i="26"/>
  <c r="G72" i="26"/>
  <c r="F72" i="26"/>
  <c r="E72" i="26"/>
  <c r="D72" i="26"/>
  <c r="C72" i="26"/>
  <c r="B72" i="26"/>
  <c r="A72" i="26"/>
  <c r="Z71" i="26"/>
  <c r="Y71" i="26"/>
  <c r="X71" i="26"/>
  <c r="W71" i="26"/>
  <c r="V71" i="26"/>
  <c r="U71" i="26"/>
  <c r="T71" i="26"/>
  <c r="S71" i="26"/>
  <c r="R71" i="26"/>
  <c r="Q71" i="26"/>
  <c r="P71" i="26"/>
  <c r="O71" i="26"/>
  <c r="E27" i="26" s="1"/>
  <c r="N71" i="26"/>
  <c r="M71" i="26"/>
  <c r="C27" i="26" s="1"/>
  <c r="L71" i="26"/>
  <c r="K71" i="26"/>
  <c r="J71" i="26"/>
  <c r="I71" i="26"/>
  <c r="H71" i="26"/>
  <c r="G71" i="26"/>
  <c r="F71" i="26"/>
  <c r="E71" i="26"/>
  <c r="D71" i="26"/>
  <c r="C71" i="26"/>
  <c r="B71" i="26"/>
  <c r="A71" i="26"/>
  <c r="Z70" i="26"/>
  <c r="Y70" i="26"/>
  <c r="X70" i="26"/>
  <c r="W70" i="26"/>
  <c r="V70" i="26"/>
  <c r="U70" i="26"/>
  <c r="T70" i="26"/>
  <c r="S70" i="26"/>
  <c r="R70" i="26"/>
  <c r="Q70" i="26"/>
  <c r="P70" i="26"/>
  <c r="O70" i="26"/>
  <c r="N70" i="26"/>
  <c r="M70" i="26"/>
  <c r="L70" i="26"/>
  <c r="K70" i="26"/>
  <c r="J70" i="26"/>
  <c r="I70" i="26"/>
  <c r="H70" i="26"/>
  <c r="G70" i="26"/>
  <c r="F70" i="26"/>
  <c r="E70" i="26"/>
  <c r="D70" i="26"/>
  <c r="C70" i="26"/>
  <c r="B70" i="26"/>
  <c r="A70" i="26"/>
  <c r="Z69" i="26"/>
  <c r="Y69" i="26"/>
  <c r="X69" i="26"/>
  <c r="W69" i="26"/>
  <c r="V69" i="26"/>
  <c r="U69" i="26"/>
  <c r="T69" i="26"/>
  <c r="S69" i="26"/>
  <c r="R69" i="26"/>
  <c r="Q69" i="26"/>
  <c r="P69" i="26"/>
  <c r="O69" i="26"/>
  <c r="N69" i="26"/>
  <c r="D25" i="26" s="1"/>
  <c r="M69" i="26"/>
  <c r="L69" i="26"/>
  <c r="K69" i="26"/>
  <c r="J69" i="26"/>
  <c r="I69" i="26"/>
  <c r="H69" i="26"/>
  <c r="G69" i="26"/>
  <c r="F69" i="26"/>
  <c r="E69" i="26"/>
  <c r="D69" i="26"/>
  <c r="C69" i="26"/>
  <c r="B69" i="26"/>
  <c r="A69" i="26"/>
  <c r="Z68" i="26"/>
  <c r="Y68" i="26"/>
  <c r="X68" i="26"/>
  <c r="W68" i="26"/>
  <c r="V68" i="26"/>
  <c r="U68" i="26"/>
  <c r="T68" i="26"/>
  <c r="S68" i="26"/>
  <c r="R68" i="26"/>
  <c r="Q68" i="26"/>
  <c r="P68" i="26"/>
  <c r="O68" i="26"/>
  <c r="N68" i="26"/>
  <c r="M68" i="26"/>
  <c r="C24" i="26" s="1"/>
  <c r="I24" i="26" s="1"/>
  <c r="L68" i="26"/>
  <c r="K68" i="26"/>
  <c r="J68" i="26"/>
  <c r="I68" i="26"/>
  <c r="H68" i="26"/>
  <c r="G68" i="26"/>
  <c r="F68" i="26"/>
  <c r="E68" i="26"/>
  <c r="D68" i="26"/>
  <c r="C68" i="26"/>
  <c r="B68" i="26"/>
  <c r="A68" i="26"/>
  <c r="Z67" i="26"/>
  <c r="Y67" i="26"/>
  <c r="X67" i="26"/>
  <c r="W67" i="26"/>
  <c r="V67" i="26"/>
  <c r="U67" i="26"/>
  <c r="T67" i="26"/>
  <c r="S67" i="26"/>
  <c r="R67" i="26"/>
  <c r="Q67" i="26"/>
  <c r="P67" i="26"/>
  <c r="O67" i="26"/>
  <c r="N67" i="26"/>
  <c r="M67" i="26"/>
  <c r="L67" i="26"/>
  <c r="K67" i="26"/>
  <c r="J67" i="26"/>
  <c r="I67" i="26"/>
  <c r="H67" i="26"/>
  <c r="G67" i="26"/>
  <c r="F67" i="26"/>
  <c r="E67" i="26"/>
  <c r="D67" i="26"/>
  <c r="C67" i="26"/>
  <c r="B67" i="26"/>
  <c r="A67" i="26"/>
  <c r="Z66" i="26"/>
  <c r="Y66" i="26"/>
  <c r="X66" i="26"/>
  <c r="W66" i="26"/>
  <c r="V66" i="26"/>
  <c r="U66" i="26"/>
  <c r="T66" i="26"/>
  <c r="S66" i="26"/>
  <c r="R66" i="26"/>
  <c r="Q66" i="26"/>
  <c r="P66" i="26"/>
  <c r="O66" i="26"/>
  <c r="E22" i="26" s="1"/>
  <c r="N66" i="26"/>
  <c r="M66" i="26"/>
  <c r="L66" i="26"/>
  <c r="B22" i="26" s="1"/>
  <c r="K66" i="26"/>
  <c r="J66" i="26"/>
  <c r="I66" i="26"/>
  <c r="H66" i="26"/>
  <c r="G66" i="26"/>
  <c r="F66" i="26"/>
  <c r="E66" i="26"/>
  <c r="D66" i="26"/>
  <c r="C66" i="26"/>
  <c r="B66" i="26"/>
  <c r="A66" i="26"/>
  <c r="Z65" i="26"/>
  <c r="Y65" i="26"/>
  <c r="X65" i="26"/>
  <c r="W65" i="26"/>
  <c r="V65" i="26"/>
  <c r="U65" i="26"/>
  <c r="T65" i="26"/>
  <c r="S65" i="26"/>
  <c r="R65" i="26"/>
  <c r="Q65" i="26"/>
  <c r="P65" i="26"/>
  <c r="O65" i="26"/>
  <c r="N65" i="26"/>
  <c r="M65" i="26"/>
  <c r="L65" i="26"/>
  <c r="K65" i="26"/>
  <c r="J65" i="26"/>
  <c r="I65" i="26"/>
  <c r="H65" i="26"/>
  <c r="G65" i="26"/>
  <c r="F65" i="26"/>
  <c r="E65" i="26"/>
  <c r="D65" i="26"/>
  <c r="C65" i="26"/>
  <c r="B65" i="26"/>
  <c r="A65" i="26"/>
  <c r="Z64" i="26"/>
  <c r="Y64" i="26"/>
  <c r="X64" i="26"/>
  <c r="W64" i="26"/>
  <c r="V64" i="26"/>
  <c r="U64" i="26"/>
  <c r="T64" i="26"/>
  <c r="S64" i="26"/>
  <c r="R64" i="26"/>
  <c r="Q64" i="26"/>
  <c r="P64" i="26"/>
  <c r="F20" i="26" s="1"/>
  <c r="O64" i="26"/>
  <c r="N64" i="26"/>
  <c r="M64" i="26"/>
  <c r="L64" i="26"/>
  <c r="K64" i="26"/>
  <c r="J64" i="26"/>
  <c r="I64" i="26"/>
  <c r="H64" i="26"/>
  <c r="G64" i="26"/>
  <c r="F64" i="26"/>
  <c r="E64" i="26"/>
  <c r="D64" i="26"/>
  <c r="C64" i="26"/>
  <c r="B64" i="26"/>
  <c r="A64" i="26"/>
  <c r="Z63" i="26"/>
  <c r="Y63" i="26"/>
  <c r="X63" i="26"/>
  <c r="W63" i="26"/>
  <c r="V63" i="26"/>
  <c r="U63" i="26"/>
  <c r="T63" i="26"/>
  <c r="S63" i="26"/>
  <c r="R63" i="26"/>
  <c r="Q63" i="26"/>
  <c r="P63" i="26"/>
  <c r="O63" i="26"/>
  <c r="E19" i="26" s="1"/>
  <c r="N63" i="26"/>
  <c r="M63" i="26"/>
  <c r="C19" i="26" s="1"/>
  <c r="L63" i="26"/>
  <c r="K63" i="26"/>
  <c r="J63" i="26"/>
  <c r="I63" i="26"/>
  <c r="H63" i="26"/>
  <c r="G63" i="26"/>
  <c r="F63" i="26"/>
  <c r="E63" i="26"/>
  <c r="D63" i="26"/>
  <c r="C63" i="26"/>
  <c r="B63" i="26"/>
  <c r="A63" i="26"/>
  <c r="Z62" i="26"/>
  <c r="Y62" i="26"/>
  <c r="X62" i="26"/>
  <c r="W62" i="26"/>
  <c r="V62" i="26"/>
  <c r="U62" i="26"/>
  <c r="T62" i="26"/>
  <c r="S62" i="26"/>
  <c r="R62" i="26"/>
  <c r="Q62" i="26"/>
  <c r="P62" i="26"/>
  <c r="O62" i="26"/>
  <c r="N62" i="26"/>
  <c r="M62" i="26"/>
  <c r="L62" i="26"/>
  <c r="K62" i="26"/>
  <c r="J62" i="26"/>
  <c r="I62" i="26"/>
  <c r="H62" i="26"/>
  <c r="G62" i="26"/>
  <c r="F62" i="26"/>
  <c r="E62" i="26"/>
  <c r="D62" i="26"/>
  <c r="C62" i="26"/>
  <c r="B62" i="26"/>
  <c r="A62" i="26"/>
  <c r="Z61" i="26"/>
  <c r="Y61" i="26"/>
  <c r="X61" i="26"/>
  <c r="W61" i="26"/>
  <c r="V61" i="26"/>
  <c r="U61" i="26"/>
  <c r="T61" i="26"/>
  <c r="S61" i="26"/>
  <c r="R61" i="26"/>
  <c r="Q61" i="26"/>
  <c r="P61" i="26"/>
  <c r="O61" i="26"/>
  <c r="N61" i="26"/>
  <c r="D17" i="26" s="1"/>
  <c r="M61" i="26"/>
  <c r="L61" i="26"/>
  <c r="K61" i="26"/>
  <c r="J61" i="26"/>
  <c r="I61" i="26"/>
  <c r="H61" i="26"/>
  <c r="G61" i="26"/>
  <c r="F61" i="26"/>
  <c r="E61" i="26"/>
  <c r="D61" i="26"/>
  <c r="C61" i="26"/>
  <c r="B61" i="26"/>
  <c r="A61" i="26"/>
  <c r="Z60" i="26"/>
  <c r="Y60" i="26"/>
  <c r="X60" i="26"/>
  <c r="W60" i="26"/>
  <c r="V60" i="26"/>
  <c r="U60" i="26"/>
  <c r="T60" i="26"/>
  <c r="S60" i="26"/>
  <c r="R60" i="26"/>
  <c r="Q60" i="26"/>
  <c r="P60" i="26"/>
  <c r="O60" i="26"/>
  <c r="N60" i="26"/>
  <c r="M60" i="26"/>
  <c r="L60" i="26"/>
  <c r="K60" i="26"/>
  <c r="J60" i="26"/>
  <c r="I60" i="26"/>
  <c r="H60" i="26"/>
  <c r="G60" i="26"/>
  <c r="F60" i="26"/>
  <c r="E60" i="26"/>
  <c r="D60" i="26"/>
  <c r="C60" i="26"/>
  <c r="B60" i="26"/>
  <c r="A60" i="26"/>
  <c r="Z59" i="26"/>
  <c r="Y59" i="26"/>
  <c r="X59" i="26"/>
  <c r="W59" i="26"/>
  <c r="V59" i="26"/>
  <c r="U59" i="26"/>
  <c r="T59" i="26"/>
  <c r="S59" i="26"/>
  <c r="R59" i="26"/>
  <c r="Q59" i="26"/>
  <c r="P59" i="26"/>
  <c r="O59" i="26"/>
  <c r="N59" i="26"/>
  <c r="M59" i="26"/>
  <c r="L59" i="26"/>
  <c r="K59" i="26"/>
  <c r="J59" i="26"/>
  <c r="I59" i="26"/>
  <c r="H59" i="26"/>
  <c r="G59" i="26"/>
  <c r="F59" i="26"/>
  <c r="E59" i="26"/>
  <c r="D59" i="26"/>
  <c r="C59" i="26"/>
  <c r="B59" i="26"/>
  <c r="A59" i="26"/>
  <c r="Z58" i="26"/>
  <c r="Y58" i="26"/>
  <c r="X58" i="26"/>
  <c r="W58" i="26"/>
  <c r="V58" i="26"/>
  <c r="U58" i="26"/>
  <c r="T58" i="26"/>
  <c r="S58" i="26"/>
  <c r="R58" i="26"/>
  <c r="Q58" i="26"/>
  <c r="P58" i="26"/>
  <c r="O58" i="26"/>
  <c r="E14" i="26" s="1"/>
  <c r="N58" i="26"/>
  <c r="M58" i="26"/>
  <c r="L58" i="26"/>
  <c r="B14" i="26" s="1"/>
  <c r="K58" i="26"/>
  <c r="J58" i="26"/>
  <c r="I58" i="26"/>
  <c r="H58" i="26"/>
  <c r="G58" i="26"/>
  <c r="F58" i="26"/>
  <c r="E58" i="26"/>
  <c r="D58" i="26"/>
  <c r="C58" i="26"/>
  <c r="B58" i="26"/>
  <c r="A58" i="26"/>
  <c r="Z57" i="26"/>
  <c r="Y57" i="26"/>
  <c r="X57" i="26"/>
  <c r="W57" i="26"/>
  <c r="V57" i="26"/>
  <c r="U57" i="26"/>
  <c r="T57" i="26"/>
  <c r="S57" i="26"/>
  <c r="R57" i="26"/>
  <c r="Q57" i="26"/>
  <c r="P57" i="26"/>
  <c r="O57" i="26"/>
  <c r="N57" i="26"/>
  <c r="M57" i="26"/>
  <c r="L57" i="26"/>
  <c r="K57" i="26"/>
  <c r="J57" i="26"/>
  <c r="I57" i="26"/>
  <c r="H57" i="26"/>
  <c r="G57" i="26"/>
  <c r="F57" i="26"/>
  <c r="E57" i="26"/>
  <c r="D57" i="26"/>
  <c r="C57" i="26"/>
  <c r="B57" i="26"/>
  <c r="A57" i="26"/>
  <c r="Z56" i="26"/>
  <c r="Y56" i="26"/>
  <c r="X56" i="26"/>
  <c r="W56" i="26"/>
  <c r="V56" i="26"/>
  <c r="U56" i="26"/>
  <c r="T56" i="26"/>
  <c r="S56" i="26"/>
  <c r="R56" i="26"/>
  <c r="Q56" i="26"/>
  <c r="P56" i="26"/>
  <c r="F12" i="26" s="1"/>
  <c r="L12" i="26" s="1"/>
  <c r="O56" i="26"/>
  <c r="N56" i="26"/>
  <c r="M56" i="26"/>
  <c r="L56" i="26"/>
  <c r="K56" i="26"/>
  <c r="J56" i="26"/>
  <c r="I56" i="26"/>
  <c r="H56" i="26"/>
  <c r="G56" i="26"/>
  <c r="F56" i="26"/>
  <c r="E56" i="26"/>
  <c r="D56" i="26"/>
  <c r="C56" i="26"/>
  <c r="B56" i="26"/>
  <c r="A56" i="26"/>
  <c r="Z55" i="26"/>
  <c r="Y55" i="26"/>
  <c r="X55" i="26"/>
  <c r="W55" i="26"/>
  <c r="V55" i="26"/>
  <c r="U55" i="26"/>
  <c r="T55" i="26"/>
  <c r="S55" i="26"/>
  <c r="R55" i="26"/>
  <c r="Q55" i="26"/>
  <c r="P55" i="26"/>
  <c r="O55" i="26"/>
  <c r="E11" i="26" s="1"/>
  <c r="N55" i="26"/>
  <c r="M55" i="26"/>
  <c r="C11" i="26" s="1"/>
  <c r="L55" i="26"/>
  <c r="K55" i="26"/>
  <c r="J55" i="26"/>
  <c r="I55" i="26"/>
  <c r="H55" i="26"/>
  <c r="G55" i="26"/>
  <c r="F55" i="26"/>
  <c r="E55" i="26"/>
  <c r="D55" i="26"/>
  <c r="C55" i="26"/>
  <c r="B55" i="26"/>
  <c r="A55" i="26"/>
  <c r="Z54" i="26"/>
  <c r="Y54" i="26"/>
  <c r="X54" i="26"/>
  <c r="W54" i="26"/>
  <c r="V54" i="26"/>
  <c r="U54" i="26"/>
  <c r="T54" i="26"/>
  <c r="S54" i="26"/>
  <c r="R54" i="26"/>
  <c r="Q54" i="26"/>
  <c r="P54" i="26"/>
  <c r="O54" i="26"/>
  <c r="N54" i="26"/>
  <c r="M54" i="26"/>
  <c r="L54" i="26"/>
  <c r="K54" i="26"/>
  <c r="J54" i="26"/>
  <c r="I54" i="26"/>
  <c r="H54" i="26"/>
  <c r="G54" i="26"/>
  <c r="F54" i="26"/>
  <c r="E54" i="26"/>
  <c r="D54" i="26"/>
  <c r="C54" i="26"/>
  <c r="B54" i="26"/>
  <c r="A54" i="26"/>
  <c r="Z53" i="26"/>
  <c r="Y53" i="26"/>
  <c r="X53" i="26"/>
  <c r="W53" i="26"/>
  <c r="V53" i="26"/>
  <c r="U53" i="26"/>
  <c r="T53" i="26"/>
  <c r="S53" i="26"/>
  <c r="R53" i="26"/>
  <c r="Q53" i="26"/>
  <c r="P53" i="26"/>
  <c r="O53" i="26"/>
  <c r="N53" i="26"/>
  <c r="D9" i="26" s="1"/>
  <c r="L9" i="26" s="1"/>
  <c r="M53" i="26"/>
  <c r="L53" i="26"/>
  <c r="K53" i="26"/>
  <c r="J53" i="26"/>
  <c r="I53" i="26"/>
  <c r="H53" i="26"/>
  <c r="G53" i="26"/>
  <c r="F53" i="26"/>
  <c r="E53" i="26"/>
  <c r="D53" i="26"/>
  <c r="C53" i="26"/>
  <c r="B53" i="26"/>
  <c r="A53" i="26"/>
  <c r="Z52" i="26"/>
  <c r="Y52" i="26"/>
  <c r="X52" i="26"/>
  <c r="W52" i="26"/>
  <c r="V52" i="26"/>
  <c r="U52" i="26"/>
  <c r="T52" i="26"/>
  <c r="S52" i="26"/>
  <c r="R52" i="26"/>
  <c r="Q52" i="26"/>
  <c r="P52" i="26"/>
  <c r="O52" i="26"/>
  <c r="N52" i="26"/>
  <c r="M52" i="26"/>
  <c r="C8" i="26" s="1"/>
  <c r="G8" i="26" s="1"/>
  <c r="L52" i="26"/>
  <c r="K52" i="26"/>
  <c r="J52" i="26"/>
  <c r="I52" i="26"/>
  <c r="H52" i="26"/>
  <c r="G52" i="26"/>
  <c r="F52" i="26"/>
  <c r="E52" i="26"/>
  <c r="D52" i="26"/>
  <c r="C52" i="26"/>
  <c r="B52" i="26"/>
  <c r="A52" i="26"/>
  <c r="Z51" i="26"/>
  <c r="Y51" i="26"/>
  <c r="X51" i="26"/>
  <c r="W51" i="26"/>
  <c r="V51" i="26"/>
  <c r="U51" i="26"/>
  <c r="T51" i="26"/>
  <c r="S51" i="26"/>
  <c r="R51" i="26"/>
  <c r="Q51" i="26"/>
  <c r="P51" i="26"/>
  <c r="O51" i="26"/>
  <c r="N51" i="26"/>
  <c r="M51" i="26"/>
  <c r="L51" i="26"/>
  <c r="K51" i="26"/>
  <c r="J51" i="26"/>
  <c r="I51" i="26"/>
  <c r="H51" i="26"/>
  <c r="G51" i="26"/>
  <c r="F51" i="26"/>
  <c r="E51" i="26"/>
  <c r="D51" i="26"/>
  <c r="C51" i="26"/>
  <c r="B51" i="26"/>
  <c r="A51" i="26"/>
  <c r="F38" i="26"/>
  <c r="D38" i="26"/>
  <c r="C38" i="26"/>
  <c r="B38" i="26"/>
  <c r="L37" i="26"/>
  <c r="I37" i="26"/>
  <c r="F37" i="26"/>
  <c r="E37" i="26"/>
  <c r="D37" i="26"/>
  <c r="C37" i="26"/>
  <c r="B37" i="26"/>
  <c r="G37" i="26" s="1"/>
  <c r="I36" i="26"/>
  <c r="G36" i="26"/>
  <c r="K36" i="26" s="1"/>
  <c r="F36" i="26"/>
  <c r="E36" i="26"/>
  <c r="D36" i="26"/>
  <c r="C36" i="26"/>
  <c r="B36" i="26"/>
  <c r="L36" i="26" s="1"/>
  <c r="F35" i="26"/>
  <c r="D35" i="26"/>
  <c r="B35" i="26"/>
  <c r="F34" i="26"/>
  <c r="E34" i="26"/>
  <c r="D34" i="26"/>
  <c r="C34" i="26"/>
  <c r="I34" i="26" s="1"/>
  <c r="B34" i="26"/>
  <c r="L34" i="26" s="1"/>
  <c r="F33" i="26"/>
  <c r="E33" i="26"/>
  <c r="D33" i="26"/>
  <c r="C33" i="26"/>
  <c r="B33" i="26"/>
  <c r="G33" i="26" s="1"/>
  <c r="F32" i="26"/>
  <c r="E32" i="26"/>
  <c r="D32" i="26"/>
  <c r="C32" i="26"/>
  <c r="I32" i="26" s="1"/>
  <c r="B32" i="26"/>
  <c r="L32" i="26" s="1"/>
  <c r="L31" i="26"/>
  <c r="F31" i="26"/>
  <c r="E31" i="26"/>
  <c r="D31" i="26"/>
  <c r="I31" i="26" s="1"/>
  <c r="C31" i="26"/>
  <c r="B31" i="26"/>
  <c r="G31" i="26" s="1"/>
  <c r="F30" i="26"/>
  <c r="D30" i="26"/>
  <c r="C30" i="26"/>
  <c r="B30" i="26"/>
  <c r="F29" i="26"/>
  <c r="E29" i="26"/>
  <c r="D29" i="26"/>
  <c r="G29" i="26" s="1"/>
  <c r="C29" i="26"/>
  <c r="B29" i="26"/>
  <c r="L29" i="26" s="1"/>
  <c r="L28" i="26"/>
  <c r="F28" i="26"/>
  <c r="E28" i="26"/>
  <c r="D28" i="26"/>
  <c r="C28" i="26"/>
  <c r="B28" i="26"/>
  <c r="I28" i="26" s="1"/>
  <c r="F27" i="26"/>
  <c r="D27" i="26"/>
  <c r="B27" i="26"/>
  <c r="I27" i="26" s="1"/>
  <c r="F26" i="26"/>
  <c r="E26" i="26"/>
  <c r="G26" i="26" s="1"/>
  <c r="D26" i="26"/>
  <c r="C26" i="26"/>
  <c r="B26" i="26"/>
  <c r="L26" i="26" s="1"/>
  <c r="F25" i="26"/>
  <c r="E25" i="26"/>
  <c r="C25" i="26"/>
  <c r="B25" i="26"/>
  <c r="L25" i="26" s="1"/>
  <c r="F24" i="26"/>
  <c r="E24" i="26"/>
  <c r="D24" i="26"/>
  <c r="B24" i="26"/>
  <c r="G24" i="26" s="1"/>
  <c r="F23" i="26"/>
  <c r="E23" i="26"/>
  <c r="D23" i="26"/>
  <c r="C23" i="26"/>
  <c r="I23" i="26" s="1"/>
  <c r="B23" i="26"/>
  <c r="L23" i="26" s="1"/>
  <c r="F22" i="26"/>
  <c r="D22" i="26"/>
  <c r="C22" i="26"/>
  <c r="L21" i="26"/>
  <c r="I21" i="26"/>
  <c r="F21" i="26"/>
  <c r="E21" i="26"/>
  <c r="D21" i="26"/>
  <c r="C21" i="26"/>
  <c r="B21" i="26"/>
  <c r="G21" i="26" s="1"/>
  <c r="E20" i="26"/>
  <c r="D20" i="26"/>
  <c r="C20" i="26"/>
  <c r="B20" i="26"/>
  <c r="L20" i="26" s="1"/>
  <c r="F19" i="26"/>
  <c r="D19" i="26"/>
  <c r="B19" i="26"/>
  <c r="I18" i="26"/>
  <c r="F18" i="26"/>
  <c r="E18" i="26"/>
  <c r="D18" i="26"/>
  <c r="C18" i="26"/>
  <c r="B18" i="26"/>
  <c r="L18" i="26" s="1"/>
  <c r="F17" i="26"/>
  <c r="E17" i="26"/>
  <c r="C17" i="26"/>
  <c r="B17" i="26"/>
  <c r="G17" i="26" s="1"/>
  <c r="F16" i="26"/>
  <c r="E16" i="26"/>
  <c r="D16" i="26"/>
  <c r="C16" i="26"/>
  <c r="B16" i="26"/>
  <c r="L16" i="26" s="1"/>
  <c r="F15" i="26"/>
  <c r="E15" i="26"/>
  <c r="D15" i="26"/>
  <c r="C15" i="26"/>
  <c r="B15" i="26"/>
  <c r="L15" i="26" s="1"/>
  <c r="F14" i="26"/>
  <c r="D14" i="26"/>
  <c r="C14" i="26"/>
  <c r="F13" i="26"/>
  <c r="E13" i="26"/>
  <c r="D13" i="26"/>
  <c r="G13" i="26" s="1"/>
  <c r="C13" i="26"/>
  <c r="B13" i="26"/>
  <c r="L13" i="26" s="1"/>
  <c r="E12" i="26"/>
  <c r="D12" i="26"/>
  <c r="C12" i="26"/>
  <c r="B12" i="26"/>
  <c r="I12" i="26" s="1"/>
  <c r="D11" i="26"/>
  <c r="B11" i="26"/>
  <c r="F10" i="26"/>
  <c r="E10" i="26"/>
  <c r="D10" i="26"/>
  <c r="G10" i="26" s="1"/>
  <c r="C10" i="26"/>
  <c r="B10" i="26"/>
  <c r="L10" i="26" s="1"/>
  <c r="F9" i="26"/>
  <c r="E9" i="26"/>
  <c r="C9" i="26"/>
  <c r="B9" i="26"/>
  <c r="I9" i="26" s="1"/>
  <c r="F8" i="26"/>
  <c r="E8" i="26"/>
  <c r="D8" i="26"/>
  <c r="B8" i="26"/>
  <c r="B6" i="26"/>
  <c r="B4" i="26"/>
  <c r="Z82" i="25"/>
  <c r="Y82" i="25"/>
  <c r="X82" i="25"/>
  <c r="W82" i="25"/>
  <c r="V82" i="25"/>
  <c r="U82" i="25"/>
  <c r="T82" i="25"/>
  <c r="S82" i="25"/>
  <c r="R82" i="25"/>
  <c r="Q82" i="25"/>
  <c r="P82" i="25"/>
  <c r="O82" i="25"/>
  <c r="N82" i="25"/>
  <c r="M82" i="25"/>
  <c r="L82" i="25"/>
  <c r="K82" i="25"/>
  <c r="J82" i="25"/>
  <c r="I82" i="25"/>
  <c r="H82" i="25"/>
  <c r="G82" i="25"/>
  <c r="F82" i="25"/>
  <c r="E82" i="25"/>
  <c r="D82" i="25"/>
  <c r="C82" i="25"/>
  <c r="B82" i="25"/>
  <c r="A82" i="25"/>
  <c r="Z81" i="25"/>
  <c r="Y81" i="25"/>
  <c r="X81" i="25"/>
  <c r="W81" i="25"/>
  <c r="V81" i="25"/>
  <c r="U81" i="25"/>
  <c r="T81" i="25"/>
  <c r="S81" i="25"/>
  <c r="R81" i="25"/>
  <c r="Q81" i="25"/>
  <c r="P81" i="25"/>
  <c r="O81" i="25"/>
  <c r="N81" i="25"/>
  <c r="M81" i="25"/>
  <c r="L81" i="25"/>
  <c r="K81" i="25"/>
  <c r="F37" i="25" s="1"/>
  <c r="G37" i="25" s="1"/>
  <c r="J81" i="25"/>
  <c r="I81" i="25"/>
  <c r="H81" i="25"/>
  <c r="G81" i="25"/>
  <c r="F81" i="25"/>
  <c r="E81" i="25"/>
  <c r="D81" i="25"/>
  <c r="C81" i="25"/>
  <c r="B81" i="25"/>
  <c r="A81" i="25"/>
  <c r="Z80" i="25"/>
  <c r="Y80" i="25"/>
  <c r="X80" i="25"/>
  <c r="W80" i="25"/>
  <c r="V80" i="25"/>
  <c r="U80" i="25"/>
  <c r="T80" i="25"/>
  <c r="S80" i="25"/>
  <c r="R80" i="25"/>
  <c r="Q80" i="25"/>
  <c r="P80" i="25"/>
  <c r="O80" i="25"/>
  <c r="N80" i="25"/>
  <c r="M80" i="25"/>
  <c r="L80" i="25"/>
  <c r="K80" i="25"/>
  <c r="J80" i="25"/>
  <c r="I80" i="25"/>
  <c r="H80" i="25"/>
  <c r="G80" i="25"/>
  <c r="B36" i="25" s="1"/>
  <c r="F80" i="25"/>
  <c r="E80" i="25"/>
  <c r="D80" i="25"/>
  <c r="C80" i="25"/>
  <c r="B80" i="25"/>
  <c r="A80" i="25"/>
  <c r="Z79" i="25"/>
  <c r="Y79" i="25"/>
  <c r="X79" i="25"/>
  <c r="W79" i="25"/>
  <c r="V79" i="25"/>
  <c r="U79" i="25"/>
  <c r="T79" i="25"/>
  <c r="S79" i="25"/>
  <c r="R79" i="25"/>
  <c r="Q79" i="25"/>
  <c r="P79" i="25"/>
  <c r="O79" i="25"/>
  <c r="N79" i="25"/>
  <c r="M79" i="25"/>
  <c r="L79" i="25"/>
  <c r="K79" i="25"/>
  <c r="J79" i="25"/>
  <c r="I79" i="25"/>
  <c r="H79" i="25"/>
  <c r="G79" i="25"/>
  <c r="F79" i="25"/>
  <c r="E79" i="25"/>
  <c r="D79" i="25"/>
  <c r="C79" i="25"/>
  <c r="B79" i="25"/>
  <c r="A79" i="25"/>
  <c r="Z78" i="25"/>
  <c r="Y78" i="25"/>
  <c r="X78" i="25"/>
  <c r="W78" i="25"/>
  <c r="V78" i="25"/>
  <c r="U78" i="25"/>
  <c r="T78" i="25"/>
  <c r="S78" i="25"/>
  <c r="R78" i="25"/>
  <c r="Q78" i="25"/>
  <c r="P78" i="25"/>
  <c r="O78" i="25"/>
  <c r="N78" i="25"/>
  <c r="M78" i="25"/>
  <c r="L78" i="25"/>
  <c r="K78" i="25"/>
  <c r="F34" i="25" s="1"/>
  <c r="J78" i="25"/>
  <c r="I78" i="25"/>
  <c r="D34" i="25" s="1"/>
  <c r="L34" i="25" s="1"/>
  <c r="H78" i="25"/>
  <c r="G78" i="25"/>
  <c r="F78" i="25"/>
  <c r="E78" i="25"/>
  <c r="D78" i="25"/>
  <c r="C78" i="25"/>
  <c r="B78" i="25"/>
  <c r="A78" i="25"/>
  <c r="Z77" i="25"/>
  <c r="Y77" i="25"/>
  <c r="X77" i="25"/>
  <c r="W77" i="25"/>
  <c r="V77" i="25"/>
  <c r="U77" i="25"/>
  <c r="T77" i="25"/>
  <c r="S77" i="25"/>
  <c r="R77" i="25"/>
  <c r="Q77" i="25"/>
  <c r="P77" i="25"/>
  <c r="O77" i="25"/>
  <c r="N77" i="25"/>
  <c r="M77" i="25"/>
  <c r="L77" i="25"/>
  <c r="K77" i="25"/>
  <c r="J77" i="25"/>
  <c r="I77" i="25"/>
  <c r="H77" i="25"/>
  <c r="G77" i="25"/>
  <c r="F77" i="25"/>
  <c r="E77" i="25"/>
  <c r="D77" i="25"/>
  <c r="C77" i="25"/>
  <c r="B77" i="25"/>
  <c r="A77" i="25"/>
  <c r="Z76" i="25"/>
  <c r="Y76" i="25"/>
  <c r="X76" i="25"/>
  <c r="W76" i="25"/>
  <c r="V76" i="25"/>
  <c r="U76" i="25"/>
  <c r="T76" i="25"/>
  <c r="S76" i="25"/>
  <c r="R76" i="25"/>
  <c r="Q76" i="25"/>
  <c r="P76" i="25"/>
  <c r="O76" i="25"/>
  <c r="N76" i="25"/>
  <c r="M76" i="25"/>
  <c r="L76" i="25"/>
  <c r="K76" i="25"/>
  <c r="J76" i="25"/>
  <c r="I76" i="25"/>
  <c r="H76" i="25"/>
  <c r="G76" i="25"/>
  <c r="F76" i="25"/>
  <c r="E76" i="25"/>
  <c r="D76" i="25"/>
  <c r="C76" i="25"/>
  <c r="B76" i="25"/>
  <c r="A76" i="25"/>
  <c r="Z75" i="25"/>
  <c r="Y75" i="25"/>
  <c r="X75" i="25"/>
  <c r="W75" i="25"/>
  <c r="V75" i="25"/>
  <c r="U75" i="25"/>
  <c r="T75" i="25"/>
  <c r="S75" i="25"/>
  <c r="R75" i="25"/>
  <c r="Q75" i="25"/>
  <c r="P75" i="25"/>
  <c r="O75" i="25"/>
  <c r="N75" i="25"/>
  <c r="M75" i="25"/>
  <c r="L75" i="25"/>
  <c r="K75" i="25"/>
  <c r="J75" i="25"/>
  <c r="I75" i="25"/>
  <c r="D31" i="25" s="1"/>
  <c r="H75" i="25"/>
  <c r="G75" i="25"/>
  <c r="B31" i="25" s="1"/>
  <c r="F75" i="25"/>
  <c r="E75" i="25"/>
  <c r="D75" i="25"/>
  <c r="C75" i="25"/>
  <c r="B75" i="25"/>
  <c r="A75" i="25"/>
  <c r="Z74" i="25"/>
  <c r="Y74" i="25"/>
  <c r="X74" i="25"/>
  <c r="W74" i="25"/>
  <c r="V74" i="25"/>
  <c r="U74" i="25"/>
  <c r="T74" i="25"/>
  <c r="S74" i="25"/>
  <c r="R74" i="25"/>
  <c r="Q74" i="25"/>
  <c r="P74" i="25"/>
  <c r="O74" i="25"/>
  <c r="N74" i="25"/>
  <c r="M74" i="25"/>
  <c r="L74" i="25"/>
  <c r="K74" i="25"/>
  <c r="J74" i="25"/>
  <c r="I74" i="25"/>
  <c r="H74" i="25"/>
  <c r="G74" i="25"/>
  <c r="F74" i="25"/>
  <c r="E74" i="25"/>
  <c r="D74" i="25"/>
  <c r="C74" i="25"/>
  <c r="B74" i="25"/>
  <c r="A74" i="25"/>
  <c r="Z73" i="25"/>
  <c r="Y73" i="25"/>
  <c r="X73" i="25"/>
  <c r="W73" i="25"/>
  <c r="V73" i="25"/>
  <c r="U73" i="25"/>
  <c r="T73" i="25"/>
  <c r="S73" i="25"/>
  <c r="R73" i="25"/>
  <c r="Q73" i="25"/>
  <c r="P73" i="25"/>
  <c r="O73" i="25"/>
  <c r="N73" i="25"/>
  <c r="M73" i="25"/>
  <c r="L73" i="25"/>
  <c r="K73" i="25"/>
  <c r="J73" i="25"/>
  <c r="I73" i="25"/>
  <c r="H73" i="25"/>
  <c r="G73" i="25"/>
  <c r="F73" i="25"/>
  <c r="E73" i="25"/>
  <c r="D73" i="25"/>
  <c r="C73" i="25"/>
  <c r="B73" i="25"/>
  <c r="A73" i="25"/>
  <c r="Z72" i="25"/>
  <c r="Y72" i="25"/>
  <c r="X72" i="25"/>
  <c r="W72" i="25"/>
  <c r="V72" i="25"/>
  <c r="U72" i="25"/>
  <c r="T72" i="25"/>
  <c r="S72" i="25"/>
  <c r="R72" i="25"/>
  <c r="Q72" i="25"/>
  <c r="P72" i="25"/>
  <c r="O72" i="25"/>
  <c r="N72" i="25"/>
  <c r="M72" i="25"/>
  <c r="L72" i="25"/>
  <c r="K72" i="25"/>
  <c r="J72" i="25"/>
  <c r="I72" i="25"/>
  <c r="H72" i="25"/>
  <c r="G72" i="25"/>
  <c r="B28" i="25" s="1"/>
  <c r="F72" i="25"/>
  <c r="E72" i="25"/>
  <c r="D72" i="25"/>
  <c r="C72" i="25"/>
  <c r="B72" i="25"/>
  <c r="A72" i="25"/>
  <c r="Z71" i="25"/>
  <c r="Y71" i="25"/>
  <c r="X71" i="25"/>
  <c r="W71" i="25"/>
  <c r="V71" i="25"/>
  <c r="U71" i="25"/>
  <c r="T71" i="25"/>
  <c r="S71" i="25"/>
  <c r="R71" i="25"/>
  <c r="Q71" i="25"/>
  <c r="P71" i="25"/>
  <c r="O71" i="25"/>
  <c r="N71" i="25"/>
  <c r="M71" i="25"/>
  <c r="L71" i="25"/>
  <c r="K71" i="25"/>
  <c r="J71" i="25"/>
  <c r="I71" i="25"/>
  <c r="H71" i="25"/>
  <c r="G71" i="25"/>
  <c r="F71" i="25"/>
  <c r="E71" i="25"/>
  <c r="D71" i="25"/>
  <c r="C71" i="25"/>
  <c r="B71" i="25"/>
  <c r="A71" i="25"/>
  <c r="Z70" i="25"/>
  <c r="Y70" i="25"/>
  <c r="X70" i="25"/>
  <c r="W70" i="25"/>
  <c r="V70" i="25"/>
  <c r="U70" i="25"/>
  <c r="T70" i="25"/>
  <c r="S70" i="25"/>
  <c r="R70" i="25"/>
  <c r="Q70" i="25"/>
  <c r="P70" i="25"/>
  <c r="O70" i="25"/>
  <c r="N70" i="25"/>
  <c r="M70" i="25"/>
  <c r="L70" i="25"/>
  <c r="K70" i="25"/>
  <c r="F26" i="25" s="1"/>
  <c r="J70" i="25"/>
  <c r="I70" i="25"/>
  <c r="D26" i="25" s="1"/>
  <c r="I26" i="25" s="1"/>
  <c r="H70" i="25"/>
  <c r="G70" i="25"/>
  <c r="F70" i="25"/>
  <c r="E70" i="25"/>
  <c r="D70" i="25"/>
  <c r="C70" i="25"/>
  <c r="B70" i="25"/>
  <c r="A70" i="25"/>
  <c r="Z69" i="25"/>
  <c r="Y69" i="25"/>
  <c r="X69" i="25"/>
  <c r="W69" i="25"/>
  <c r="V69" i="25"/>
  <c r="U69" i="25"/>
  <c r="T69" i="25"/>
  <c r="S69" i="25"/>
  <c r="R69" i="25"/>
  <c r="Q69" i="25"/>
  <c r="P69" i="25"/>
  <c r="O69" i="25"/>
  <c r="N69" i="25"/>
  <c r="M69" i="25"/>
  <c r="L69" i="25"/>
  <c r="K69" i="25"/>
  <c r="J69" i="25"/>
  <c r="I69" i="25"/>
  <c r="H69" i="25"/>
  <c r="G69" i="25"/>
  <c r="F69" i="25"/>
  <c r="E69" i="25"/>
  <c r="D69" i="25"/>
  <c r="C69" i="25"/>
  <c r="B69" i="25"/>
  <c r="A69" i="25"/>
  <c r="Z68" i="25"/>
  <c r="Y68" i="25"/>
  <c r="X68" i="25"/>
  <c r="W68" i="25"/>
  <c r="V68" i="25"/>
  <c r="U68" i="25"/>
  <c r="T68" i="25"/>
  <c r="S68" i="25"/>
  <c r="R68" i="25"/>
  <c r="Q68" i="25"/>
  <c r="P68" i="25"/>
  <c r="O68" i="25"/>
  <c r="N68" i="25"/>
  <c r="M68" i="25"/>
  <c r="L68" i="25"/>
  <c r="K68" i="25"/>
  <c r="J68" i="25"/>
  <c r="I68" i="25"/>
  <c r="H68" i="25"/>
  <c r="G68" i="25"/>
  <c r="F68" i="25"/>
  <c r="E68" i="25"/>
  <c r="D68" i="25"/>
  <c r="C68" i="25"/>
  <c r="B68" i="25"/>
  <c r="A68" i="25"/>
  <c r="Z67" i="25"/>
  <c r="Y67" i="25"/>
  <c r="X67" i="25"/>
  <c r="W67" i="25"/>
  <c r="V67" i="25"/>
  <c r="U67" i="25"/>
  <c r="T67" i="25"/>
  <c r="S67" i="25"/>
  <c r="R67" i="25"/>
  <c r="Q67" i="25"/>
  <c r="P67" i="25"/>
  <c r="O67" i="25"/>
  <c r="N67" i="25"/>
  <c r="M67" i="25"/>
  <c r="L67" i="25"/>
  <c r="K67" i="25"/>
  <c r="J67" i="25"/>
  <c r="I67" i="25"/>
  <c r="D23" i="25" s="1"/>
  <c r="H67" i="25"/>
  <c r="G67" i="25"/>
  <c r="B23" i="25" s="1"/>
  <c r="F67" i="25"/>
  <c r="E67" i="25"/>
  <c r="D67" i="25"/>
  <c r="C67" i="25"/>
  <c r="B67" i="25"/>
  <c r="A67" i="25"/>
  <c r="Z66" i="25"/>
  <c r="Y66" i="25"/>
  <c r="X66" i="25"/>
  <c r="W66" i="25"/>
  <c r="V66" i="25"/>
  <c r="U66" i="25"/>
  <c r="T66" i="25"/>
  <c r="S66" i="25"/>
  <c r="R66" i="25"/>
  <c r="Q66" i="25"/>
  <c r="P66" i="25"/>
  <c r="O66" i="25"/>
  <c r="N66" i="25"/>
  <c r="M66" i="25"/>
  <c r="L66" i="25"/>
  <c r="K66" i="25"/>
  <c r="J66" i="25"/>
  <c r="I66" i="25"/>
  <c r="H66" i="25"/>
  <c r="G66" i="25"/>
  <c r="F66" i="25"/>
  <c r="E66" i="25"/>
  <c r="D66" i="25"/>
  <c r="C66" i="25"/>
  <c r="B66" i="25"/>
  <c r="A66" i="25"/>
  <c r="Z65" i="25"/>
  <c r="Y65" i="25"/>
  <c r="X65" i="25"/>
  <c r="W65" i="25"/>
  <c r="V65" i="25"/>
  <c r="U65" i="25"/>
  <c r="T65" i="25"/>
  <c r="S65" i="25"/>
  <c r="R65" i="25"/>
  <c r="Q65" i="25"/>
  <c r="P65" i="25"/>
  <c r="O65" i="25"/>
  <c r="N65" i="25"/>
  <c r="M65" i="25"/>
  <c r="L65" i="25"/>
  <c r="K65" i="25"/>
  <c r="F21" i="25" s="1"/>
  <c r="J65" i="25"/>
  <c r="I65" i="25"/>
  <c r="H65" i="25"/>
  <c r="G65" i="25"/>
  <c r="F65" i="25"/>
  <c r="E65" i="25"/>
  <c r="D65" i="25"/>
  <c r="C65" i="25"/>
  <c r="B65" i="25"/>
  <c r="A65" i="25"/>
  <c r="Z64" i="25"/>
  <c r="Y64" i="25"/>
  <c r="X64" i="25"/>
  <c r="W64" i="25"/>
  <c r="V64" i="25"/>
  <c r="U64" i="25"/>
  <c r="T64" i="25"/>
  <c r="S64" i="25"/>
  <c r="R64" i="25"/>
  <c r="Q64" i="25"/>
  <c r="P64" i="25"/>
  <c r="O64" i="25"/>
  <c r="N64" i="25"/>
  <c r="M64" i="25"/>
  <c r="L64" i="25"/>
  <c r="K64" i="25"/>
  <c r="J64" i="25"/>
  <c r="I64" i="25"/>
  <c r="H64" i="25"/>
  <c r="G64" i="25"/>
  <c r="B20" i="25" s="1"/>
  <c r="F64" i="25"/>
  <c r="E64" i="25"/>
  <c r="D64" i="25"/>
  <c r="C64" i="25"/>
  <c r="B64" i="25"/>
  <c r="A64" i="25"/>
  <c r="Z63" i="25"/>
  <c r="Y63" i="25"/>
  <c r="X63" i="25"/>
  <c r="W63" i="25"/>
  <c r="V63" i="25"/>
  <c r="U63" i="25"/>
  <c r="T63" i="25"/>
  <c r="S63" i="25"/>
  <c r="R63" i="25"/>
  <c r="Q63" i="25"/>
  <c r="P63" i="25"/>
  <c r="O63" i="25"/>
  <c r="N63" i="25"/>
  <c r="M63" i="25"/>
  <c r="L63" i="25"/>
  <c r="K63" i="25"/>
  <c r="J63" i="25"/>
  <c r="I63" i="25"/>
  <c r="H63" i="25"/>
  <c r="G63" i="25"/>
  <c r="F63" i="25"/>
  <c r="E63" i="25"/>
  <c r="D63" i="25"/>
  <c r="C63" i="25"/>
  <c r="B63" i="25"/>
  <c r="A63" i="25"/>
  <c r="Z62" i="25"/>
  <c r="Y62" i="25"/>
  <c r="X62" i="25"/>
  <c r="W62" i="25"/>
  <c r="V62" i="25"/>
  <c r="U62" i="25"/>
  <c r="T62" i="25"/>
  <c r="S62" i="25"/>
  <c r="R62" i="25"/>
  <c r="Q62" i="25"/>
  <c r="P62" i="25"/>
  <c r="O62" i="25"/>
  <c r="N62" i="25"/>
  <c r="M62" i="25"/>
  <c r="L62" i="25"/>
  <c r="K62" i="25"/>
  <c r="F18" i="25" s="1"/>
  <c r="J62" i="25"/>
  <c r="I62" i="25"/>
  <c r="D18" i="25" s="1"/>
  <c r="L18" i="25" s="1"/>
  <c r="H62" i="25"/>
  <c r="G62" i="25"/>
  <c r="F62" i="25"/>
  <c r="E62" i="25"/>
  <c r="D62" i="25"/>
  <c r="C62" i="25"/>
  <c r="B62" i="25"/>
  <c r="A62" i="25"/>
  <c r="Z61" i="25"/>
  <c r="Y61" i="25"/>
  <c r="X61" i="25"/>
  <c r="W61" i="25"/>
  <c r="V61" i="25"/>
  <c r="U61" i="25"/>
  <c r="T61" i="25"/>
  <c r="S61" i="25"/>
  <c r="R61" i="25"/>
  <c r="Q61" i="25"/>
  <c r="P61" i="25"/>
  <c r="O61" i="25"/>
  <c r="N61" i="25"/>
  <c r="M61" i="25"/>
  <c r="L61" i="25"/>
  <c r="K61" i="25"/>
  <c r="J61" i="25"/>
  <c r="I61" i="25"/>
  <c r="H61" i="25"/>
  <c r="G61" i="25"/>
  <c r="F61" i="25"/>
  <c r="E61" i="25"/>
  <c r="D61" i="25"/>
  <c r="C61" i="25"/>
  <c r="B61" i="25"/>
  <c r="A61" i="25"/>
  <c r="Z60" i="25"/>
  <c r="Y60" i="25"/>
  <c r="X60" i="25"/>
  <c r="W60" i="25"/>
  <c r="V60" i="25"/>
  <c r="U60" i="25"/>
  <c r="T60" i="25"/>
  <c r="S60" i="25"/>
  <c r="R60" i="25"/>
  <c r="Q60" i="25"/>
  <c r="P60" i="25"/>
  <c r="O60" i="25"/>
  <c r="N60" i="25"/>
  <c r="M60" i="25"/>
  <c r="L60" i="25"/>
  <c r="K60" i="25"/>
  <c r="J60" i="25"/>
  <c r="I60" i="25"/>
  <c r="H60" i="25"/>
  <c r="G60" i="25"/>
  <c r="F60" i="25"/>
  <c r="E60" i="25"/>
  <c r="D60" i="25"/>
  <c r="C60" i="25"/>
  <c r="B60" i="25"/>
  <c r="A60" i="25"/>
  <c r="Z59" i="25"/>
  <c r="Y59" i="25"/>
  <c r="X59" i="25"/>
  <c r="W59" i="25"/>
  <c r="V59" i="25"/>
  <c r="U59" i="25"/>
  <c r="T59" i="25"/>
  <c r="S59" i="25"/>
  <c r="R59" i="25"/>
  <c r="Q59" i="25"/>
  <c r="P59" i="25"/>
  <c r="O59" i="25"/>
  <c r="N59" i="25"/>
  <c r="M59" i="25"/>
  <c r="L59" i="25"/>
  <c r="K59" i="25"/>
  <c r="J59" i="25"/>
  <c r="I59" i="25"/>
  <c r="D15" i="25" s="1"/>
  <c r="H59" i="25"/>
  <c r="G59" i="25"/>
  <c r="B15" i="25" s="1"/>
  <c r="F59" i="25"/>
  <c r="E59" i="25"/>
  <c r="D59" i="25"/>
  <c r="C59" i="25"/>
  <c r="B59" i="25"/>
  <c r="A59" i="25"/>
  <c r="Z58" i="25"/>
  <c r="Y58" i="25"/>
  <c r="X58" i="25"/>
  <c r="W58" i="25"/>
  <c r="V58" i="25"/>
  <c r="U58" i="25"/>
  <c r="T58" i="25"/>
  <c r="S58" i="25"/>
  <c r="R58" i="25"/>
  <c r="Q58" i="25"/>
  <c r="P58" i="25"/>
  <c r="O58" i="25"/>
  <c r="N58" i="25"/>
  <c r="M58" i="25"/>
  <c r="L58" i="25"/>
  <c r="K58" i="25"/>
  <c r="J58" i="25"/>
  <c r="I58" i="25"/>
  <c r="H58" i="25"/>
  <c r="G58" i="25"/>
  <c r="F58" i="25"/>
  <c r="E58" i="25"/>
  <c r="D58" i="25"/>
  <c r="C58" i="25"/>
  <c r="B58" i="25"/>
  <c r="A58" i="25"/>
  <c r="Z57" i="25"/>
  <c r="Y57" i="25"/>
  <c r="X57" i="25"/>
  <c r="W57" i="25"/>
  <c r="V57" i="25"/>
  <c r="U57" i="25"/>
  <c r="T57" i="25"/>
  <c r="S57" i="25"/>
  <c r="R57" i="25"/>
  <c r="Q57" i="25"/>
  <c r="P57" i="25"/>
  <c r="O57" i="25"/>
  <c r="N57" i="25"/>
  <c r="M57" i="25"/>
  <c r="L57" i="25"/>
  <c r="K57" i="25"/>
  <c r="J57" i="25"/>
  <c r="I57" i="25"/>
  <c r="H57" i="25"/>
  <c r="G57" i="25"/>
  <c r="F57" i="25"/>
  <c r="E57" i="25"/>
  <c r="D57" i="25"/>
  <c r="C57" i="25"/>
  <c r="B57" i="25"/>
  <c r="A57" i="25"/>
  <c r="Z56" i="25"/>
  <c r="Y56" i="25"/>
  <c r="X56" i="25"/>
  <c r="W56" i="25"/>
  <c r="V56" i="25"/>
  <c r="U56" i="25"/>
  <c r="T56" i="25"/>
  <c r="S56" i="25"/>
  <c r="R56" i="25"/>
  <c r="Q56" i="25"/>
  <c r="P56" i="25"/>
  <c r="O56" i="25"/>
  <c r="N56" i="25"/>
  <c r="M56" i="25"/>
  <c r="L56" i="25"/>
  <c r="K56" i="25"/>
  <c r="J56" i="25"/>
  <c r="I56" i="25"/>
  <c r="H56" i="25"/>
  <c r="G56" i="25"/>
  <c r="B12" i="25" s="1"/>
  <c r="F56" i="25"/>
  <c r="E56" i="25"/>
  <c r="D56" i="25"/>
  <c r="C56" i="25"/>
  <c r="B56" i="25"/>
  <c r="A56" i="25"/>
  <c r="Z55" i="25"/>
  <c r="Y55" i="25"/>
  <c r="X55" i="25"/>
  <c r="W55" i="25"/>
  <c r="V55" i="25"/>
  <c r="U55" i="25"/>
  <c r="T55" i="25"/>
  <c r="S55" i="25"/>
  <c r="R55" i="25"/>
  <c r="Q55" i="25"/>
  <c r="P55" i="25"/>
  <c r="O55" i="25"/>
  <c r="N55" i="25"/>
  <c r="M55" i="25"/>
  <c r="L55" i="25"/>
  <c r="K55" i="25"/>
  <c r="J55" i="25"/>
  <c r="I55" i="25"/>
  <c r="H55" i="25"/>
  <c r="G55" i="25"/>
  <c r="F55" i="25"/>
  <c r="E55" i="25"/>
  <c r="D55" i="25"/>
  <c r="C55" i="25"/>
  <c r="B55" i="25"/>
  <c r="A55" i="25"/>
  <c r="Z54" i="25"/>
  <c r="Y54" i="25"/>
  <c r="X54" i="25"/>
  <c r="W54" i="25"/>
  <c r="V54" i="25"/>
  <c r="U54" i="25"/>
  <c r="T54" i="25"/>
  <c r="S54" i="25"/>
  <c r="R54" i="25"/>
  <c r="Q54" i="25"/>
  <c r="P54" i="25"/>
  <c r="O54" i="25"/>
  <c r="N54" i="25"/>
  <c r="M54" i="25"/>
  <c r="L54" i="25"/>
  <c r="K54" i="25"/>
  <c r="J54" i="25"/>
  <c r="I54" i="25"/>
  <c r="D10" i="25" s="1"/>
  <c r="H54" i="25"/>
  <c r="G54" i="25"/>
  <c r="F54" i="25"/>
  <c r="E54" i="25"/>
  <c r="D54" i="25"/>
  <c r="C54" i="25"/>
  <c r="B54" i="25"/>
  <c r="A54" i="25"/>
  <c r="Z53" i="25"/>
  <c r="Y53" i="25"/>
  <c r="X53" i="25"/>
  <c r="W53" i="25"/>
  <c r="V53" i="25"/>
  <c r="U53" i="25"/>
  <c r="T53" i="25"/>
  <c r="S53" i="25"/>
  <c r="R53" i="25"/>
  <c r="Q53" i="25"/>
  <c r="P53" i="25"/>
  <c r="O53" i="25"/>
  <c r="N53" i="25"/>
  <c r="M53" i="25"/>
  <c r="L53" i="25"/>
  <c r="K53" i="25"/>
  <c r="J53" i="25"/>
  <c r="I53" i="25"/>
  <c r="H53" i="25"/>
  <c r="G53" i="25"/>
  <c r="F53" i="25"/>
  <c r="E53" i="25"/>
  <c r="D53" i="25"/>
  <c r="C53" i="25"/>
  <c r="B53" i="25"/>
  <c r="A53" i="25"/>
  <c r="Z52" i="25"/>
  <c r="Y52" i="25"/>
  <c r="X52" i="25"/>
  <c r="W52" i="25"/>
  <c r="V52" i="25"/>
  <c r="U52" i="25"/>
  <c r="T52" i="25"/>
  <c r="S52" i="25"/>
  <c r="R52" i="25"/>
  <c r="Q52" i="25"/>
  <c r="P52" i="25"/>
  <c r="O52" i="25"/>
  <c r="N52" i="25"/>
  <c r="M52" i="25"/>
  <c r="L52" i="25"/>
  <c r="K52" i="25"/>
  <c r="J52" i="25"/>
  <c r="I52" i="25"/>
  <c r="H52" i="25"/>
  <c r="G52" i="25"/>
  <c r="F52" i="25"/>
  <c r="E52" i="25"/>
  <c r="D52" i="25"/>
  <c r="C52" i="25"/>
  <c r="B52" i="25"/>
  <c r="A52" i="25"/>
  <c r="Z51" i="25"/>
  <c r="Y51" i="25"/>
  <c r="X51" i="25"/>
  <c r="W51" i="25"/>
  <c r="V51" i="25"/>
  <c r="U51" i="25"/>
  <c r="T51" i="25"/>
  <c r="S51" i="25"/>
  <c r="R51" i="25"/>
  <c r="Q51" i="25"/>
  <c r="P51" i="25"/>
  <c r="O51" i="25"/>
  <c r="N51" i="25"/>
  <c r="M51" i="25"/>
  <c r="L51" i="25"/>
  <c r="K51" i="25"/>
  <c r="J51" i="25"/>
  <c r="I51" i="25"/>
  <c r="H51" i="25"/>
  <c r="G51" i="25"/>
  <c r="F51" i="25"/>
  <c r="E51" i="25"/>
  <c r="D51" i="25"/>
  <c r="C51" i="25"/>
  <c r="B51" i="25"/>
  <c r="A51" i="25"/>
  <c r="F38" i="25"/>
  <c r="E38" i="25"/>
  <c r="D38" i="25"/>
  <c r="C38" i="25"/>
  <c r="L38" i="25" s="1"/>
  <c r="B38" i="25"/>
  <c r="E37" i="25"/>
  <c r="D37" i="25"/>
  <c r="C37" i="25"/>
  <c r="B37" i="25"/>
  <c r="L37" i="25" s="1"/>
  <c r="F36" i="25"/>
  <c r="E36" i="25"/>
  <c r="D36" i="25"/>
  <c r="C36" i="25"/>
  <c r="F35" i="25"/>
  <c r="E35" i="25"/>
  <c r="D35" i="25"/>
  <c r="G35" i="25" s="1"/>
  <c r="C35" i="25"/>
  <c r="B35" i="25"/>
  <c r="L35" i="25" s="1"/>
  <c r="E34" i="25"/>
  <c r="C34" i="25"/>
  <c r="B34" i="25"/>
  <c r="L33" i="25"/>
  <c r="G33" i="25"/>
  <c r="F33" i="25"/>
  <c r="E33" i="25"/>
  <c r="D33" i="25"/>
  <c r="C33" i="25"/>
  <c r="B33" i="25"/>
  <c r="I33" i="25" s="1"/>
  <c r="F32" i="25"/>
  <c r="E32" i="25"/>
  <c r="G32" i="25" s="1"/>
  <c r="D32" i="25"/>
  <c r="C32" i="25"/>
  <c r="B32" i="25"/>
  <c r="F31" i="25"/>
  <c r="E31" i="25"/>
  <c r="C31" i="25"/>
  <c r="K30" i="25"/>
  <c r="G30" i="25"/>
  <c r="F30" i="25"/>
  <c r="E30" i="25"/>
  <c r="D30" i="25"/>
  <c r="I30" i="25" s="1"/>
  <c r="C30" i="25"/>
  <c r="B30" i="25"/>
  <c r="L30" i="25" s="1"/>
  <c r="F29" i="25"/>
  <c r="E29" i="25"/>
  <c r="D29" i="25"/>
  <c r="C29" i="25"/>
  <c r="B29" i="25"/>
  <c r="F28" i="25"/>
  <c r="E28" i="25"/>
  <c r="D28" i="25"/>
  <c r="C28" i="25"/>
  <c r="L27" i="25"/>
  <c r="I27" i="25"/>
  <c r="G27" i="25"/>
  <c r="K27" i="25" s="1"/>
  <c r="F27" i="25"/>
  <c r="E27" i="25"/>
  <c r="D27" i="25"/>
  <c r="C27" i="25"/>
  <c r="B27" i="25"/>
  <c r="G26" i="25"/>
  <c r="E26" i="25"/>
  <c r="C26" i="25"/>
  <c r="B26" i="25"/>
  <c r="F25" i="25"/>
  <c r="E25" i="25"/>
  <c r="D25" i="25"/>
  <c r="C25" i="25"/>
  <c r="B25" i="25"/>
  <c r="I24" i="25"/>
  <c r="G24" i="25"/>
  <c r="K24" i="25" s="1"/>
  <c r="F24" i="25"/>
  <c r="E24" i="25"/>
  <c r="D24" i="25"/>
  <c r="C24" i="25"/>
  <c r="B24" i="25"/>
  <c r="L24" i="25" s="1"/>
  <c r="F23" i="25"/>
  <c r="E23" i="25"/>
  <c r="C23" i="25"/>
  <c r="F22" i="25"/>
  <c r="E22" i="25"/>
  <c r="D22" i="25"/>
  <c r="C22" i="25"/>
  <c r="B22" i="25"/>
  <c r="E21" i="25"/>
  <c r="D21" i="25"/>
  <c r="C21" i="25"/>
  <c r="B21" i="25"/>
  <c r="I20" i="25"/>
  <c r="F20" i="25"/>
  <c r="E20" i="25"/>
  <c r="D20" i="25"/>
  <c r="C20" i="25"/>
  <c r="F19" i="25"/>
  <c r="E19" i="25"/>
  <c r="D19" i="25"/>
  <c r="C19" i="25"/>
  <c r="B19" i="25"/>
  <c r="L19" i="25" s="1"/>
  <c r="E18" i="25"/>
  <c r="C18" i="25"/>
  <c r="B18" i="25"/>
  <c r="L17" i="25"/>
  <c r="G17" i="25"/>
  <c r="F17" i="25"/>
  <c r="E17" i="25"/>
  <c r="D17" i="25"/>
  <c r="C17" i="25"/>
  <c r="B17" i="25"/>
  <c r="I17" i="25" s="1"/>
  <c r="F16" i="25"/>
  <c r="E16" i="25"/>
  <c r="G16" i="25" s="1"/>
  <c r="D16" i="25"/>
  <c r="C16" i="25"/>
  <c r="B16" i="25"/>
  <c r="L16" i="25" s="1"/>
  <c r="F15" i="25"/>
  <c r="E15" i="25"/>
  <c r="C15" i="25"/>
  <c r="K14" i="25"/>
  <c r="G14" i="25"/>
  <c r="F14" i="25"/>
  <c r="E14" i="25"/>
  <c r="D14" i="25"/>
  <c r="C14" i="25"/>
  <c r="B14" i="25"/>
  <c r="I14" i="25" s="1"/>
  <c r="F13" i="25"/>
  <c r="E13" i="25"/>
  <c r="D13" i="25"/>
  <c r="C13" i="25"/>
  <c r="B13" i="25"/>
  <c r="F12" i="25"/>
  <c r="E12" i="25"/>
  <c r="D12" i="25"/>
  <c r="C12" i="25"/>
  <c r="L11" i="25"/>
  <c r="I11" i="25"/>
  <c r="G11" i="25"/>
  <c r="K11" i="25" s="1"/>
  <c r="F11" i="25"/>
  <c r="E11" i="25"/>
  <c r="C11" i="25"/>
  <c r="B11" i="25"/>
  <c r="F10" i="25"/>
  <c r="E10" i="25"/>
  <c r="C10" i="25"/>
  <c r="B10" i="25"/>
  <c r="F9" i="25"/>
  <c r="E9" i="25"/>
  <c r="D9" i="25"/>
  <c r="C9" i="25"/>
  <c r="L9" i="25" s="1"/>
  <c r="B9" i="25"/>
  <c r="I9" i="25" s="1"/>
  <c r="G8" i="25"/>
  <c r="F8" i="25"/>
  <c r="E8" i="25"/>
  <c r="D8" i="25"/>
  <c r="C8" i="25"/>
  <c r="B8" i="25"/>
  <c r="B6" i="25"/>
  <c r="B4" i="25"/>
  <c r="F38" i="24"/>
  <c r="E38" i="24"/>
  <c r="G38" i="24" s="1"/>
  <c r="D38" i="24"/>
  <c r="C38" i="24"/>
  <c r="B38" i="24"/>
  <c r="L38" i="24" s="1"/>
  <c r="F37" i="24"/>
  <c r="E37" i="24"/>
  <c r="D37" i="24"/>
  <c r="C37" i="24"/>
  <c r="B37" i="24"/>
  <c r="L37" i="24" s="1"/>
  <c r="K36" i="24"/>
  <c r="F36" i="24"/>
  <c r="E36" i="24"/>
  <c r="G36" i="24" s="1"/>
  <c r="D36" i="24"/>
  <c r="C36" i="24"/>
  <c r="B36" i="24"/>
  <c r="I36" i="24" s="1"/>
  <c r="F35" i="24"/>
  <c r="E35" i="24"/>
  <c r="D35" i="24"/>
  <c r="C35" i="24"/>
  <c r="B35" i="24"/>
  <c r="L35" i="24" s="1"/>
  <c r="F34" i="24"/>
  <c r="E34" i="24"/>
  <c r="D34" i="24"/>
  <c r="C34" i="24"/>
  <c r="L34" i="24" s="1"/>
  <c r="B34" i="24"/>
  <c r="I34" i="24" s="1"/>
  <c r="L33" i="24"/>
  <c r="F33" i="24"/>
  <c r="I33" i="24" s="1"/>
  <c r="E33" i="24"/>
  <c r="D33" i="24"/>
  <c r="C33" i="24"/>
  <c r="B33" i="24"/>
  <c r="I32" i="24"/>
  <c r="G32" i="24"/>
  <c r="F32" i="24"/>
  <c r="E32" i="24"/>
  <c r="D32" i="24"/>
  <c r="C32" i="24"/>
  <c r="B32" i="24"/>
  <c r="L32" i="24" s="1"/>
  <c r="F31" i="24"/>
  <c r="E31" i="24"/>
  <c r="D31" i="24"/>
  <c r="C31" i="24"/>
  <c r="B31" i="24"/>
  <c r="I30" i="24"/>
  <c r="G30" i="24"/>
  <c r="K30" i="24" s="1"/>
  <c r="F30" i="24"/>
  <c r="E30" i="24"/>
  <c r="D30" i="24"/>
  <c r="C30" i="24"/>
  <c r="B30" i="24"/>
  <c r="L30" i="24" s="1"/>
  <c r="F29" i="24"/>
  <c r="E29" i="24"/>
  <c r="D29" i="24"/>
  <c r="C29" i="24"/>
  <c r="B29" i="24"/>
  <c r="G29" i="24" s="1"/>
  <c r="K29" i="24" s="1"/>
  <c r="F28" i="24"/>
  <c r="E28" i="24"/>
  <c r="D28" i="24"/>
  <c r="C28" i="24"/>
  <c r="B28" i="24"/>
  <c r="L28" i="24" s="1"/>
  <c r="F27" i="24"/>
  <c r="E27" i="24"/>
  <c r="I27" i="24" s="1"/>
  <c r="D27" i="24"/>
  <c r="C27" i="24"/>
  <c r="B27" i="24"/>
  <c r="L27" i="24" s="1"/>
  <c r="I26" i="24"/>
  <c r="F26" i="24"/>
  <c r="E26" i="24"/>
  <c r="D26" i="24"/>
  <c r="C26" i="24"/>
  <c r="B26" i="24"/>
  <c r="G26" i="24" s="1"/>
  <c r="F25" i="24"/>
  <c r="E25" i="24"/>
  <c r="D25" i="24"/>
  <c r="G25" i="24" s="1"/>
  <c r="C25" i="24"/>
  <c r="B25" i="24"/>
  <c r="L25" i="24" s="1"/>
  <c r="L24" i="24"/>
  <c r="I24" i="24"/>
  <c r="F24" i="24"/>
  <c r="E24" i="24"/>
  <c r="D24" i="24"/>
  <c r="C24" i="24"/>
  <c r="B24" i="24"/>
  <c r="G24" i="24" s="1"/>
  <c r="L23" i="24"/>
  <c r="F23" i="24"/>
  <c r="E23" i="24"/>
  <c r="D23" i="24"/>
  <c r="G23" i="24" s="1"/>
  <c r="C23" i="24"/>
  <c r="B23" i="24"/>
  <c r="I23" i="24" s="1"/>
  <c r="F22" i="24"/>
  <c r="E22" i="24"/>
  <c r="G22" i="24" s="1"/>
  <c r="D22" i="24"/>
  <c r="C22" i="24"/>
  <c r="B22" i="24"/>
  <c r="F21" i="24"/>
  <c r="E21" i="24"/>
  <c r="D21" i="24"/>
  <c r="C21" i="24"/>
  <c r="B21" i="24"/>
  <c r="L21" i="24" s="1"/>
  <c r="F20" i="24"/>
  <c r="E20" i="24"/>
  <c r="G20" i="24" s="1"/>
  <c r="H20" i="24" s="1"/>
  <c r="J20" i="24" s="1"/>
  <c r="D20" i="24"/>
  <c r="C20" i="24"/>
  <c r="B20" i="24"/>
  <c r="I20" i="24" s="1"/>
  <c r="F19" i="24"/>
  <c r="E19" i="24"/>
  <c r="D19" i="24"/>
  <c r="C19" i="24"/>
  <c r="B19" i="24"/>
  <c r="F18" i="24"/>
  <c r="E18" i="24"/>
  <c r="D18" i="24"/>
  <c r="C18" i="24"/>
  <c r="B18" i="24"/>
  <c r="L18" i="24" s="1"/>
  <c r="L17" i="24"/>
  <c r="F17" i="24"/>
  <c r="I17" i="24" s="1"/>
  <c r="E17" i="24"/>
  <c r="D17" i="24"/>
  <c r="C17" i="24"/>
  <c r="B17" i="24"/>
  <c r="G17" i="24" s="1"/>
  <c r="I16" i="24"/>
  <c r="G16" i="24"/>
  <c r="F16" i="24"/>
  <c r="E16" i="24"/>
  <c r="D16" i="24"/>
  <c r="C16" i="24"/>
  <c r="B16" i="24"/>
  <c r="L16" i="24" s="1"/>
  <c r="F15" i="24"/>
  <c r="E15" i="24"/>
  <c r="D15" i="24"/>
  <c r="C15" i="24"/>
  <c r="B15" i="24"/>
  <c r="I14" i="24"/>
  <c r="G14" i="24"/>
  <c r="K14" i="24" s="1"/>
  <c r="F14" i="24"/>
  <c r="E14" i="24"/>
  <c r="D14" i="24"/>
  <c r="C14" i="24"/>
  <c r="B14" i="24"/>
  <c r="L14" i="24" s="1"/>
  <c r="F13" i="24"/>
  <c r="E13" i="24"/>
  <c r="D13" i="24"/>
  <c r="C13" i="24"/>
  <c r="B13" i="24"/>
  <c r="G13" i="24" s="1"/>
  <c r="K13" i="24" s="1"/>
  <c r="F12" i="24"/>
  <c r="E12" i="24"/>
  <c r="D12" i="24"/>
  <c r="C12" i="24"/>
  <c r="B12" i="24"/>
  <c r="F11" i="24"/>
  <c r="E11" i="24"/>
  <c r="D11" i="24"/>
  <c r="C11" i="24"/>
  <c r="B11" i="24"/>
  <c r="L11" i="24" s="1"/>
  <c r="I10" i="24"/>
  <c r="F10" i="24"/>
  <c r="E10" i="24"/>
  <c r="D10" i="24"/>
  <c r="C10" i="24"/>
  <c r="B10" i="24"/>
  <c r="G10" i="24" s="1"/>
  <c r="F9" i="24"/>
  <c r="E9" i="24"/>
  <c r="D9" i="24"/>
  <c r="C9" i="24"/>
  <c r="B9" i="24"/>
  <c r="F8" i="24"/>
  <c r="E8" i="24"/>
  <c r="D8" i="24"/>
  <c r="G8" i="24" s="1"/>
  <c r="C8" i="24"/>
  <c r="B8" i="24"/>
  <c r="B6" i="24"/>
  <c r="B4" i="24"/>
  <c r="L32" i="3"/>
  <c r="AD85" i="3"/>
  <c r="G47" i="3" s="1"/>
  <c r="L47" i="3" s="1"/>
  <c r="AD80" i="3"/>
  <c r="AE80" i="3" s="1"/>
  <c r="AD45" i="3"/>
  <c r="AD35" i="3"/>
  <c r="G37" i="3" s="1"/>
  <c r="L37" i="3" s="1"/>
  <c r="AD30" i="3"/>
  <c r="G36" i="3" s="1"/>
  <c r="L36" i="3" s="1"/>
  <c r="AD20" i="3"/>
  <c r="G34" i="3" s="1"/>
  <c r="L34" i="3" s="1"/>
  <c r="G32" i="3"/>
  <c r="AD65" i="3"/>
  <c r="G43" i="3" s="1"/>
  <c r="L43" i="3" s="1"/>
  <c r="AD50" i="3"/>
  <c r="G40" i="3" s="1"/>
  <c r="L40" i="3" s="1"/>
  <c r="AD15" i="3"/>
  <c r="G33" i="3" s="1"/>
  <c r="L33" i="3" s="1"/>
  <c r="M31" i="2"/>
  <c r="M29" i="2"/>
  <c r="M27" i="2"/>
  <c r="C11" i="19"/>
  <c r="B4" i="23"/>
  <c r="B4" i="22"/>
  <c r="B4" i="21"/>
  <c r="B4" i="20"/>
  <c r="F38" i="23"/>
  <c r="E38" i="23"/>
  <c r="D38" i="23"/>
  <c r="C38" i="23"/>
  <c r="B38" i="23"/>
  <c r="F37" i="23"/>
  <c r="E37" i="23"/>
  <c r="D37" i="23"/>
  <c r="C37" i="23"/>
  <c r="B37" i="23"/>
  <c r="F36" i="23"/>
  <c r="E36" i="23"/>
  <c r="D36" i="23"/>
  <c r="C36" i="23"/>
  <c r="B36" i="23"/>
  <c r="F35" i="23"/>
  <c r="L35" i="23" s="1"/>
  <c r="E35" i="23"/>
  <c r="D35" i="23"/>
  <c r="C35" i="23"/>
  <c r="B35" i="23"/>
  <c r="F34" i="23"/>
  <c r="E34" i="23"/>
  <c r="D34" i="23"/>
  <c r="C34" i="23"/>
  <c r="B34" i="23"/>
  <c r="F33" i="23"/>
  <c r="E33" i="23"/>
  <c r="D33" i="23"/>
  <c r="C33" i="23"/>
  <c r="B33" i="23"/>
  <c r="F32" i="23"/>
  <c r="E32" i="23"/>
  <c r="L32" i="23" s="1"/>
  <c r="D32" i="23"/>
  <c r="C32" i="23"/>
  <c r="B32" i="23"/>
  <c r="F31" i="23"/>
  <c r="E31" i="23"/>
  <c r="D31" i="23"/>
  <c r="C31" i="23"/>
  <c r="B31" i="23"/>
  <c r="F30" i="23"/>
  <c r="E30" i="23"/>
  <c r="D30" i="23"/>
  <c r="C30" i="23"/>
  <c r="B30" i="23"/>
  <c r="E29" i="23"/>
  <c r="D29" i="23"/>
  <c r="L29" i="23" s="1"/>
  <c r="C29" i="23"/>
  <c r="B29" i="23"/>
  <c r="E28" i="23"/>
  <c r="D28" i="23"/>
  <c r="C28" i="23"/>
  <c r="B28" i="23"/>
  <c r="F27" i="23"/>
  <c r="E27" i="23"/>
  <c r="D27" i="23"/>
  <c r="C27" i="23"/>
  <c r="B27" i="23"/>
  <c r="E26" i="23"/>
  <c r="D26" i="23"/>
  <c r="C26" i="23"/>
  <c r="B26" i="23"/>
  <c r="E25" i="23"/>
  <c r="D25" i="23"/>
  <c r="C25" i="23"/>
  <c r="B25" i="23"/>
  <c r="E24" i="23"/>
  <c r="D24" i="23"/>
  <c r="C24" i="23"/>
  <c r="B24" i="23"/>
  <c r="E23" i="23"/>
  <c r="D23" i="23"/>
  <c r="C23" i="23"/>
  <c r="B23" i="23"/>
  <c r="E22" i="23"/>
  <c r="D22" i="23"/>
  <c r="C22" i="23"/>
  <c r="B22" i="23"/>
  <c r="E21" i="23"/>
  <c r="D21" i="23"/>
  <c r="C21" i="23"/>
  <c r="B21" i="23"/>
  <c r="E20" i="23"/>
  <c r="D20" i="23"/>
  <c r="C20" i="23"/>
  <c r="B20" i="23"/>
  <c r="E19" i="23"/>
  <c r="D19" i="23"/>
  <c r="C19" i="23"/>
  <c r="B19" i="23"/>
  <c r="E18" i="23"/>
  <c r="D18" i="23"/>
  <c r="C18" i="23"/>
  <c r="B18" i="23"/>
  <c r="E17" i="23"/>
  <c r="D17" i="23"/>
  <c r="C17" i="23"/>
  <c r="B17" i="23"/>
  <c r="E16" i="23"/>
  <c r="D16" i="23"/>
  <c r="C16" i="23"/>
  <c r="B16" i="23"/>
  <c r="E15" i="23"/>
  <c r="D15" i="23"/>
  <c r="C15" i="23"/>
  <c r="B15" i="23"/>
  <c r="E14" i="23"/>
  <c r="D14" i="23"/>
  <c r="C14" i="23"/>
  <c r="B14" i="23"/>
  <c r="E13" i="23"/>
  <c r="D13" i="23"/>
  <c r="C13" i="23"/>
  <c r="B13" i="23"/>
  <c r="E12" i="23"/>
  <c r="D12" i="23"/>
  <c r="C12" i="23"/>
  <c r="B12" i="23"/>
  <c r="E11" i="23"/>
  <c r="D11" i="23"/>
  <c r="C11" i="23"/>
  <c r="B11" i="23"/>
  <c r="E10" i="23"/>
  <c r="D10" i="23"/>
  <c r="C10" i="23"/>
  <c r="L10" i="23" s="1"/>
  <c r="B10" i="23"/>
  <c r="E9" i="23"/>
  <c r="D9" i="23"/>
  <c r="C9" i="23"/>
  <c r="B9" i="23"/>
  <c r="F8" i="23"/>
  <c r="E8" i="23"/>
  <c r="D8" i="23"/>
  <c r="C8" i="23"/>
  <c r="B8" i="23"/>
  <c r="E8" i="22"/>
  <c r="D8" i="22"/>
  <c r="E38" i="22"/>
  <c r="D38" i="22"/>
  <c r="C38" i="22"/>
  <c r="B38" i="22"/>
  <c r="E37" i="22"/>
  <c r="D37" i="22"/>
  <c r="C37" i="22"/>
  <c r="B37" i="22"/>
  <c r="E36" i="22"/>
  <c r="D36" i="22"/>
  <c r="C36" i="22"/>
  <c r="B36" i="22"/>
  <c r="E35" i="22"/>
  <c r="D35" i="22"/>
  <c r="C35" i="22"/>
  <c r="B35" i="22"/>
  <c r="E34" i="22"/>
  <c r="D34" i="22"/>
  <c r="C34" i="22"/>
  <c r="B34" i="22"/>
  <c r="E33" i="22"/>
  <c r="D33" i="22"/>
  <c r="C33" i="22"/>
  <c r="B33" i="22"/>
  <c r="E32" i="22"/>
  <c r="D32" i="22"/>
  <c r="C32" i="22"/>
  <c r="B32" i="22"/>
  <c r="E31" i="22"/>
  <c r="D31" i="22"/>
  <c r="C31" i="22"/>
  <c r="B31" i="22"/>
  <c r="E30" i="22"/>
  <c r="D30" i="22"/>
  <c r="C30" i="22"/>
  <c r="B30" i="22"/>
  <c r="E29" i="22"/>
  <c r="D29" i="22"/>
  <c r="C29" i="22"/>
  <c r="B29" i="22"/>
  <c r="E28" i="22"/>
  <c r="D28" i="22"/>
  <c r="C28" i="22"/>
  <c r="B28" i="22"/>
  <c r="E27" i="22"/>
  <c r="D27" i="22"/>
  <c r="C27" i="22"/>
  <c r="B27" i="22"/>
  <c r="E26" i="22"/>
  <c r="D26" i="22"/>
  <c r="C26" i="22"/>
  <c r="B26" i="22"/>
  <c r="E25" i="22"/>
  <c r="D25" i="22"/>
  <c r="C25" i="22"/>
  <c r="B25" i="22"/>
  <c r="E24" i="22"/>
  <c r="D24" i="22"/>
  <c r="C24" i="22"/>
  <c r="B24" i="22"/>
  <c r="E23" i="22"/>
  <c r="D23" i="22"/>
  <c r="C23" i="22"/>
  <c r="B23" i="22"/>
  <c r="E22" i="22"/>
  <c r="D22" i="22"/>
  <c r="C22" i="22"/>
  <c r="B22" i="22"/>
  <c r="E21" i="22"/>
  <c r="D21" i="22"/>
  <c r="C21" i="22"/>
  <c r="B21" i="22"/>
  <c r="E20" i="22"/>
  <c r="D20" i="22"/>
  <c r="C20" i="22"/>
  <c r="B20" i="22"/>
  <c r="E19" i="22"/>
  <c r="D19" i="22"/>
  <c r="C19" i="22"/>
  <c r="B19" i="22"/>
  <c r="E18" i="22"/>
  <c r="D18" i="22"/>
  <c r="C18" i="22"/>
  <c r="B18" i="22"/>
  <c r="E17" i="22"/>
  <c r="D17" i="22"/>
  <c r="C17" i="22"/>
  <c r="B17" i="22"/>
  <c r="E16" i="22"/>
  <c r="D16" i="22"/>
  <c r="C16" i="22"/>
  <c r="B16" i="22"/>
  <c r="E15" i="22"/>
  <c r="D15" i="22"/>
  <c r="C15" i="22"/>
  <c r="B15" i="22"/>
  <c r="E14" i="22"/>
  <c r="D14" i="22"/>
  <c r="C14" i="22"/>
  <c r="B14" i="22"/>
  <c r="E13" i="22"/>
  <c r="D13" i="22"/>
  <c r="C13" i="22"/>
  <c r="B13" i="22"/>
  <c r="E12" i="22"/>
  <c r="D12" i="22"/>
  <c r="C12" i="22"/>
  <c r="B12" i="22"/>
  <c r="E11" i="22"/>
  <c r="D11" i="22"/>
  <c r="C11" i="22"/>
  <c r="B11" i="22"/>
  <c r="E10" i="22"/>
  <c r="D10" i="22"/>
  <c r="C10" i="22"/>
  <c r="B10" i="22"/>
  <c r="E9" i="22"/>
  <c r="D9" i="22"/>
  <c r="C9" i="22"/>
  <c r="B9" i="22"/>
  <c r="F8" i="22"/>
  <c r="C8" i="22"/>
  <c r="B8" i="22"/>
  <c r="B8" i="21"/>
  <c r="B8" i="20"/>
  <c r="B8" i="19"/>
  <c r="A51" i="23"/>
  <c r="B51" i="23"/>
  <c r="C51" i="23"/>
  <c r="D51" i="23"/>
  <c r="E51" i="23"/>
  <c r="F51" i="23"/>
  <c r="G51" i="23"/>
  <c r="H51" i="23"/>
  <c r="I51" i="23"/>
  <c r="J51" i="23"/>
  <c r="K51" i="23"/>
  <c r="L51" i="23"/>
  <c r="M51" i="23"/>
  <c r="N51" i="23"/>
  <c r="O51" i="23"/>
  <c r="P51" i="23"/>
  <c r="Q51" i="23"/>
  <c r="R51" i="23"/>
  <c r="S51" i="23"/>
  <c r="T51" i="23"/>
  <c r="U51" i="23"/>
  <c r="V51" i="23"/>
  <c r="W51" i="23"/>
  <c r="X51" i="23"/>
  <c r="Y51" i="23"/>
  <c r="Z51" i="23"/>
  <c r="A52" i="23"/>
  <c r="B52" i="23"/>
  <c r="C52" i="23"/>
  <c r="D52" i="23"/>
  <c r="E52" i="23"/>
  <c r="F52" i="23"/>
  <c r="G52" i="23"/>
  <c r="H52" i="23"/>
  <c r="I52" i="23"/>
  <c r="J52" i="23"/>
  <c r="K52" i="23"/>
  <c r="L52" i="23"/>
  <c r="M52" i="23"/>
  <c r="N52" i="23"/>
  <c r="O52" i="23"/>
  <c r="P52" i="23"/>
  <c r="Q52" i="23"/>
  <c r="R52" i="23"/>
  <c r="S52" i="23"/>
  <c r="T52" i="23"/>
  <c r="U52" i="23"/>
  <c r="V52" i="23"/>
  <c r="W52" i="23"/>
  <c r="X52" i="23"/>
  <c r="Y52" i="23"/>
  <c r="Z52" i="23"/>
  <c r="A53" i="23"/>
  <c r="B53" i="23"/>
  <c r="C53" i="23"/>
  <c r="D53" i="23"/>
  <c r="E53" i="23"/>
  <c r="F53" i="23"/>
  <c r="G53" i="23"/>
  <c r="H53" i="23"/>
  <c r="I53" i="23"/>
  <c r="J53" i="23"/>
  <c r="K53" i="23"/>
  <c r="L53" i="23"/>
  <c r="M53" i="23"/>
  <c r="N53" i="23"/>
  <c r="O53" i="23"/>
  <c r="P53" i="23"/>
  <c r="Q53" i="23"/>
  <c r="R53" i="23"/>
  <c r="S53" i="23"/>
  <c r="T53" i="23"/>
  <c r="U53" i="23"/>
  <c r="V53" i="23"/>
  <c r="W53" i="23"/>
  <c r="X53" i="23"/>
  <c r="Y53" i="23"/>
  <c r="Z53" i="23"/>
  <c r="A54" i="23"/>
  <c r="B54" i="23"/>
  <c r="C54" i="23"/>
  <c r="D54" i="23"/>
  <c r="E54" i="23"/>
  <c r="F54" i="23"/>
  <c r="G54" i="23"/>
  <c r="H54" i="23"/>
  <c r="I54" i="23"/>
  <c r="J54" i="23"/>
  <c r="K54" i="23"/>
  <c r="L54" i="23"/>
  <c r="M54" i="23"/>
  <c r="N54" i="23"/>
  <c r="O54" i="23"/>
  <c r="P54" i="23"/>
  <c r="Q54" i="23"/>
  <c r="R54" i="23"/>
  <c r="S54" i="23"/>
  <c r="T54" i="23"/>
  <c r="U54" i="23"/>
  <c r="V54" i="23"/>
  <c r="W54" i="23"/>
  <c r="X54" i="23"/>
  <c r="Y54" i="23"/>
  <c r="Z54" i="23"/>
  <c r="A55" i="23"/>
  <c r="B55" i="23"/>
  <c r="C55" i="23"/>
  <c r="D55" i="23"/>
  <c r="E55" i="23"/>
  <c r="F55" i="23"/>
  <c r="G55" i="23"/>
  <c r="H55" i="23"/>
  <c r="I55" i="23"/>
  <c r="J55" i="23"/>
  <c r="K55" i="23"/>
  <c r="L55" i="23"/>
  <c r="M55" i="23"/>
  <c r="N55" i="23"/>
  <c r="O55" i="23"/>
  <c r="P55" i="23"/>
  <c r="Q55" i="23"/>
  <c r="R55" i="23"/>
  <c r="S55" i="23"/>
  <c r="T55" i="23"/>
  <c r="U55" i="23"/>
  <c r="V55" i="23"/>
  <c r="W55" i="23"/>
  <c r="X55" i="23"/>
  <c r="Y55" i="23"/>
  <c r="Z55" i="23"/>
  <c r="A56" i="23"/>
  <c r="B56" i="23"/>
  <c r="C56" i="23"/>
  <c r="D56" i="23"/>
  <c r="E56" i="23"/>
  <c r="F56" i="23"/>
  <c r="G56" i="23"/>
  <c r="H56" i="23"/>
  <c r="I56" i="23"/>
  <c r="J56" i="23"/>
  <c r="K56" i="23"/>
  <c r="L56" i="23"/>
  <c r="M56" i="23"/>
  <c r="N56" i="23"/>
  <c r="O56" i="23"/>
  <c r="P56" i="23"/>
  <c r="Q56" i="23"/>
  <c r="R56" i="23"/>
  <c r="S56" i="23"/>
  <c r="T56" i="23"/>
  <c r="U56" i="23"/>
  <c r="V56" i="23"/>
  <c r="W56" i="23"/>
  <c r="X56" i="23"/>
  <c r="Y56" i="23"/>
  <c r="Z56" i="23"/>
  <c r="A57" i="23"/>
  <c r="B57" i="23"/>
  <c r="C57" i="23"/>
  <c r="D57" i="23"/>
  <c r="E57" i="23"/>
  <c r="F57" i="23"/>
  <c r="G57" i="23"/>
  <c r="H57" i="23"/>
  <c r="I57" i="23"/>
  <c r="J57" i="23"/>
  <c r="K57" i="23"/>
  <c r="L57" i="23"/>
  <c r="M57" i="23"/>
  <c r="N57" i="23"/>
  <c r="O57" i="23"/>
  <c r="P57" i="23"/>
  <c r="Q57" i="23"/>
  <c r="R57" i="23"/>
  <c r="S57" i="23"/>
  <c r="T57" i="23"/>
  <c r="U57" i="23"/>
  <c r="V57" i="23"/>
  <c r="W57" i="23"/>
  <c r="X57" i="23"/>
  <c r="Y57" i="23"/>
  <c r="Z57" i="23"/>
  <c r="A58" i="23"/>
  <c r="B58" i="23"/>
  <c r="C58" i="23"/>
  <c r="D58" i="23"/>
  <c r="E58" i="23"/>
  <c r="F58" i="23"/>
  <c r="G58" i="23"/>
  <c r="H58" i="23"/>
  <c r="I58" i="23"/>
  <c r="J58" i="23"/>
  <c r="K58" i="23"/>
  <c r="L58" i="23"/>
  <c r="M58" i="23"/>
  <c r="N58" i="23"/>
  <c r="O58" i="23"/>
  <c r="P58" i="23"/>
  <c r="Q58" i="23"/>
  <c r="R58" i="23"/>
  <c r="S58" i="23"/>
  <c r="T58" i="23"/>
  <c r="U58" i="23"/>
  <c r="V58" i="23"/>
  <c r="W58" i="23"/>
  <c r="X58" i="23"/>
  <c r="Y58" i="23"/>
  <c r="Z58" i="23"/>
  <c r="A59" i="23"/>
  <c r="B59" i="23"/>
  <c r="C59" i="23"/>
  <c r="D59" i="23"/>
  <c r="E59" i="23"/>
  <c r="F59" i="23"/>
  <c r="G59" i="23"/>
  <c r="H59" i="23"/>
  <c r="I59" i="23"/>
  <c r="J59" i="23"/>
  <c r="K59" i="23"/>
  <c r="L59" i="23"/>
  <c r="M59" i="23"/>
  <c r="N59" i="23"/>
  <c r="O59" i="23"/>
  <c r="P59" i="23"/>
  <c r="Q59" i="23"/>
  <c r="R59" i="23"/>
  <c r="S59" i="23"/>
  <c r="T59" i="23"/>
  <c r="U59" i="23"/>
  <c r="V59" i="23"/>
  <c r="W59" i="23"/>
  <c r="X59" i="23"/>
  <c r="Y59" i="23"/>
  <c r="Z59" i="23"/>
  <c r="A60" i="23"/>
  <c r="B60" i="23"/>
  <c r="C60" i="23"/>
  <c r="D60" i="23"/>
  <c r="E60" i="23"/>
  <c r="F60" i="23"/>
  <c r="G60" i="23"/>
  <c r="H60" i="23"/>
  <c r="I60" i="23"/>
  <c r="J60" i="23"/>
  <c r="K60" i="23"/>
  <c r="L60" i="23"/>
  <c r="M60" i="23"/>
  <c r="N60" i="23"/>
  <c r="O60" i="23"/>
  <c r="P60" i="23"/>
  <c r="Q60" i="23"/>
  <c r="R60" i="23"/>
  <c r="S60" i="23"/>
  <c r="T60" i="23"/>
  <c r="U60" i="23"/>
  <c r="V60" i="23"/>
  <c r="W60" i="23"/>
  <c r="X60" i="23"/>
  <c r="Y60" i="23"/>
  <c r="Z60" i="23"/>
  <c r="A61" i="23"/>
  <c r="B61" i="23"/>
  <c r="C61" i="23"/>
  <c r="D61" i="23"/>
  <c r="E61" i="23"/>
  <c r="F61" i="23"/>
  <c r="G61" i="23"/>
  <c r="H61" i="23"/>
  <c r="I61" i="23"/>
  <c r="J61" i="23"/>
  <c r="K61" i="23"/>
  <c r="L61" i="23"/>
  <c r="M61" i="23"/>
  <c r="N61" i="23"/>
  <c r="O61" i="23"/>
  <c r="P61" i="23"/>
  <c r="Q61" i="23"/>
  <c r="R61" i="23"/>
  <c r="S61" i="23"/>
  <c r="T61" i="23"/>
  <c r="U61" i="23"/>
  <c r="V61" i="23"/>
  <c r="W61" i="23"/>
  <c r="X61" i="23"/>
  <c r="Y61" i="23"/>
  <c r="Z61" i="23"/>
  <c r="A62" i="23"/>
  <c r="B62" i="23"/>
  <c r="C62" i="23"/>
  <c r="D62" i="23"/>
  <c r="E62" i="23"/>
  <c r="F62" i="23"/>
  <c r="G62" i="23"/>
  <c r="H62" i="23"/>
  <c r="I62" i="23"/>
  <c r="J62" i="23"/>
  <c r="K62" i="23"/>
  <c r="L62" i="23"/>
  <c r="M62" i="23"/>
  <c r="N62" i="23"/>
  <c r="O62" i="23"/>
  <c r="P62" i="23"/>
  <c r="Q62" i="23"/>
  <c r="R62" i="23"/>
  <c r="S62" i="23"/>
  <c r="T62" i="23"/>
  <c r="U62" i="23"/>
  <c r="V62" i="23"/>
  <c r="W62" i="23"/>
  <c r="X62" i="23"/>
  <c r="Y62" i="23"/>
  <c r="Z62" i="23"/>
  <c r="A63" i="23"/>
  <c r="B63" i="23"/>
  <c r="C63" i="23"/>
  <c r="D63" i="23"/>
  <c r="E63" i="23"/>
  <c r="F63" i="23"/>
  <c r="G63" i="23"/>
  <c r="H63" i="23"/>
  <c r="I63" i="23"/>
  <c r="J63" i="23"/>
  <c r="K63" i="23"/>
  <c r="L63" i="23"/>
  <c r="M63" i="23"/>
  <c r="N63" i="23"/>
  <c r="O63" i="23"/>
  <c r="P63" i="23"/>
  <c r="Q63" i="23"/>
  <c r="R63" i="23"/>
  <c r="S63" i="23"/>
  <c r="T63" i="23"/>
  <c r="U63" i="23"/>
  <c r="V63" i="23"/>
  <c r="W63" i="23"/>
  <c r="X63" i="23"/>
  <c r="Y63" i="23"/>
  <c r="Z63" i="23"/>
  <c r="A64" i="23"/>
  <c r="B64" i="23"/>
  <c r="C64" i="23"/>
  <c r="D64" i="23"/>
  <c r="E64" i="23"/>
  <c r="F64" i="23"/>
  <c r="G64" i="23"/>
  <c r="H64" i="23"/>
  <c r="I64" i="23"/>
  <c r="J64" i="23"/>
  <c r="K64" i="23"/>
  <c r="L64" i="23"/>
  <c r="M64" i="23"/>
  <c r="N64" i="23"/>
  <c r="O64" i="23"/>
  <c r="P64" i="23"/>
  <c r="Q64" i="23"/>
  <c r="R64" i="23"/>
  <c r="S64" i="23"/>
  <c r="T64" i="23"/>
  <c r="U64" i="23"/>
  <c r="V64" i="23"/>
  <c r="W64" i="23"/>
  <c r="X64" i="23"/>
  <c r="Y64" i="23"/>
  <c r="Z64" i="23"/>
  <c r="A65" i="23"/>
  <c r="B65" i="23"/>
  <c r="C65" i="23"/>
  <c r="D65" i="23"/>
  <c r="E65" i="23"/>
  <c r="F65" i="23"/>
  <c r="G65" i="23"/>
  <c r="H65" i="23"/>
  <c r="I65" i="23"/>
  <c r="J65" i="23"/>
  <c r="K65" i="23"/>
  <c r="L65" i="23"/>
  <c r="M65" i="23"/>
  <c r="N65" i="23"/>
  <c r="O65" i="23"/>
  <c r="P65" i="23"/>
  <c r="Q65" i="23"/>
  <c r="R65" i="23"/>
  <c r="S65" i="23"/>
  <c r="T65" i="23"/>
  <c r="U65" i="23"/>
  <c r="V65" i="23"/>
  <c r="W65" i="23"/>
  <c r="X65" i="23"/>
  <c r="Y65" i="23"/>
  <c r="Z65" i="23"/>
  <c r="A66" i="23"/>
  <c r="B66" i="23"/>
  <c r="C66" i="23"/>
  <c r="D66" i="23"/>
  <c r="E66" i="23"/>
  <c r="F66" i="23"/>
  <c r="G66" i="23"/>
  <c r="H66" i="23"/>
  <c r="I66" i="23"/>
  <c r="J66" i="23"/>
  <c r="K66" i="23"/>
  <c r="L66" i="23"/>
  <c r="M66" i="23"/>
  <c r="N66" i="23"/>
  <c r="O66" i="23"/>
  <c r="P66" i="23"/>
  <c r="Q66" i="23"/>
  <c r="R66" i="23"/>
  <c r="S66" i="23"/>
  <c r="T66" i="23"/>
  <c r="U66" i="23"/>
  <c r="V66" i="23"/>
  <c r="W66" i="23"/>
  <c r="X66" i="23"/>
  <c r="Y66" i="23"/>
  <c r="Z66" i="23"/>
  <c r="A67" i="23"/>
  <c r="B67" i="23"/>
  <c r="C67" i="23"/>
  <c r="D67" i="23"/>
  <c r="E67" i="23"/>
  <c r="F67" i="23"/>
  <c r="G67" i="23"/>
  <c r="H67" i="23"/>
  <c r="I67" i="23"/>
  <c r="J67" i="23"/>
  <c r="K67" i="23"/>
  <c r="L67" i="23"/>
  <c r="M67" i="23"/>
  <c r="N67" i="23"/>
  <c r="O67" i="23"/>
  <c r="P67" i="23"/>
  <c r="Q67" i="23"/>
  <c r="R67" i="23"/>
  <c r="S67" i="23"/>
  <c r="T67" i="23"/>
  <c r="U67" i="23"/>
  <c r="V67" i="23"/>
  <c r="W67" i="23"/>
  <c r="X67" i="23"/>
  <c r="Y67" i="23"/>
  <c r="Z67" i="23"/>
  <c r="A68" i="23"/>
  <c r="B68" i="23"/>
  <c r="C68" i="23"/>
  <c r="D68" i="23"/>
  <c r="E68" i="23"/>
  <c r="F68" i="23"/>
  <c r="G68" i="23"/>
  <c r="H68" i="23"/>
  <c r="I68" i="23"/>
  <c r="J68" i="23"/>
  <c r="K68" i="23"/>
  <c r="L68" i="23"/>
  <c r="M68" i="23"/>
  <c r="N68" i="23"/>
  <c r="O68" i="23"/>
  <c r="P68" i="23"/>
  <c r="Q68" i="23"/>
  <c r="R68" i="23"/>
  <c r="S68" i="23"/>
  <c r="T68" i="23"/>
  <c r="U68" i="23"/>
  <c r="V68" i="23"/>
  <c r="W68" i="23"/>
  <c r="X68" i="23"/>
  <c r="Y68" i="23"/>
  <c r="Z68" i="23"/>
  <c r="A69" i="23"/>
  <c r="B69" i="23"/>
  <c r="C69" i="23"/>
  <c r="D69" i="23"/>
  <c r="E69" i="23"/>
  <c r="F69" i="23"/>
  <c r="G69" i="23"/>
  <c r="H69" i="23"/>
  <c r="I69" i="23"/>
  <c r="J69" i="23"/>
  <c r="K69" i="23"/>
  <c r="L69" i="23"/>
  <c r="M69" i="23"/>
  <c r="N69" i="23"/>
  <c r="O69" i="23"/>
  <c r="P69" i="23"/>
  <c r="Q69" i="23"/>
  <c r="R69" i="23"/>
  <c r="S69" i="23"/>
  <c r="T69" i="23"/>
  <c r="U69" i="23"/>
  <c r="V69" i="23"/>
  <c r="W69" i="23"/>
  <c r="X69" i="23"/>
  <c r="Y69" i="23"/>
  <c r="Z69" i="23"/>
  <c r="A70" i="23"/>
  <c r="B70" i="23"/>
  <c r="C70" i="23"/>
  <c r="D70" i="23"/>
  <c r="E70" i="23"/>
  <c r="F70" i="23"/>
  <c r="G70" i="23"/>
  <c r="H70" i="23"/>
  <c r="I70" i="23"/>
  <c r="J70" i="23"/>
  <c r="K70" i="23"/>
  <c r="L70" i="23"/>
  <c r="M70" i="23"/>
  <c r="N70" i="23"/>
  <c r="O70" i="23"/>
  <c r="P70" i="23"/>
  <c r="Q70" i="23"/>
  <c r="R70" i="23"/>
  <c r="S70" i="23"/>
  <c r="T70" i="23"/>
  <c r="U70" i="23"/>
  <c r="V70" i="23"/>
  <c r="W70" i="23"/>
  <c r="X70" i="23"/>
  <c r="Y70" i="23"/>
  <c r="Z70" i="23"/>
  <c r="A71" i="23"/>
  <c r="B71" i="23"/>
  <c r="C71" i="23"/>
  <c r="D71" i="23"/>
  <c r="E71" i="23"/>
  <c r="F71" i="23"/>
  <c r="G71" i="23"/>
  <c r="H71" i="23"/>
  <c r="I71" i="23"/>
  <c r="J71" i="23"/>
  <c r="K71" i="23"/>
  <c r="L71" i="23"/>
  <c r="M71" i="23"/>
  <c r="N71" i="23"/>
  <c r="O71" i="23"/>
  <c r="P71" i="23"/>
  <c r="Q71" i="23"/>
  <c r="R71" i="23"/>
  <c r="S71" i="23"/>
  <c r="T71" i="23"/>
  <c r="U71" i="23"/>
  <c r="V71" i="23"/>
  <c r="W71" i="23"/>
  <c r="X71" i="23"/>
  <c r="Y71" i="23"/>
  <c r="Z71" i="23"/>
  <c r="A72" i="23"/>
  <c r="B72" i="23"/>
  <c r="C72" i="23"/>
  <c r="D72" i="23"/>
  <c r="E72" i="23"/>
  <c r="F72" i="23"/>
  <c r="G72" i="23"/>
  <c r="H72" i="23"/>
  <c r="I72" i="23"/>
  <c r="J72" i="23"/>
  <c r="K72" i="23"/>
  <c r="L72" i="23"/>
  <c r="M72" i="23"/>
  <c r="N72" i="23"/>
  <c r="O72" i="23"/>
  <c r="P72" i="23"/>
  <c r="Q72" i="23"/>
  <c r="R72" i="23"/>
  <c r="S72" i="23"/>
  <c r="T72" i="23"/>
  <c r="U72" i="23"/>
  <c r="V72" i="23"/>
  <c r="W72" i="23"/>
  <c r="X72" i="23"/>
  <c r="Y72" i="23"/>
  <c r="Z72" i="23"/>
  <c r="A73" i="23"/>
  <c r="B73" i="23"/>
  <c r="C73" i="23"/>
  <c r="D73" i="23"/>
  <c r="E73" i="23"/>
  <c r="F73" i="23"/>
  <c r="G73" i="23"/>
  <c r="H73" i="23"/>
  <c r="I73" i="23"/>
  <c r="J73" i="23"/>
  <c r="K73" i="23"/>
  <c r="L73" i="23"/>
  <c r="M73" i="23"/>
  <c r="N73" i="23"/>
  <c r="O73" i="23"/>
  <c r="P73" i="23"/>
  <c r="Q73" i="23"/>
  <c r="R73" i="23"/>
  <c r="S73" i="23"/>
  <c r="T73" i="23"/>
  <c r="U73" i="23"/>
  <c r="V73" i="23"/>
  <c r="W73" i="23"/>
  <c r="X73" i="23"/>
  <c r="Y73" i="23"/>
  <c r="Z73" i="23"/>
  <c r="A74" i="23"/>
  <c r="B74" i="23"/>
  <c r="C74" i="23"/>
  <c r="D74" i="23"/>
  <c r="E74" i="23"/>
  <c r="F74" i="23"/>
  <c r="G74" i="23"/>
  <c r="H74" i="23"/>
  <c r="I74" i="23"/>
  <c r="J74" i="23"/>
  <c r="K74" i="23"/>
  <c r="L74" i="23"/>
  <c r="M74" i="23"/>
  <c r="N74" i="23"/>
  <c r="O74" i="23"/>
  <c r="P74" i="23"/>
  <c r="Q74" i="23"/>
  <c r="R74" i="23"/>
  <c r="S74" i="23"/>
  <c r="T74" i="23"/>
  <c r="U74" i="23"/>
  <c r="V74" i="23"/>
  <c r="W74" i="23"/>
  <c r="X74" i="23"/>
  <c r="Y74" i="23"/>
  <c r="Z74" i="23"/>
  <c r="A75" i="23"/>
  <c r="B75" i="23"/>
  <c r="C75" i="23"/>
  <c r="D75" i="23"/>
  <c r="E75" i="23"/>
  <c r="F75" i="23"/>
  <c r="G75" i="23"/>
  <c r="H75" i="23"/>
  <c r="I75" i="23"/>
  <c r="J75" i="23"/>
  <c r="K75" i="23"/>
  <c r="L75" i="23"/>
  <c r="M75" i="23"/>
  <c r="N75" i="23"/>
  <c r="O75" i="23"/>
  <c r="P75" i="23"/>
  <c r="Q75" i="23"/>
  <c r="R75" i="23"/>
  <c r="S75" i="23"/>
  <c r="T75" i="23"/>
  <c r="U75" i="23"/>
  <c r="V75" i="23"/>
  <c r="W75" i="23"/>
  <c r="X75" i="23"/>
  <c r="Y75" i="23"/>
  <c r="Z75" i="23"/>
  <c r="A76" i="23"/>
  <c r="B76" i="23"/>
  <c r="C76" i="23"/>
  <c r="D76" i="23"/>
  <c r="E76" i="23"/>
  <c r="F76" i="23"/>
  <c r="G76" i="23"/>
  <c r="H76" i="23"/>
  <c r="I76" i="23"/>
  <c r="J76" i="23"/>
  <c r="K76" i="23"/>
  <c r="L76" i="23"/>
  <c r="M76" i="23"/>
  <c r="N76" i="23"/>
  <c r="O76" i="23"/>
  <c r="P76" i="23"/>
  <c r="Q76" i="23"/>
  <c r="R76" i="23"/>
  <c r="S76" i="23"/>
  <c r="T76" i="23"/>
  <c r="U76" i="23"/>
  <c r="V76" i="23"/>
  <c r="W76" i="23"/>
  <c r="X76" i="23"/>
  <c r="Y76" i="23"/>
  <c r="Z76" i="23"/>
  <c r="A77" i="23"/>
  <c r="B77" i="23"/>
  <c r="C77" i="23"/>
  <c r="D77" i="23"/>
  <c r="E77" i="23"/>
  <c r="F77" i="23"/>
  <c r="G77" i="23"/>
  <c r="H77" i="23"/>
  <c r="I77" i="23"/>
  <c r="J77" i="23"/>
  <c r="K77" i="23"/>
  <c r="L77" i="23"/>
  <c r="M77" i="23"/>
  <c r="N77" i="23"/>
  <c r="O77" i="23"/>
  <c r="P77" i="23"/>
  <c r="Q77" i="23"/>
  <c r="R77" i="23"/>
  <c r="S77" i="23"/>
  <c r="T77" i="23"/>
  <c r="U77" i="23"/>
  <c r="V77" i="23"/>
  <c r="W77" i="23"/>
  <c r="X77" i="23"/>
  <c r="Y77" i="23"/>
  <c r="Z77" i="23"/>
  <c r="A78" i="23"/>
  <c r="B78" i="23"/>
  <c r="C78" i="23"/>
  <c r="D78" i="23"/>
  <c r="E78" i="23"/>
  <c r="F78" i="23"/>
  <c r="G78" i="23"/>
  <c r="H78" i="23"/>
  <c r="I78" i="23"/>
  <c r="J78" i="23"/>
  <c r="K78" i="23"/>
  <c r="L78" i="23"/>
  <c r="M78" i="23"/>
  <c r="N78" i="23"/>
  <c r="O78" i="23"/>
  <c r="P78" i="23"/>
  <c r="Q78" i="23"/>
  <c r="R78" i="23"/>
  <c r="S78" i="23"/>
  <c r="T78" i="23"/>
  <c r="U78" i="23"/>
  <c r="V78" i="23"/>
  <c r="W78" i="23"/>
  <c r="X78" i="23"/>
  <c r="Y78" i="23"/>
  <c r="Z78" i="23"/>
  <c r="A79" i="23"/>
  <c r="B79" i="23"/>
  <c r="C79" i="23"/>
  <c r="D79" i="23"/>
  <c r="E79" i="23"/>
  <c r="F79" i="23"/>
  <c r="G79" i="23"/>
  <c r="H79" i="23"/>
  <c r="I79" i="23"/>
  <c r="J79" i="23"/>
  <c r="K79" i="23"/>
  <c r="L79" i="23"/>
  <c r="M79" i="23"/>
  <c r="N79" i="23"/>
  <c r="O79" i="23"/>
  <c r="P79" i="23"/>
  <c r="Q79" i="23"/>
  <c r="R79" i="23"/>
  <c r="S79" i="23"/>
  <c r="T79" i="23"/>
  <c r="U79" i="23"/>
  <c r="V79" i="23"/>
  <c r="W79" i="23"/>
  <c r="X79" i="23"/>
  <c r="Y79" i="23"/>
  <c r="Z79" i="23"/>
  <c r="A80" i="23"/>
  <c r="B80" i="23"/>
  <c r="C80" i="23"/>
  <c r="D80" i="23"/>
  <c r="E80" i="23"/>
  <c r="F80" i="23"/>
  <c r="G80" i="23"/>
  <c r="H80" i="23"/>
  <c r="I80" i="23"/>
  <c r="J80" i="23"/>
  <c r="K80" i="23"/>
  <c r="L80" i="23"/>
  <c r="M80" i="23"/>
  <c r="N80" i="23"/>
  <c r="O80" i="23"/>
  <c r="P80" i="23"/>
  <c r="Q80" i="23"/>
  <c r="R80" i="23"/>
  <c r="S80" i="23"/>
  <c r="T80" i="23"/>
  <c r="U80" i="23"/>
  <c r="V80" i="23"/>
  <c r="W80" i="23"/>
  <c r="X80" i="23"/>
  <c r="Y80" i="23"/>
  <c r="Z80" i="23"/>
  <c r="A81" i="23"/>
  <c r="B81" i="23"/>
  <c r="C81" i="23"/>
  <c r="D81" i="23"/>
  <c r="E81" i="23"/>
  <c r="F81" i="23"/>
  <c r="G81" i="23"/>
  <c r="H81" i="23"/>
  <c r="I81" i="23"/>
  <c r="J81" i="23"/>
  <c r="K81" i="23"/>
  <c r="L81" i="23"/>
  <c r="M81" i="23"/>
  <c r="N81" i="23"/>
  <c r="O81" i="23"/>
  <c r="P81" i="23"/>
  <c r="Q81" i="23"/>
  <c r="R81" i="23"/>
  <c r="S81" i="23"/>
  <c r="T81" i="23"/>
  <c r="U81" i="23"/>
  <c r="V81" i="23"/>
  <c r="W81" i="23"/>
  <c r="X81" i="23"/>
  <c r="Y81" i="23"/>
  <c r="Z81" i="23"/>
  <c r="A82" i="23"/>
  <c r="B82" i="23"/>
  <c r="C82" i="23"/>
  <c r="D82" i="23"/>
  <c r="E82" i="23"/>
  <c r="F82" i="23"/>
  <c r="G82" i="23"/>
  <c r="H82" i="23"/>
  <c r="I82" i="23"/>
  <c r="J82" i="23"/>
  <c r="K82" i="23"/>
  <c r="L82" i="23"/>
  <c r="M82" i="23"/>
  <c r="N82" i="23"/>
  <c r="O82" i="23"/>
  <c r="P82" i="23"/>
  <c r="Q82" i="23"/>
  <c r="R82" i="23"/>
  <c r="S82" i="23"/>
  <c r="T82" i="23"/>
  <c r="U82" i="23"/>
  <c r="V82" i="23"/>
  <c r="W82" i="23"/>
  <c r="X82" i="23"/>
  <c r="Y82" i="23"/>
  <c r="Z82" i="23"/>
  <c r="B51" i="22"/>
  <c r="C51" i="22"/>
  <c r="D51" i="22"/>
  <c r="E51" i="22"/>
  <c r="F51" i="22"/>
  <c r="G51" i="22"/>
  <c r="H51" i="22"/>
  <c r="I51" i="22"/>
  <c r="J51" i="22"/>
  <c r="K51" i="22"/>
  <c r="L51" i="22"/>
  <c r="M51" i="22"/>
  <c r="N51" i="22"/>
  <c r="O51" i="22"/>
  <c r="P51" i="22"/>
  <c r="Q51" i="22"/>
  <c r="R51" i="22"/>
  <c r="S51" i="22"/>
  <c r="T51" i="22"/>
  <c r="U51" i="22"/>
  <c r="V51" i="22"/>
  <c r="W51" i="22"/>
  <c r="X51" i="22"/>
  <c r="Y51" i="22"/>
  <c r="Z51" i="22"/>
  <c r="AA51" i="22"/>
  <c r="B52" i="22"/>
  <c r="C52" i="22"/>
  <c r="D52" i="22"/>
  <c r="E52" i="22"/>
  <c r="F52" i="22"/>
  <c r="G52" i="22"/>
  <c r="H52" i="22"/>
  <c r="I52" i="22"/>
  <c r="J52" i="22"/>
  <c r="K52" i="22"/>
  <c r="L52" i="22"/>
  <c r="M52" i="22"/>
  <c r="N52" i="22"/>
  <c r="O52" i="22"/>
  <c r="P52" i="22"/>
  <c r="Q52" i="22"/>
  <c r="R52" i="22"/>
  <c r="S52" i="22"/>
  <c r="T52" i="22"/>
  <c r="U52" i="22"/>
  <c r="V52" i="22"/>
  <c r="W52" i="22"/>
  <c r="X52" i="22"/>
  <c r="Y52" i="22"/>
  <c r="Z52" i="22"/>
  <c r="AA52" i="22"/>
  <c r="B53" i="22"/>
  <c r="C53" i="22"/>
  <c r="D53" i="22"/>
  <c r="E53" i="22"/>
  <c r="F53" i="22"/>
  <c r="G53" i="22"/>
  <c r="H53" i="22"/>
  <c r="I53" i="22"/>
  <c r="J53" i="22"/>
  <c r="K53" i="22"/>
  <c r="L53" i="22"/>
  <c r="M53" i="22"/>
  <c r="N53" i="22"/>
  <c r="O53" i="22"/>
  <c r="P53" i="22"/>
  <c r="Q53" i="22"/>
  <c r="R53" i="22"/>
  <c r="S53" i="22"/>
  <c r="T53" i="22"/>
  <c r="U53" i="22"/>
  <c r="V53" i="22"/>
  <c r="W53" i="22"/>
  <c r="X53" i="22"/>
  <c r="Y53" i="22"/>
  <c r="Z53" i="22"/>
  <c r="AA53" i="22"/>
  <c r="B54" i="22"/>
  <c r="C54" i="22"/>
  <c r="D54" i="22"/>
  <c r="E54" i="22"/>
  <c r="F54" i="22"/>
  <c r="G54" i="22"/>
  <c r="H54" i="22"/>
  <c r="I54" i="22"/>
  <c r="J54" i="22"/>
  <c r="K54" i="22"/>
  <c r="L54" i="22"/>
  <c r="M54" i="22"/>
  <c r="N54" i="22"/>
  <c r="O54" i="22"/>
  <c r="P54" i="22"/>
  <c r="Q54" i="22"/>
  <c r="R54" i="22"/>
  <c r="S54" i="22"/>
  <c r="T54" i="22"/>
  <c r="U54" i="22"/>
  <c r="V54" i="22"/>
  <c r="W54" i="22"/>
  <c r="X54" i="22"/>
  <c r="Y54" i="22"/>
  <c r="Z54" i="22"/>
  <c r="AA54" i="22"/>
  <c r="B55" i="22"/>
  <c r="C55" i="22"/>
  <c r="D55" i="22"/>
  <c r="E55" i="22"/>
  <c r="F55" i="22"/>
  <c r="G55" i="22"/>
  <c r="H55" i="22"/>
  <c r="I55" i="22"/>
  <c r="J55" i="22"/>
  <c r="K55" i="22"/>
  <c r="L55" i="22"/>
  <c r="M55" i="22"/>
  <c r="N55" i="22"/>
  <c r="O55" i="22"/>
  <c r="P55" i="22"/>
  <c r="Q55" i="22"/>
  <c r="R55" i="22"/>
  <c r="S55" i="22"/>
  <c r="T55" i="22"/>
  <c r="U55" i="22"/>
  <c r="V55" i="22"/>
  <c r="W55" i="22"/>
  <c r="X55" i="22"/>
  <c r="Y55" i="22"/>
  <c r="Z55" i="22"/>
  <c r="AA55" i="22"/>
  <c r="B56" i="22"/>
  <c r="C56" i="22"/>
  <c r="D56" i="22"/>
  <c r="E56" i="22"/>
  <c r="F56" i="22"/>
  <c r="G56" i="22"/>
  <c r="H56" i="22"/>
  <c r="I56" i="22"/>
  <c r="J56" i="22"/>
  <c r="K56" i="22"/>
  <c r="L56" i="22"/>
  <c r="M56" i="22"/>
  <c r="N56" i="22"/>
  <c r="O56" i="22"/>
  <c r="P56" i="22"/>
  <c r="Q56" i="22"/>
  <c r="R56" i="22"/>
  <c r="S56" i="22"/>
  <c r="T56" i="22"/>
  <c r="U56" i="22"/>
  <c r="V56" i="22"/>
  <c r="W56" i="22"/>
  <c r="X56" i="22"/>
  <c r="Y56" i="22"/>
  <c r="Z56" i="22"/>
  <c r="AA56" i="22"/>
  <c r="B57" i="22"/>
  <c r="C57" i="22"/>
  <c r="D57" i="22"/>
  <c r="E57" i="22"/>
  <c r="F57" i="22"/>
  <c r="G57" i="22"/>
  <c r="H57" i="22"/>
  <c r="I57" i="22"/>
  <c r="J57" i="22"/>
  <c r="K57" i="22"/>
  <c r="L57" i="22"/>
  <c r="M57" i="22"/>
  <c r="N57" i="22"/>
  <c r="O57" i="22"/>
  <c r="P57" i="22"/>
  <c r="Q57" i="22"/>
  <c r="R57" i="22"/>
  <c r="S57" i="22"/>
  <c r="T57" i="22"/>
  <c r="U57" i="22"/>
  <c r="V57" i="22"/>
  <c r="W57" i="22"/>
  <c r="X57" i="22"/>
  <c r="Y57" i="22"/>
  <c r="Z57" i="22"/>
  <c r="AA57" i="22"/>
  <c r="B58" i="22"/>
  <c r="C58" i="22"/>
  <c r="D58" i="22"/>
  <c r="E58" i="22"/>
  <c r="F58" i="22"/>
  <c r="G58" i="22"/>
  <c r="H58" i="22"/>
  <c r="I58" i="22"/>
  <c r="J58" i="22"/>
  <c r="K58" i="22"/>
  <c r="L58" i="22"/>
  <c r="M58" i="22"/>
  <c r="N58" i="22"/>
  <c r="O58" i="22"/>
  <c r="P58" i="22"/>
  <c r="Q58" i="22"/>
  <c r="R58" i="22"/>
  <c r="S58" i="22"/>
  <c r="T58" i="22"/>
  <c r="U58" i="22"/>
  <c r="V58" i="22"/>
  <c r="W58" i="22"/>
  <c r="X58" i="22"/>
  <c r="Y58" i="22"/>
  <c r="Z58" i="22"/>
  <c r="AA58" i="22"/>
  <c r="B59" i="22"/>
  <c r="C59" i="22"/>
  <c r="D59" i="22"/>
  <c r="E59" i="22"/>
  <c r="F59" i="22"/>
  <c r="G59" i="22"/>
  <c r="H59" i="22"/>
  <c r="I59" i="22"/>
  <c r="J59" i="22"/>
  <c r="K59" i="22"/>
  <c r="L59" i="22"/>
  <c r="M59" i="22"/>
  <c r="N59" i="22"/>
  <c r="O59" i="22"/>
  <c r="P59" i="22"/>
  <c r="Q59" i="22"/>
  <c r="R59" i="22"/>
  <c r="S59" i="22"/>
  <c r="T59" i="22"/>
  <c r="U59" i="22"/>
  <c r="V59" i="22"/>
  <c r="W59" i="22"/>
  <c r="X59" i="22"/>
  <c r="Y59" i="22"/>
  <c r="Z59" i="22"/>
  <c r="AA59" i="22"/>
  <c r="B60" i="22"/>
  <c r="C60" i="22"/>
  <c r="D60" i="22"/>
  <c r="E60" i="22"/>
  <c r="F60" i="22"/>
  <c r="G60" i="22"/>
  <c r="H60" i="22"/>
  <c r="I60" i="22"/>
  <c r="J60" i="22"/>
  <c r="K60" i="22"/>
  <c r="L60" i="22"/>
  <c r="M60" i="22"/>
  <c r="N60" i="22"/>
  <c r="O60" i="22"/>
  <c r="P60" i="22"/>
  <c r="Q60" i="22"/>
  <c r="R60" i="22"/>
  <c r="S60" i="22"/>
  <c r="T60" i="22"/>
  <c r="U60" i="22"/>
  <c r="V60" i="22"/>
  <c r="W60" i="22"/>
  <c r="X60" i="22"/>
  <c r="Y60" i="22"/>
  <c r="Z60" i="22"/>
  <c r="AA60" i="22"/>
  <c r="B61" i="22"/>
  <c r="C61" i="22"/>
  <c r="D61" i="22"/>
  <c r="E61" i="22"/>
  <c r="F61" i="22"/>
  <c r="G61" i="22"/>
  <c r="H61" i="22"/>
  <c r="I61" i="22"/>
  <c r="J61" i="22"/>
  <c r="K61" i="22"/>
  <c r="L61" i="22"/>
  <c r="M61" i="22"/>
  <c r="N61" i="22"/>
  <c r="O61" i="22"/>
  <c r="P61" i="22"/>
  <c r="Q61" i="22"/>
  <c r="R61" i="22"/>
  <c r="S61" i="22"/>
  <c r="T61" i="22"/>
  <c r="U61" i="22"/>
  <c r="V61" i="22"/>
  <c r="W61" i="22"/>
  <c r="X61" i="22"/>
  <c r="Y61" i="22"/>
  <c r="Z61" i="22"/>
  <c r="AA61" i="22"/>
  <c r="B62" i="22"/>
  <c r="C62" i="22"/>
  <c r="D62" i="22"/>
  <c r="E62" i="22"/>
  <c r="F62" i="22"/>
  <c r="G62" i="22"/>
  <c r="H62" i="22"/>
  <c r="I62" i="22"/>
  <c r="J62" i="22"/>
  <c r="K62" i="22"/>
  <c r="L62" i="22"/>
  <c r="M62" i="22"/>
  <c r="N62" i="22"/>
  <c r="O62" i="22"/>
  <c r="P62" i="22"/>
  <c r="Q62" i="22"/>
  <c r="R62" i="22"/>
  <c r="S62" i="22"/>
  <c r="T62" i="22"/>
  <c r="U62" i="22"/>
  <c r="V62" i="22"/>
  <c r="W62" i="22"/>
  <c r="X62" i="22"/>
  <c r="Y62" i="22"/>
  <c r="Z62" i="22"/>
  <c r="AA62" i="22"/>
  <c r="B63" i="22"/>
  <c r="C63" i="22"/>
  <c r="D63" i="22"/>
  <c r="E63" i="22"/>
  <c r="F63" i="22"/>
  <c r="G63" i="22"/>
  <c r="H63" i="22"/>
  <c r="I63" i="22"/>
  <c r="J63" i="22"/>
  <c r="K63" i="22"/>
  <c r="L63" i="22"/>
  <c r="M63" i="22"/>
  <c r="N63" i="22"/>
  <c r="O63" i="22"/>
  <c r="P63" i="22"/>
  <c r="Q63" i="22"/>
  <c r="R63" i="22"/>
  <c r="S63" i="22"/>
  <c r="T63" i="22"/>
  <c r="U63" i="22"/>
  <c r="V63" i="22"/>
  <c r="W63" i="22"/>
  <c r="X63" i="22"/>
  <c r="Y63" i="22"/>
  <c r="Z63" i="22"/>
  <c r="AA63" i="22"/>
  <c r="B64" i="22"/>
  <c r="C64" i="22"/>
  <c r="D64" i="22"/>
  <c r="E64" i="22"/>
  <c r="F64" i="22"/>
  <c r="G64" i="22"/>
  <c r="H64" i="22"/>
  <c r="I64" i="22"/>
  <c r="J64" i="22"/>
  <c r="K64" i="22"/>
  <c r="L64" i="22"/>
  <c r="M64" i="22"/>
  <c r="N64" i="22"/>
  <c r="O64" i="22"/>
  <c r="P64" i="22"/>
  <c r="Q64" i="22"/>
  <c r="R64" i="22"/>
  <c r="S64" i="22"/>
  <c r="T64" i="22"/>
  <c r="U64" i="22"/>
  <c r="V64" i="22"/>
  <c r="W64" i="22"/>
  <c r="X64" i="22"/>
  <c r="Y64" i="22"/>
  <c r="Z64" i="22"/>
  <c r="AA64" i="22"/>
  <c r="B65" i="22"/>
  <c r="C65" i="22"/>
  <c r="D65" i="22"/>
  <c r="E65" i="22"/>
  <c r="F65" i="22"/>
  <c r="G65" i="22"/>
  <c r="H65" i="22"/>
  <c r="I65" i="22"/>
  <c r="J65" i="22"/>
  <c r="K65" i="22"/>
  <c r="L65" i="22"/>
  <c r="M65" i="22"/>
  <c r="N65" i="22"/>
  <c r="O65" i="22"/>
  <c r="P65" i="22"/>
  <c r="Q65" i="22"/>
  <c r="R65" i="22"/>
  <c r="S65" i="22"/>
  <c r="T65" i="22"/>
  <c r="U65" i="22"/>
  <c r="V65" i="22"/>
  <c r="W65" i="22"/>
  <c r="X65" i="22"/>
  <c r="Y65" i="22"/>
  <c r="Z65" i="22"/>
  <c r="AA65" i="22"/>
  <c r="B66" i="22"/>
  <c r="C66" i="22"/>
  <c r="D66" i="22"/>
  <c r="E66" i="22"/>
  <c r="F66" i="22"/>
  <c r="G66" i="22"/>
  <c r="H66" i="22"/>
  <c r="I66" i="22"/>
  <c r="J66" i="22"/>
  <c r="K66" i="22"/>
  <c r="L66" i="22"/>
  <c r="M66" i="22"/>
  <c r="N66" i="22"/>
  <c r="O66" i="22"/>
  <c r="P66" i="22"/>
  <c r="Q66" i="22"/>
  <c r="R66" i="22"/>
  <c r="S66" i="22"/>
  <c r="T66" i="22"/>
  <c r="U66" i="22"/>
  <c r="V66" i="22"/>
  <c r="W66" i="22"/>
  <c r="X66" i="22"/>
  <c r="Y66" i="22"/>
  <c r="Z66" i="22"/>
  <c r="AA66" i="22"/>
  <c r="B67" i="22"/>
  <c r="C67" i="22"/>
  <c r="D67" i="22"/>
  <c r="E67" i="22"/>
  <c r="F67" i="22"/>
  <c r="G67" i="22"/>
  <c r="H67" i="22"/>
  <c r="I67" i="22"/>
  <c r="J67" i="22"/>
  <c r="K67" i="22"/>
  <c r="L67" i="22"/>
  <c r="M67" i="22"/>
  <c r="N67" i="22"/>
  <c r="O67" i="22"/>
  <c r="P67" i="22"/>
  <c r="Q67" i="22"/>
  <c r="R67" i="22"/>
  <c r="S67" i="22"/>
  <c r="T67" i="22"/>
  <c r="U67" i="22"/>
  <c r="V67" i="22"/>
  <c r="W67" i="22"/>
  <c r="X67" i="22"/>
  <c r="Y67" i="22"/>
  <c r="Z67" i="22"/>
  <c r="AA67" i="22"/>
  <c r="B68" i="22"/>
  <c r="C68" i="22"/>
  <c r="D68" i="22"/>
  <c r="E68" i="22"/>
  <c r="F68" i="22"/>
  <c r="G68" i="22"/>
  <c r="H68" i="22"/>
  <c r="I68" i="22"/>
  <c r="J68" i="22"/>
  <c r="K68" i="22"/>
  <c r="L68" i="22"/>
  <c r="M68" i="22"/>
  <c r="N68" i="22"/>
  <c r="O68" i="22"/>
  <c r="P68" i="22"/>
  <c r="Q68" i="22"/>
  <c r="R68" i="22"/>
  <c r="S68" i="22"/>
  <c r="T68" i="22"/>
  <c r="U68" i="22"/>
  <c r="V68" i="22"/>
  <c r="W68" i="22"/>
  <c r="X68" i="22"/>
  <c r="Y68" i="22"/>
  <c r="Z68" i="22"/>
  <c r="AA68" i="22"/>
  <c r="B69" i="22"/>
  <c r="C69" i="22"/>
  <c r="D69" i="22"/>
  <c r="E69" i="22"/>
  <c r="F69" i="22"/>
  <c r="G69" i="22"/>
  <c r="H69" i="22"/>
  <c r="I69" i="22"/>
  <c r="J69" i="22"/>
  <c r="K69" i="22"/>
  <c r="L69" i="22"/>
  <c r="M69" i="22"/>
  <c r="N69" i="22"/>
  <c r="O69" i="22"/>
  <c r="P69" i="22"/>
  <c r="Q69" i="22"/>
  <c r="R69" i="22"/>
  <c r="S69" i="22"/>
  <c r="T69" i="22"/>
  <c r="U69" i="22"/>
  <c r="V69" i="22"/>
  <c r="W69" i="22"/>
  <c r="X69" i="22"/>
  <c r="Y69" i="22"/>
  <c r="Z69" i="22"/>
  <c r="AA69" i="22"/>
  <c r="B70" i="22"/>
  <c r="C70" i="22"/>
  <c r="D70" i="22"/>
  <c r="E70" i="22"/>
  <c r="F70" i="22"/>
  <c r="G70" i="22"/>
  <c r="H70" i="22"/>
  <c r="I70" i="22"/>
  <c r="J70" i="22"/>
  <c r="K70" i="22"/>
  <c r="L70" i="22"/>
  <c r="M70" i="22"/>
  <c r="N70" i="22"/>
  <c r="O70" i="22"/>
  <c r="P70" i="22"/>
  <c r="Q70" i="22"/>
  <c r="R70" i="22"/>
  <c r="S70" i="22"/>
  <c r="T70" i="22"/>
  <c r="U70" i="22"/>
  <c r="V70" i="22"/>
  <c r="W70" i="22"/>
  <c r="X70" i="22"/>
  <c r="Y70" i="22"/>
  <c r="Z70" i="22"/>
  <c r="AA70" i="22"/>
  <c r="B71" i="22"/>
  <c r="C71" i="22"/>
  <c r="D71" i="22"/>
  <c r="E71" i="22"/>
  <c r="F71" i="22"/>
  <c r="G71" i="22"/>
  <c r="H71" i="22"/>
  <c r="I71" i="22"/>
  <c r="J71" i="22"/>
  <c r="K71" i="22"/>
  <c r="L71" i="22"/>
  <c r="M71" i="22"/>
  <c r="N71" i="22"/>
  <c r="O71" i="22"/>
  <c r="P71" i="22"/>
  <c r="Q71" i="22"/>
  <c r="R71" i="22"/>
  <c r="S71" i="22"/>
  <c r="T71" i="22"/>
  <c r="U71" i="22"/>
  <c r="V71" i="22"/>
  <c r="W71" i="22"/>
  <c r="X71" i="22"/>
  <c r="Y71" i="22"/>
  <c r="Z71" i="22"/>
  <c r="AA71" i="22"/>
  <c r="B72" i="22"/>
  <c r="C72" i="22"/>
  <c r="D72" i="22"/>
  <c r="E72" i="22"/>
  <c r="F72" i="22"/>
  <c r="G72" i="22"/>
  <c r="H72" i="22"/>
  <c r="I72" i="22"/>
  <c r="J72" i="22"/>
  <c r="K72" i="22"/>
  <c r="L72" i="22"/>
  <c r="M72" i="22"/>
  <c r="N72" i="22"/>
  <c r="O72" i="22"/>
  <c r="P72" i="22"/>
  <c r="Q72" i="22"/>
  <c r="R72" i="22"/>
  <c r="S72" i="22"/>
  <c r="T72" i="22"/>
  <c r="U72" i="22"/>
  <c r="V72" i="22"/>
  <c r="W72" i="22"/>
  <c r="X72" i="22"/>
  <c r="Y72" i="22"/>
  <c r="Z72" i="22"/>
  <c r="AA72" i="22"/>
  <c r="B73" i="22"/>
  <c r="C73" i="22"/>
  <c r="D73" i="22"/>
  <c r="E73" i="22"/>
  <c r="F73" i="22"/>
  <c r="G73" i="22"/>
  <c r="H73" i="22"/>
  <c r="I73" i="22"/>
  <c r="J73" i="22"/>
  <c r="K73" i="22"/>
  <c r="L73" i="22"/>
  <c r="M73" i="22"/>
  <c r="N73" i="22"/>
  <c r="O73" i="22"/>
  <c r="P73" i="22"/>
  <c r="Q73" i="22"/>
  <c r="R73" i="22"/>
  <c r="S73" i="22"/>
  <c r="T73" i="22"/>
  <c r="U73" i="22"/>
  <c r="V73" i="22"/>
  <c r="W73" i="22"/>
  <c r="X73" i="22"/>
  <c r="Y73" i="22"/>
  <c r="Z73" i="22"/>
  <c r="AA73" i="22"/>
  <c r="B74" i="22"/>
  <c r="C74" i="22"/>
  <c r="D74" i="22"/>
  <c r="E74" i="22"/>
  <c r="F74" i="22"/>
  <c r="G74" i="22"/>
  <c r="H74" i="22"/>
  <c r="I74" i="22"/>
  <c r="J74" i="22"/>
  <c r="K74" i="22"/>
  <c r="L74" i="22"/>
  <c r="M74" i="22"/>
  <c r="N74" i="22"/>
  <c r="O74" i="22"/>
  <c r="P74" i="22"/>
  <c r="Q74" i="22"/>
  <c r="R74" i="22"/>
  <c r="S74" i="22"/>
  <c r="T74" i="22"/>
  <c r="U74" i="22"/>
  <c r="V74" i="22"/>
  <c r="W74" i="22"/>
  <c r="X74" i="22"/>
  <c r="Y74" i="22"/>
  <c r="Z74" i="22"/>
  <c r="AA74" i="22"/>
  <c r="B75" i="22"/>
  <c r="C75" i="22"/>
  <c r="D75" i="22"/>
  <c r="E75" i="22"/>
  <c r="F75" i="22"/>
  <c r="G75" i="22"/>
  <c r="H75" i="22"/>
  <c r="I75" i="22"/>
  <c r="J75" i="22"/>
  <c r="K75" i="22"/>
  <c r="L75" i="22"/>
  <c r="M75" i="22"/>
  <c r="N75" i="22"/>
  <c r="O75" i="22"/>
  <c r="P75" i="22"/>
  <c r="Q75" i="22"/>
  <c r="R75" i="22"/>
  <c r="S75" i="22"/>
  <c r="T75" i="22"/>
  <c r="U75" i="22"/>
  <c r="V75" i="22"/>
  <c r="W75" i="22"/>
  <c r="X75" i="22"/>
  <c r="Y75" i="22"/>
  <c r="Z75" i="22"/>
  <c r="AA75" i="22"/>
  <c r="B76" i="22"/>
  <c r="C76" i="22"/>
  <c r="D76" i="22"/>
  <c r="E76" i="22"/>
  <c r="F76" i="22"/>
  <c r="G76" i="22"/>
  <c r="H76" i="22"/>
  <c r="I76" i="22"/>
  <c r="J76" i="22"/>
  <c r="K76" i="22"/>
  <c r="L76" i="22"/>
  <c r="M76" i="22"/>
  <c r="N76" i="22"/>
  <c r="O76" i="22"/>
  <c r="P76" i="22"/>
  <c r="Q76" i="22"/>
  <c r="R76" i="22"/>
  <c r="S76" i="22"/>
  <c r="T76" i="22"/>
  <c r="U76" i="22"/>
  <c r="V76" i="22"/>
  <c r="W76" i="22"/>
  <c r="X76" i="22"/>
  <c r="Y76" i="22"/>
  <c r="Z76" i="22"/>
  <c r="AA76" i="22"/>
  <c r="B77" i="22"/>
  <c r="C77" i="22"/>
  <c r="D77" i="22"/>
  <c r="E77" i="22"/>
  <c r="F77" i="22"/>
  <c r="G77" i="22"/>
  <c r="H77" i="22"/>
  <c r="I77" i="22"/>
  <c r="J77" i="22"/>
  <c r="K77" i="22"/>
  <c r="L77" i="22"/>
  <c r="M77" i="22"/>
  <c r="N77" i="22"/>
  <c r="O77" i="22"/>
  <c r="P77" i="22"/>
  <c r="Q77" i="22"/>
  <c r="R77" i="22"/>
  <c r="S77" i="22"/>
  <c r="T77" i="22"/>
  <c r="U77" i="22"/>
  <c r="V77" i="22"/>
  <c r="W77" i="22"/>
  <c r="X77" i="22"/>
  <c r="Y77" i="22"/>
  <c r="Z77" i="22"/>
  <c r="AA77" i="22"/>
  <c r="B78" i="22"/>
  <c r="C78" i="22"/>
  <c r="D78" i="22"/>
  <c r="E78" i="22"/>
  <c r="F78" i="22"/>
  <c r="G78" i="22"/>
  <c r="H78" i="22"/>
  <c r="I78" i="22"/>
  <c r="J78" i="22"/>
  <c r="K78" i="22"/>
  <c r="L78" i="22"/>
  <c r="M78" i="22"/>
  <c r="N78" i="22"/>
  <c r="O78" i="22"/>
  <c r="P78" i="22"/>
  <c r="Q78" i="22"/>
  <c r="R78" i="22"/>
  <c r="S78" i="22"/>
  <c r="T78" i="22"/>
  <c r="U78" i="22"/>
  <c r="V78" i="22"/>
  <c r="W78" i="22"/>
  <c r="X78" i="22"/>
  <c r="Y78" i="22"/>
  <c r="Z78" i="22"/>
  <c r="AA78" i="22"/>
  <c r="B79" i="22"/>
  <c r="C79" i="22"/>
  <c r="D79" i="22"/>
  <c r="E79" i="22"/>
  <c r="F79" i="22"/>
  <c r="G79" i="22"/>
  <c r="H79" i="22"/>
  <c r="I79" i="22"/>
  <c r="J79" i="22"/>
  <c r="K79" i="22"/>
  <c r="L79" i="22"/>
  <c r="M79" i="22"/>
  <c r="N79" i="22"/>
  <c r="O79" i="22"/>
  <c r="P79" i="22"/>
  <c r="Q79" i="22"/>
  <c r="R79" i="22"/>
  <c r="S79" i="22"/>
  <c r="T79" i="22"/>
  <c r="U79" i="22"/>
  <c r="V79" i="22"/>
  <c r="W79" i="22"/>
  <c r="X79" i="22"/>
  <c r="Y79" i="22"/>
  <c r="Z79" i="22"/>
  <c r="AA79" i="22"/>
  <c r="B80" i="22"/>
  <c r="C80" i="22"/>
  <c r="D80" i="22"/>
  <c r="E80" i="22"/>
  <c r="F80" i="22"/>
  <c r="G80" i="22"/>
  <c r="H80" i="22"/>
  <c r="I80" i="22"/>
  <c r="J80" i="22"/>
  <c r="K80" i="22"/>
  <c r="L80" i="22"/>
  <c r="M80" i="22"/>
  <c r="N80" i="22"/>
  <c r="O80" i="22"/>
  <c r="P80" i="22"/>
  <c r="Q80" i="22"/>
  <c r="R80" i="22"/>
  <c r="S80" i="22"/>
  <c r="T80" i="22"/>
  <c r="U80" i="22"/>
  <c r="V80" i="22"/>
  <c r="W80" i="22"/>
  <c r="X80" i="22"/>
  <c r="Y80" i="22"/>
  <c r="Z80" i="22"/>
  <c r="AA80" i="22"/>
  <c r="B81" i="22"/>
  <c r="C81" i="22"/>
  <c r="D81" i="22"/>
  <c r="E81" i="22"/>
  <c r="F81" i="22"/>
  <c r="G81" i="22"/>
  <c r="H81" i="22"/>
  <c r="I81" i="22"/>
  <c r="J81" i="22"/>
  <c r="K81" i="22"/>
  <c r="L81" i="22"/>
  <c r="M81" i="22"/>
  <c r="N81" i="22"/>
  <c r="O81" i="22"/>
  <c r="P81" i="22"/>
  <c r="Q81" i="22"/>
  <c r="R81" i="22"/>
  <c r="S81" i="22"/>
  <c r="T81" i="22"/>
  <c r="U81" i="22"/>
  <c r="V81" i="22"/>
  <c r="W81" i="22"/>
  <c r="X81" i="22"/>
  <c r="Y81" i="22"/>
  <c r="Z81" i="22"/>
  <c r="AA81" i="22"/>
  <c r="B82" i="22"/>
  <c r="C82" i="22"/>
  <c r="D82" i="22"/>
  <c r="E82" i="22"/>
  <c r="F82" i="22"/>
  <c r="G82" i="22"/>
  <c r="H82" i="22"/>
  <c r="I82" i="22"/>
  <c r="J82" i="22"/>
  <c r="K82" i="22"/>
  <c r="L82" i="22"/>
  <c r="M82" i="22"/>
  <c r="N82" i="22"/>
  <c r="O82" i="22"/>
  <c r="P82" i="22"/>
  <c r="Q82" i="22"/>
  <c r="R82" i="22"/>
  <c r="S82" i="22"/>
  <c r="T82" i="22"/>
  <c r="U82" i="22"/>
  <c r="V82" i="22"/>
  <c r="W82" i="22"/>
  <c r="X82" i="22"/>
  <c r="Y82" i="22"/>
  <c r="Z82" i="22"/>
  <c r="AA82" i="22"/>
  <c r="A51" i="21"/>
  <c r="B51" i="21"/>
  <c r="C51" i="21"/>
  <c r="D51" i="21"/>
  <c r="E51" i="21"/>
  <c r="F51" i="21"/>
  <c r="G51" i="21"/>
  <c r="H51" i="21"/>
  <c r="I51" i="21"/>
  <c r="J51" i="21"/>
  <c r="K51" i="21"/>
  <c r="L51" i="21"/>
  <c r="M51" i="21"/>
  <c r="N51" i="21"/>
  <c r="O51" i="21"/>
  <c r="P51" i="21"/>
  <c r="Q51" i="21"/>
  <c r="R51" i="21"/>
  <c r="S51" i="21"/>
  <c r="T51" i="21"/>
  <c r="U51" i="21"/>
  <c r="V51" i="21"/>
  <c r="W51" i="21"/>
  <c r="X51" i="21"/>
  <c r="Y51" i="21"/>
  <c r="Z51" i="21"/>
  <c r="A52" i="21"/>
  <c r="B52" i="21"/>
  <c r="C52" i="21"/>
  <c r="D52" i="21"/>
  <c r="E52" i="21"/>
  <c r="F52" i="21"/>
  <c r="G52" i="21"/>
  <c r="H52" i="21"/>
  <c r="I52" i="21"/>
  <c r="J52" i="21"/>
  <c r="K52" i="21"/>
  <c r="L52" i="21"/>
  <c r="M52" i="21"/>
  <c r="N52" i="21"/>
  <c r="O52" i="21"/>
  <c r="P52" i="21"/>
  <c r="Q52" i="21"/>
  <c r="R52" i="21"/>
  <c r="S52" i="21"/>
  <c r="T52" i="21"/>
  <c r="U52" i="21"/>
  <c r="V52" i="21"/>
  <c r="W52" i="21"/>
  <c r="X52" i="21"/>
  <c r="Y52" i="21"/>
  <c r="Z52" i="21"/>
  <c r="A53" i="21"/>
  <c r="B53" i="21"/>
  <c r="C53" i="21"/>
  <c r="D53" i="21"/>
  <c r="E53" i="21"/>
  <c r="F53" i="21"/>
  <c r="G53" i="21"/>
  <c r="H53" i="21"/>
  <c r="I53" i="21"/>
  <c r="J53" i="21"/>
  <c r="K53" i="21"/>
  <c r="L53" i="21"/>
  <c r="B9" i="21" s="1"/>
  <c r="M53" i="21"/>
  <c r="N53" i="21"/>
  <c r="O53" i="21"/>
  <c r="P53" i="21"/>
  <c r="Q53" i="21"/>
  <c r="R53" i="21"/>
  <c r="S53" i="21"/>
  <c r="T53" i="21"/>
  <c r="U53" i="21"/>
  <c r="V53" i="21"/>
  <c r="W53" i="21"/>
  <c r="X53" i="21"/>
  <c r="Y53" i="21"/>
  <c r="Z53" i="21"/>
  <c r="A54" i="21"/>
  <c r="B54" i="21"/>
  <c r="C54" i="21"/>
  <c r="D54" i="21"/>
  <c r="E54" i="21"/>
  <c r="F54" i="21"/>
  <c r="G54" i="21"/>
  <c r="H54" i="21"/>
  <c r="I54" i="21"/>
  <c r="J54" i="21"/>
  <c r="K54" i="21"/>
  <c r="L54" i="21"/>
  <c r="M54" i="21"/>
  <c r="N54" i="21"/>
  <c r="O54" i="21"/>
  <c r="P54" i="21"/>
  <c r="Q54" i="21"/>
  <c r="R54" i="21"/>
  <c r="S54" i="21"/>
  <c r="T54" i="21"/>
  <c r="U54" i="21"/>
  <c r="V54" i="21"/>
  <c r="W54" i="21"/>
  <c r="X54" i="21"/>
  <c r="Y54" i="21"/>
  <c r="Z54" i="21"/>
  <c r="A55" i="21"/>
  <c r="B55" i="21"/>
  <c r="C55" i="21"/>
  <c r="D55" i="21"/>
  <c r="E55" i="21"/>
  <c r="F55" i="21"/>
  <c r="G55" i="21"/>
  <c r="H55" i="21"/>
  <c r="I55" i="21"/>
  <c r="J55" i="21"/>
  <c r="K55" i="21"/>
  <c r="L55" i="21"/>
  <c r="M55" i="21"/>
  <c r="N55" i="21"/>
  <c r="O55" i="21"/>
  <c r="P55" i="21"/>
  <c r="Q55" i="21"/>
  <c r="R55" i="21"/>
  <c r="S55" i="21"/>
  <c r="T55" i="21"/>
  <c r="U55" i="21"/>
  <c r="V55" i="21"/>
  <c r="W55" i="21"/>
  <c r="X55" i="21"/>
  <c r="Y55" i="21"/>
  <c r="Z55" i="21"/>
  <c r="A56" i="21"/>
  <c r="B56" i="21"/>
  <c r="C56" i="21"/>
  <c r="D56" i="21"/>
  <c r="E56" i="21"/>
  <c r="F56" i="21"/>
  <c r="G56" i="21"/>
  <c r="H56" i="21"/>
  <c r="I56" i="21"/>
  <c r="J56" i="21"/>
  <c r="K56" i="21"/>
  <c r="L56" i="21"/>
  <c r="M56" i="21"/>
  <c r="C12" i="21" s="1"/>
  <c r="N56" i="21"/>
  <c r="D12" i="21" s="1"/>
  <c r="O56" i="21"/>
  <c r="P56" i="21"/>
  <c r="Q56" i="21"/>
  <c r="R56" i="21"/>
  <c r="S56" i="21"/>
  <c r="T56" i="21"/>
  <c r="U56" i="21"/>
  <c r="V56" i="21"/>
  <c r="W56" i="21"/>
  <c r="X56" i="21"/>
  <c r="Y56" i="21"/>
  <c r="Z56" i="21"/>
  <c r="A57" i="21"/>
  <c r="B57" i="21"/>
  <c r="C57" i="21"/>
  <c r="D57" i="21"/>
  <c r="E57" i="21"/>
  <c r="F57" i="21"/>
  <c r="G57" i="21"/>
  <c r="H57" i="21"/>
  <c r="I57" i="21"/>
  <c r="J57" i="21"/>
  <c r="K57" i="21"/>
  <c r="L57" i="21"/>
  <c r="M57" i="21"/>
  <c r="N57" i="21"/>
  <c r="O57" i="21"/>
  <c r="P57" i="21"/>
  <c r="Q57" i="21"/>
  <c r="R57" i="21"/>
  <c r="S57" i="21"/>
  <c r="T57" i="21"/>
  <c r="U57" i="21"/>
  <c r="V57" i="21"/>
  <c r="W57" i="21"/>
  <c r="X57" i="21"/>
  <c r="Y57" i="21"/>
  <c r="Z57" i="21"/>
  <c r="A58" i="21"/>
  <c r="B58" i="21"/>
  <c r="C58" i="21"/>
  <c r="D58" i="21"/>
  <c r="E58" i="21"/>
  <c r="F58" i="21"/>
  <c r="G58" i="21"/>
  <c r="H58" i="21"/>
  <c r="I58" i="21"/>
  <c r="J58" i="21"/>
  <c r="K58" i="21"/>
  <c r="L58" i="21"/>
  <c r="M58" i="21"/>
  <c r="N58" i="21"/>
  <c r="O58" i="21"/>
  <c r="P58" i="21"/>
  <c r="Q58" i="21"/>
  <c r="R58" i="21"/>
  <c r="S58" i="21"/>
  <c r="T58" i="21"/>
  <c r="U58" i="21"/>
  <c r="V58" i="21"/>
  <c r="W58" i="21"/>
  <c r="X58" i="21"/>
  <c r="Y58" i="21"/>
  <c r="Z58" i="21"/>
  <c r="A59" i="21"/>
  <c r="B59" i="21"/>
  <c r="C59" i="21"/>
  <c r="D59" i="21"/>
  <c r="E59" i="21"/>
  <c r="F59" i="21"/>
  <c r="G59" i="21"/>
  <c r="H59" i="21"/>
  <c r="I59" i="21"/>
  <c r="J59" i="21"/>
  <c r="K59" i="21"/>
  <c r="L59" i="21"/>
  <c r="M59" i="21"/>
  <c r="N59" i="21"/>
  <c r="O59" i="21"/>
  <c r="E15" i="21" s="1"/>
  <c r="P59" i="21"/>
  <c r="F15" i="21" s="1"/>
  <c r="Q59" i="21"/>
  <c r="R59" i="21"/>
  <c r="S59" i="21"/>
  <c r="T59" i="21"/>
  <c r="U59" i="21"/>
  <c r="V59" i="21"/>
  <c r="W59" i="21"/>
  <c r="X59" i="21"/>
  <c r="Y59" i="21"/>
  <c r="Z59" i="21"/>
  <c r="A60" i="21"/>
  <c r="B60" i="21"/>
  <c r="C60" i="21"/>
  <c r="D60" i="21"/>
  <c r="E60" i="21"/>
  <c r="F60" i="21"/>
  <c r="G60" i="21"/>
  <c r="H60" i="21"/>
  <c r="I60" i="21"/>
  <c r="J60" i="21"/>
  <c r="K60" i="21"/>
  <c r="L60" i="21"/>
  <c r="M60" i="21"/>
  <c r="N60" i="21"/>
  <c r="O60" i="21"/>
  <c r="P60" i="21"/>
  <c r="Q60" i="21"/>
  <c r="R60" i="21"/>
  <c r="S60" i="21"/>
  <c r="T60" i="21"/>
  <c r="U60" i="21"/>
  <c r="V60" i="21"/>
  <c r="W60" i="21"/>
  <c r="X60" i="21"/>
  <c r="Y60" i="21"/>
  <c r="Z60" i="21"/>
  <c r="A61" i="21"/>
  <c r="B61" i="21"/>
  <c r="C61" i="21"/>
  <c r="D61" i="21"/>
  <c r="E61" i="21"/>
  <c r="F61" i="21"/>
  <c r="G61" i="21"/>
  <c r="H61" i="21"/>
  <c r="I61" i="21"/>
  <c r="J61" i="21"/>
  <c r="K61" i="21"/>
  <c r="L61" i="21"/>
  <c r="B17" i="21" s="1"/>
  <c r="M61" i="21"/>
  <c r="N61" i="21"/>
  <c r="O61" i="21"/>
  <c r="P61" i="21"/>
  <c r="Q61" i="21"/>
  <c r="R61" i="21"/>
  <c r="S61" i="21"/>
  <c r="T61" i="21"/>
  <c r="U61" i="21"/>
  <c r="V61" i="21"/>
  <c r="W61" i="21"/>
  <c r="X61" i="21"/>
  <c r="Y61" i="21"/>
  <c r="Z61" i="21"/>
  <c r="A62" i="21"/>
  <c r="B62" i="21"/>
  <c r="C62" i="21"/>
  <c r="D62" i="21"/>
  <c r="E62" i="21"/>
  <c r="F62" i="21"/>
  <c r="G62" i="21"/>
  <c r="H62" i="21"/>
  <c r="I62" i="21"/>
  <c r="J62" i="21"/>
  <c r="K62" i="21"/>
  <c r="L62" i="21"/>
  <c r="M62" i="21"/>
  <c r="N62" i="21"/>
  <c r="O62" i="21"/>
  <c r="P62" i="21"/>
  <c r="Q62" i="21"/>
  <c r="R62" i="21"/>
  <c r="S62" i="21"/>
  <c r="T62" i="21"/>
  <c r="U62" i="21"/>
  <c r="V62" i="21"/>
  <c r="W62" i="21"/>
  <c r="X62" i="21"/>
  <c r="Y62" i="21"/>
  <c r="Z62" i="21"/>
  <c r="A63" i="21"/>
  <c r="B63" i="21"/>
  <c r="C63" i="21"/>
  <c r="D63" i="21"/>
  <c r="E63" i="21"/>
  <c r="F63" i="21"/>
  <c r="G63" i="21"/>
  <c r="H63" i="21"/>
  <c r="I63" i="21"/>
  <c r="J63" i="21"/>
  <c r="K63" i="21"/>
  <c r="L63" i="21"/>
  <c r="M63" i="21"/>
  <c r="N63" i="21"/>
  <c r="O63" i="21"/>
  <c r="P63" i="21"/>
  <c r="Q63" i="21"/>
  <c r="R63" i="21"/>
  <c r="S63" i="21"/>
  <c r="T63" i="21"/>
  <c r="U63" i="21"/>
  <c r="V63" i="21"/>
  <c r="W63" i="21"/>
  <c r="X63" i="21"/>
  <c r="Y63" i="21"/>
  <c r="Z63" i="21"/>
  <c r="A64" i="21"/>
  <c r="B64" i="21"/>
  <c r="C64" i="21"/>
  <c r="D64" i="21"/>
  <c r="E64" i="21"/>
  <c r="F64" i="21"/>
  <c r="G64" i="21"/>
  <c r="H64" i="21"/>
  <c r="I64" i="21"/>
  <c r="J64" i="21"/>
  <c r="K64" i="21"/>
  <c r="L64" i="21"/>
  <c r="M64" i="21"/>
  <c r="C20" i="21" s="1"/>
  <c r="N64" i="21"/>
  <c r="D20" i="21" s="1"/>
  <c r="O64" i="21"/>
  <c r="P64" i="21"/>
  <c r="Q64" i="21"/>
  <c r="R64" i="21"/>
  <c r="S64" i="21"/>
  <c r="T64" i="21"/>
  <c r="U64" i="21"/>
  <c r="V64" i="21"/>
  <c r="W64" i="21"/>
  <c r="X64" i="21"/>
  <c r="Y64" i="21"/>
  <c r="Z64" i="21"/>
  <c r="A65" i="21"/>
  <c r="B65" i="21"/>
  <c r="C65" i="21"/>
  <c r="D65" i="21"/>
  <c r="E65" i="21"/>
  <c r="F65" i="21"/>
  <c r="G65" i="21"/>
  <c r="H65" i="21"/>
  <c r="I65" i="21"/>
  <c r="J65" i="21"/>
  <c r="K65" i="21"/>
  <c r="L65" i="21"/>
  <c r="M65" i="21"/>
  <c r="N65" i="21"/>
  <c r="O65" i="21"/>
  <c r="P65" i="21"/>
  <c r="Q65" i="21"/>
  <c r="R65" i="21"/>
  <c r="S65" i="21"/>
  <c r="T65" i="21"/>
  <c r="U65" i="21"/>
  <c r="V65" i="21"/>
  <c r="W65" i="21"/>
  <c r="X65" i="21"/>
  <c r="Y65" i="21"/>
  <c r="Z65" i="21"/>
  <c r="A66" i="21"/>
  <c r="B66" i="21"/>
  <c r="C66" i="21"/>
  <c r="D66" i="21"/>
  <c r="E66" i="21"/>
  <c r="F66" i="21"/>
  <c r="G66" i="21"/>
  <c r="H66" i="21"/>
  <c r="I66" i="21"/>
  <c r="J66" i="21"/>
  <c r="K66" i="21"/>
  <c r="L66" i="21"/>
  <c r="M66" i="21"/>
  <c r="N66" i="21"/>
  <c r="O66" i="21"/>
  <c r="P66" i="21"/>
  <c r="Q66" i="21"/>
  <c r="R66" i="21"/>
  <c r="S66" i="21"/>
  <c r="T66" i="21"/>
  <c r="U66" i="21"/>
  <c r="V66" i="21"/>
  <c r="W66" i="21"/>
  <c r="X66" i="21"/>
  <c r="Y66" i="21"/>
  <c r="Z66" i="21"/>
  <c r="A67" i="21"/>
  <c r="B67" i="21"/>
  <c r="C67" i="21"/>
  <c r="D67" i="21"/>
  <c r="E67" i="21"/>
  <c r="F67" i="21"/>
  <c r="G67" i="21"/>
  <c r="H67" i="21"/>
  <c r="I67" i="21"/>
  <c r="J67" i="21"/>
  <c r="K67" i="21"/>
  <c r="L67" i="21"/>
  <c r="M67" i="21"/>
  <c r="N67" i="21"/>
  <c r="O67" i="21"/>
  <c r="E23" i="21" s="1"/>
  <c r="P67" i="21"/>
  <c r="Q67" i="21"/>
  <c r="R67" i="21"/>
  <c r="S67" i="21"/>
  <c r="T67" i="21"/>
  <c r="U67" i="21"/>
  <c r="V67" i="21"/>
  <c r="W67" i="21"/>
  <c r="X67" i="21"/>
  <c r="Y67" i="21"/>
  <c r="Z67" i="21"/>
  <c r="A68" i="21"/>
  <c r="B68" i="21"/>
  <c r="C68" i="21"/>
  <c r="D68" i="21"/>
  <c r="E68" i="21"/>
  <c r="F68" i="21"/>
  <c r="G68" i="21"/>
  <c r="H68" i="21"/>
  <c r="I68" i="21"/>
  <c r="J68" i="21"/>
  <c r="K68" i="21"/>
  <c r="L68" i="21"/>
  <c r="M68" i="21"/>
  <c r="N68" i="21"/>
  <c r="O68" i="21"/>
  <c r="P68" i="21"/>
  <c r="Q68" i="21"/>
  <c r="R68" i="21"/>
  <c r="S68" i="21"/>
  <c r="T68" i="21"/>
  <c r="U68" i="21"/>
  <c r="V68" i="21"/>
  <c r="W68" i="21"/>
  <c r="X68" i="21"/>
  <c r="Y68" i="21"/>
  <c r="Z68" i="21"/>
  <c r="A69" i="21"/>
  <c r="B69" i="21"/>
  <c r="C69" i="21"/>
  <c r="D69" i="21"/>
  <c r="E69" i="21"/>
  <c r="F69" i="21"/>
  <c r="G69" i="21"/>
  <c r="H69" i="21"/>
  <c r="I69" i="21"/>
  <c r="J69" i="21"/>
  <c r="K69" i="21"/>
  <c r="L69" i="21"/>
  <c r="B25" i="21" s="1"/>
  <c r="M69" i="21"/>
  <c r="N69" i="21"/>
  <c r="O69" i="21"/>
  <c r="P69" i="21"/>
  <c r="Q69" i="21"/>
  <c r="R69" i="21"/>
  <c r="S69" i="21"/>
  <c r="T69" i="21"/>
  <c r="U69" i="21"/>
  <c r="V69" i="21"/>
  <c r="W69" i="21"/>
  <c r="X69" i="21"/>
  <c r="Y69" i="21"/>
  <c r="Z69" i="21"/>
  <c r="A70" i="21"/>
  <c r="B70" i="21"/>
  <c r="C70" i="21"/>
  <c r="D70" i="21"/>
  <c r="E70" i="21"/>
  <c r="F70" i="21"/>
  <c r="G70" i="21"/>
  <c r="H70" i="21"/>
  <c r="I70" i="21"/>
  <c r="J70" i="21"/>
  <c r="K70" i="21"/>
  <c r="L70" i="21"/>
  <c r="M70" i="21"/>
  <c r="N70" i="21"/>
  <c r="O70" i="21"/>
  <c r="P70" i="21"/>
  <c r="Q70" i="21"/>
  <c r="R70" i="21"/>
  <c r="S70" i="21"/>
  <c r="T70" i="21"/>
  <c r="U70" i="21"/>
  <c r="V70" i="21"/>
  <c r="W70" i="21"/>
  <c r="X70" i="21"/>
  <c r="Y70" i="21"/>
  <c r="Z70" i="21"/>
  <c r="A71" i="21"/>
  <c r="B71" i="21"/>
  <c r="C71" i="21"/>
  <c r="D71" i="21"/>
  <c r="E71" i="21"/>
  <c r="F71" i="21"/>
  <c r="G71" i="21"/>
  <c r="H71" i="21"/>
  <c r="I71" i="21"/>
  <c r="J71" i="21"/>
  <c r="K71" i="21"/>
  <c r="L71" i="21"/>
  <c r="M71" i="21"/>
  <c r="N71" i="21"/>
  <c r="O71" i="21"/>
  <c r="P71" i="21"/>
  <c r="Q71" i="21"/>
  <c r="R71" i="21"/>
  <c r="S71" i="21"/>
  <c r="T71" i="21"/>
  <c r="U71" i="21"/>
  <c r="V71" i="21"/>
  <c r="W71" i="21"/>
  <c r="X71" i="21"/>
  <c r="Y71" i="21"/>
  <c r="Z71" i="21"/>
  <c r="A72" i="21"/>
  <c r="B72" i="21"/>
  <c r="C72" i="21"/>
  <c r="D72" i="21"/>
  <c r="E72" i="21"/>
  <c r="F72" i="21"/>
  <c r="G72" i="21"/>
  <c r="H72" i="21"/>
  <c r="I72" i="21"/>
  <c r="J72" i="21"/>
  <c r="K72" i="21"/>
  <c r="L72" i="21"/>
  <c r="M72" i="21"/>
  <c r="C28" i="21" s="1"/>
  <c r="N72" i="21"/>
  <c r="D28" i="21" s="1"/>
  <c r="O72" i="21"/>
  <c r="P72" i="21"/>
  <c r="Q72" i="21"/>
  <c r="R72" i="21"/>
  <c r="S72" i="21"/>
  <c r="T72" i="21"/>
  <c r="U72" i="21"/>
  <c r="V72" i="21"/>
  <c r="W72" i="21"/>
  <c r="X72" i="21"/>
  <c r="Y72" i="21"/>
  <c r="Z72" i="21"/>
  <c r="A73" i="21"/>
  <c r="B73" i="21"/>
  <c r="C73" i="21"/>
  <c r="D73" i="21"/>
  <c r="E73" i="21"/>
  <c r="F73" i="21"/>
  <c r="G73" i="21"/>
  <c r="H73" i="21"/>
  <c r="I73" i="21"/>
  <c r="J73" i="21"/>
  <c r="K73" i="21"/>
  <c r="L73" i="21"/>
  <c r="M73" i="21"/>
  <c r="N73" i="21"/>
  <c r="O73" i="21"/>
  <c r="P73" i="21"/>
  <c r="Q73" i="21"/>
  <c r="R73" i="21"/>
  <c r="S73" i="21"/>
  <c r="T73" i="21"/>
  <c r="U73" i="21"/>
  <c r="V73" i="21"/>
  <c r="W73" i="21"/>
  <c r="X73" i="21"/>
  <c r="Y73" i="21"/>
  <c r="Z73" i="21"/>
  <c r="A74" i="21"/>
  <c r="B74" i="21"/>
  <c r="C74" i="21"/>
  <c r="D74" i="21"/>
  <c r="E74" i="21"/>
  <c r="F74" i="21"/>
  <c r="G74" i="21"/>
  <c r="H74" i="21"/>
  <c r="I74" i="21"/>
  <c r="J74" i="21"/>
  <c r="K74" i="21"/>
  <c r="L74" i="21"/>
  <c r="M74" i="21"/>
  <c r="N74" i="21"/>
  <c r="O74" i="21"/>
  <c r="P74" i="21"/>
  <c r="Q74" i="21"/>
  <c r="R74" i="21"/>
  <c r="S74" i="21"/>
  <c r="T74" i="21"/>
  <c r="U74" i="21"/>
  <c r="V74" i="21"/>
  <c r="W74" i="21"/>
  <c r="X74" i="21"/>
  <c r="Y74" i="21"/>
  <c r="Z74" i="21"/>
  <c r="A75" i="21"/>
  <c r="B75" i="21"/>
  <c r="C75" i="21"/>
  <c r="D75" i="21"/>
  <c r="E75" i="21"/>
  <c r="F75" i="21"/>
  <c r="G75" i="21"/>
  <c r="H75" i="21"/>
  <c r="I75" i="21"/>
  <c r="J75" i="21"/>
  <c r="K75" i="21"/>
  <c r="L75" i="21"/>
  <c r="M75" i="21"/>
  <c r="N75" i="21"/>
  <c r="O75" i="21"/>
  <c r="E31" i="21" s="1"/>
  <c r="P75" i="21"/>
  <c r="F31" i="21" s="1"/>
  <c r="Q75" i="21"/>
  <c r="R75" i="21"/>
  <c r="S75" i="21"/>
  <c r="T75" i="21"/>
  <c r="U75" i="21"/>
  <c r="V75" i="21"/>
  <c r="W75" i="21"/>
  <c r="X75" i="21"/>
  <c r="Y75" i="21"/>
  <c r="Z75" i="21"/>
  <c r="A76" i="21"/>
  <c r="B76" i="21"/>
  <c r="C76" i="21"/>
  <c r="D76" i="21"/>
  <c r="E76" i="21"/>
  <c r="F76" i="21"/>
  <c r="G76" i="21"/>
  <c r="H76" i="21"/>
  <c r="I76" i="21"/>
  <c r="J76" i="21"/>
  <c r="K76" i="21"/>
  <c r="L76" i="21"/>
  <c r="M76" i="21"/>
  <c r="N76" i="21"/>
  <c r="O76" i="21"/>
  <c r="P76" i="21"/>
  <c r="Q76" i="21"/>
  <c r="R76" i="21"/>
  <c r="S76" i="21"/>
  <c r="T76" i="21"/>
  <c r="U76" i="21"/>
  <c r="V76" i="21"/>
  <c r="W76" i="21"/>
  <c r="X76" i="21"/>
  <c r="Y76" i="21"/>
  <c r="Z76" i="21"/>
  <c r="A77" i="21"/>
  <c r="B77" i="21"/>
  <c r="C77" i="21"/>
  <c r="D77" i="21"/>
  <c r="E77" i="21"/>
  <c r="F77" i="21"/>
  <c r="G77" i="21"/>
  <c r="H77" i="21"/>
  <c r="I77" i="21"/>
  <c r="J77" i="21"/>
  <c r="K77" i="21"/>
  <c r="L77" i="21"/>
  <c r="B33" i="21" s="1"/>
  <c r="M77" i="21"/>
  <c r="N77" i="21"/>
  <c r="O77" i="21"/>
  <c r="P77" i="21"/>
  <c r="Q77" i="21"/>
  <c r="R77" i="21"/>
  <c r="S77" i="21"/>
  <c r="T77" i="21"/>
  <c r="U77" i="21"/>
  <c r="V77" i="21"/>
  <c r="W77" i="21"/>
  <c r="X77" i="21"/>
  <c r="Y77" i="21"/>
  <c r="Z77" i="21"/>
  <c r="A78" i="21"/>
  <c r="B78" i="21"/>
  <c r="C78" i="21"/>
  <c r="D78" i="21"/>
  <c r="E78" i="21"/>
  <c r="F78" i="21"/>
  <c r="G78" i="21"/>
  <c r="H78" i="21"/>
  <c r="I78" i="21"/>
  <c r="J78" i="21"/>
  <c r="K78" i="21"/>
  <c r="L78" i="21"/>
  <c r="M78" i="21"/>
  <c r="N78" i="21"/>
  <c r="O78" i="21"/>
  <c r="P78" i="21"/>
  <c r="Q78" i="21"/>
  <c r="R78" i="21"/>
  <c r="S78" i="21"/>
  <c r="T78" i="21"/>
  <c r="U78" i="21"/>
  <c r="V78" i="21"/>
  <c r="W78" i="21"/>
  <c r="X78" i="21"/>
  <c r="Y78" i="21"/>
  <c r="Z78" i="21"/>
  <c r="A79" i="21"/>
  <c r="B79" i="21"/>
  <c r="C79" i="21"/>
  <c r="D79" i="21"/>
  <c r="E79" i="21"/>
  <c r="F79" i="21"/>
  <c r="G79" i="21"/>
  <c r="H79" i="21"/>
  <c r="I79" i="21"/>
  <c r="J79" i="21"/>
  <c r="K79" i="21"/>
  <c r="L79" i="21"/>
  <c r="M79" i="21"/>
  <c r="N79" i="21"/>
  <c r="O79" i="21"/>
  <c r="P79" i="21"/>
  <c r="Q79" i="21"/>
  <c r="R79" i="21"/>
  <c r="S79" i="21"/>
  <c r="T79" i="21"/>
  <c r="U79" i="21"/>
  <c r="V79" i="21"/>
  <c r="W79" i="21"/>
  <c r="X79" i="21"/>
  <c r="Y79" i="21"/>
  <c r="Z79" i="21"/>
  <c r="A80" i="21"/>
  <c r="B80" i="21"/>
  <c r="C80" i="21"/>
  <c r="D80" i="21"/>
  <c r="E80" i="21"/>
  <c r="F80" i="21"/>
  <c r="G80" i="21"/>
  <c r="H80" i="21"/>
  <c r="I80" i="21"/>
  <c r="J80" i="21"/>
  <c r="K80" i="21"/>
  <c r="L80" i="21"/>
  <c r="M80" i="21"/>
  <c r="C36" i="21" s="1"/>
  <c r="N80" i="21"/>
  <c r="D36" i="21" s="1"/>
  <c r="O80" i="21"/>
  <c r="P80" i="21"/>
  <c r="Q80" i="21"/>
  <c r="R80" i="21"/>
  <c r="S80" i="21"/>
  <c r="T80" i="21"/>
  <c r="U80" i="21"/>
  <c r="V80" i="21"/>
  <c r="W80" i="21"/>
  <c r="X80" i="21"/>
  <c r="Y80" i="21"/>
  <c r="Z80" i="21"/>
  <c r="A81" i="21"/>
  <c r="B81" i="21"/>
  <c r="C81" i="21"/>
  <c r="D81" i="21"/>
  <c r="E81" i="21"/>
  <c r="F81" i="21"/>
  <c r="G81" i="21"/>
  <c r="H81" i="21"/>
  <c r="I81" i="21"/>
  <c r="J81" i="21"/>
  <c r="K81" i="21"/>
  <c r="L81" i="21"/>
  <c r="M81" i="21"/>
  <c r="N81" i="21"/>
  <c r="O81" i="21"/>
  <c r="P81" i="21"/>
  <c r="Q81" i="21"/>
  <c r="R81" i="21"/>
  <c r="S81" i="21"/>
  <c r="T81" i="21"/>
  <c r="U81" i="21"/>
  <c r="V81" i="21"/>
  <c r="W81" i="21"/>
  <c r="X81" i="21"/>
  <c r="Y81" i="21"/>
  <c r="Z81" i="21"/>
  <c r="A82" i="21"/>
  <c r="B82" i="21"/>
  <c r="C82" i="21"/>
  <c r="D82" i="21"/>
  <c r="E82" i="21"/>
  <c r="F82" i="21"/>
  <c r="G82" i="21"/>
  <c r="H82" i="21"/>
  <c r="I82" i="21"/>
  <c r="J82" i="21"/>
  <c r="K82" i="21"/>
  <c r="L82" i="21"/>
  <c r="M82" i="21"/>
  <c r="N82" i="21"/>
  <c r="O82" i="21"/>
  <c r="P82" i="21"/>
  <c r="Q82" i="21"/>
  <c r="R82" i="21"/>
  <c r="S82" i="21"/>
  <c r="T82" i="21"/>
  <c r="U82" i="21"/>
  <c r="V82" i="21"/>
  <c r="W82" i="21"/>
  <c r="X82" i="21"/>
  <c r="Y82" i="21"/>
  <c r="Z82" i="21"/>
  <c r="A51" i="20"/>
  <c r="B51" i="20"/>
  <c r="C51" i="20"/>
  <c r="D51" i="20"/>
  <c r="E51" i="20"/>
  <c r="F51" i="20"/>
  <c r="G51" i="20"/>
  <c r="H51" i="20"/>
  <c r="I51" i="20"/>
  <c r="J51" i="20"/>
  <c r="K51" i="20"/>
  <c r="L51" i="20"/>
  <c r="M51" i="20"/>
  <c r="N51" i="20"/>
  <c r="O51" i="20"/>
  <c r="P51" i="20"/>
  <c r="Q51" i="20"/>
  <c r="R51" i="20"/>
  <c r="S51" i="20"/>
  <c r="T51" i="20"/>
  <c r="U51" i="20"/>
  <c r="V51" i="20"/>
  <c r="W51" i="20"/>
  <c r="X51" i="20"/>
  <c r="Y51" i="20"/>
  <c r="Z51" i="20"/>
  <c r="A52" i="20"/>
  <c r="B52" i="20"/>
  <c r="C52" i="20"/>
  <c r="D52" i="20"/>
  <c r="E52" i="20"/>
  <c r="F52" i="20"/>
  <c r="G52" i="20"/>
  <c r="H52" i="20"/>
  <c r="I52" i="20"/>
  <c r="J52" i="20"/>
  <c r="K52" i="20"/>
  <c r="L52" i="20"/>
  <c r="M52" i="20"/>
  <c r="N52" i="20"/>
  <c r="O52" i="20"/>
  <c r="P52" i="20"/>
  <c r="Q52" i="20"/>
  <c r="R52" i="20"/>
  <c r="S52" i="20"/>
  <c r="T52" i="20"/>
  <c r="U52" i="20"/>
  <c r="V52" i="20"/>
  <c r="W52" i="20"/>
  <c r="X52" i="20"/>
  <c r="Y52" i="20"/>
  <c r="Z52" i="20"/>
  <c r="A53" i="20"/>
  <c r="B53" i="20"/>
  <c r="C53" i="20"/>
  <c r="D53" i="20"/>
  <c r="E53" i="20"/>
  <c r="F53" i="20"/>
  <c r="G53" i="20"/>
  <c r="H53" i="20"/>
  <c r="I53" i="20"/>
  <c r="J53" i="20"/>
  <c r="K53" i="20"/>
  <c r="F9" i="20" s="1"/>
  <c r="L53" i="20"/>
  <c r="M53" i="20"/>
  <c r="N53" i="20"/>
  <c r="O53" i="20"/>
  <c r="P53" i="20"/>
  <c r="Q53" i="20"/>
  <c r="R53" i="20"/>
  <c r="S53" i="20"/>
  <c r="T53" i="20"/>
  <c r="U53" i="20"/>
  <c r="V53" i="20"/>
  <c r="W53" i="20"/>
  <c r="X53" i="20"/>
  <c r="Y53" i="20"/>
  <c r="Z53" i="20"/>
  <c r="A54" i="20"/>
  <c r="B54" i="20"/>
  <c r="C54" i="20"/>
  <c r="D54" i="20"/>
  <c r="E54" i="20"/>
  <c r="F54" i="20"/>
  <c r="G54" i="20"/>
  <c r="H54" i="20"/>
  <c r="I54" i="20"/>
  <c r="J54" i="20"/>
  <c r="K54" i="20"/>
  <c r="L54" i="20"/>
  <c r="M54" i="20"/>
  <c r="N54" i="20"/>
  <c r="O54" i="20"/>
  <c r="P54" i="20"/>
  <c r="Q54" i="20"/>
  <c r="R54" i="20"/>
  <c r="S54" i="20"/>
  <c r="T54" i="20"/>
  <c r="U54" i="20"/>
  <c r="V54" i="20"/>
  <c r="W54" i="20"/>
  <c r="X54" i="20"/>
  <c r="Y54" i="20"/>
  <c r="Z54" i="20"/>
  <c r="A55" i="20"/>
  <c r="B55" i="20"/>
  <c r="C55" i="20"/>
  <c r="D55" i="20"/>
  <c r="E55" i="20"/>
  <c r="F55" i="20"/>
  <c r="G55" i="20"/>
  <c r="B11" i="20" s="1"/>
  <c r="H55" i="20"/>
  <c r="I55" i="20"/>
  <c r="J55" i="20"/>
  <c r="K55" i="20"/>
  <c r="L55" i="20"/>
  <c r="M55" i="20"/>
  <c r="N55" i="20"/>
  <c r="O55" i="20"/>
  <c r="P55" i="20"/>
  <c r="Q55" i="20"/>
  <c r="R55" i="20"/>
  <c r="S55" i="20"/>
  <c r="T55" i="20"/>
  <c r="U55" i="20"/>
  <c r="V55" i="20"/>
  <c r="W55" i="20"/>
  <c r="X55" i="20"/>
  <c r="Y55" i="20"/>
  <c r="Z55" i="20"/>
  <c r="A56" i="20"/>
  <c r="B56" i="20"/>
  <c r="C56" i="20"/>
  <c r="D56" i="20"/>
  <c r="E56" i="20"/>
  <c r="F56" i="20"/>
  <c r="G56" i="20"/>
  <c r="H56" i="20"/>
  <c r="I56" i="20"/>
  <c r="J56" i="20"/>
  <c r="K56" i="20"/>
  <c r="L56" i="20"/>
  <c r="M56" i="20"/>
  <c r="N56" i="20"/>
  <c r="O56" i="20"/>
  <c r="P56" i="20"/>
  <c r="Q56" i="20"/>
  <c r="R56" i="20"/>
  <c r="S56" i="20"/>
  <c r="T56" i="20"/>
  <c r="U56" i="20"/>
  <c r="V56" i="20"/>
  <c r="W56" i="20"/>
  <c r="X56" i="20"/>
  <c r="Y56" i="20"/>
  <c r="Z56" i="20"/>
  <c r="A57" i="20"/>
  <c r="B57" i="20"/>
  <c r="C57" i="20"/>
  <c r="D57" i="20"/>
  <c r="E57" i="20"/>
  <c r="F57" i="20"/>
  <c r="G57" i="20"/>
  <c r="H57" i="20"/>
  <c r="I57" i="20"/>
  <c r="J57" i="20"/>
  <c r="K57" i="20"/>
  <c r="L57" i="20"/>
  <c r="M57" i="20"/>
  <c r="N57" i="20"/>
  <c r="O57" i="20"/>
  <c r="P57" i="20"/>
  <c r="Q57" i="20"/>
  <c r="R57" i="20"/>
  <c r="S57" i="20"/>
  <c r="T57" i="20"/>
  <c r="U57" i="20"/>
  <c r="V57" i="20"/>
  <c r="W57" i="20"/>
  <c r="X57" i="20"/>
  <c r="Y57" i="20"/>
  <c r="Z57" i="20"/>
  <c r="A58" i="20"/>
  <c r="B58" i="20"/>
  <c r="C58" i="20"/>
  <c r="D58" i="20"/>
  <c r="E58" i="20"/>
  <c r="F58" i="20"/>
  <c r="G58" i="20"/>
  <c r="H58" i="20"/>
  <c r="I58" i="20"/>
  <c r="D14" i="20" s="1"/>
  <c r="J58" i="20"/>
  <c r="K58" i="20"/>
  <c r="L58" i="20"/>
  <c r="M58" i="20"/>
  <c r="N58" i="20"/>
  <c r="O58" i="20"/>
  <c r="P58" i="20"/>
  <c r="Q58" i="20"/>
  <c r="R58" i="20"/>
  <c r="S58" i="20"/>
  <c r="T58" i="20"/>
  <c r="U58" i="20"/>
  <c r="V58" i="20"/>
  <c r="W58" i="20"/>
  <c r="X58" i="20"/>
  <c r="Y58" i="20"/>
  <c r="Z58" i="20"/>
  <c r="A59" i="20"/>
  <c r="B59" i="20"/>
  <c r="C59" i="20"/>
  <c r="D59" i="20"/>
  <c r="E59" i="20"/>
  <c r="F59" i="20"/>
  <c r="G59" i="20"/>
  <c r="H59" i="20"/>
  <c r="I59" i="20"/>
  <c r="J59" i="20"/>
  <c r="K59" i="20"/>
  <c r="L59" i="20"/>
  <c r="M59" i="20"/>
  <c r="N59" i="20"/>
  <c r="O59" i="20"/>
  <c r="P59" i="20"/>
  <c r="Q59" i="20"/>
  <c r="R59" i="20"/>
  <c r="S59" i="20"/>
  <c r="T59" i="20"/>
  <c r="U59" i="20"/>
  <c r="V59" i="20"/>
  <c r="W59" i="20"/>
  <c r="X59" i="20"/>
  <c r="Y59" i="20"/>
  <c r="Z59" i="20"/>
  <c r="A60" i="20"/>
  <c r="B60" i="20"/>
  <c r="C60" i="20"/>
  <c r="D60" i="20"/>
  <c r="E60" i="20"/>
  <c r="F60" i="20"/>
  <c r="G60" i="20"/>
  <c r="H60" i="20"/>
  <c r="I60" i="20"/>
  <c r="J60" i="20"/>
  <c r="K60" i="20"/>
  <c r="L60" i="20"/>
  <c r="M60" i="20"/>
  <c r="N60" i="20"/>
  <c r="O60" i="20"/>
  <c r="P60" i="20"/>
  <c r="Q60" i="20"/>
  <c r="R60" i="20"/>
  <c r="S60" i="20"/>
  <c r="T60" i="20"/>
  <c r="U60" i="20"/>
  <c r="V60" i="20"/>
  <c r="W60" i="20"/>
  <c r="X60" i="20"/>
  <c r="Y60" i="20"/>
  <c r="Z60" i="20"/>
  <c r="A61" i="20"/>
  <c r="B61" i="20"/>
  <c r="C61" i="20"/>
  <c r="D61" i="20"/>
  <c r="E61" i="20"/>
  <c r="F61" i="20"/>
  <c r="G61" i="20"/>
  <c r="H61" i="20"/>
  <c r="I61" i="20"/>
  <c r="J61" i="20"/>
  <c r="K61" i="20"/>
  <c r="F17" i="20" s="1"/>
  <c r="L61" i="20"/>
  <c r="M61" i="20"/>
  <c r="N61" i="20"/>
  <c r="O61" i="20"/>
  <c r="P61" i="20"/>
  <c r="Q61" i="20"/>
  <c r="R61" i="20"/>
  <c r="S61" i="20"/>
  <c r="T61" i="20"/>
  <c r="U61" i="20"/>
  <c r="V61" i="20"/>
  <c r="W61" i="20"/>
  <c r="X61" i="20"/>
  <c r="Y61" i="20"/>
  <c r="Z61" i="20"/>
  <c r="A62" i="20"/>
  <c r="B62" i="20"/>
  <c r="C62" i="20"/>
  <c r="D62" i="20"/>
  <c r="E62" i="20"/>
  <c r="F62" i="20"/>
  <c r="G62" i="20"/>
  <c r="H62" i="20"/>
  <c r="I62" i="20"/>
  <c r="J62" i="20"/>
  <c r="K62" i="20"/>
  <c r="L62" i="20"/>
  <c r="M62" i="20"/>
  <c r="N62" i="20"/>
  <c r="O62" i="20"/>
  <c r="P62" i="20"/>
  <c r="Q62" i="20"/>
  <c r="R62" i="20"/>
  <c r="S62" i="20"/>
  <c r="T62" i="20"/>
  <c r="U62" i="20"/>
  <c r="V62" i="20"/>
  <c r="W62" i="20"/>
  <c r="X62" i="20"/>
  <c r="Y62" i="20"/>
  <c r="Z62" i="20"/>
  <c r="A63" i="20"/>
  <c r="B63" i="20"/>
  <c r="C63" i="20"/>
  <c r="D63" i="20"/>
  <c r="E63" i="20"/>
  <c r="F63" i="20"/>
  <c r="G63" i="20"/>
  <c r="B19" i="20" s="1"/>
  <c r="H63" i="20"/>
  <c r="I63" i="20"/>
  <c r="J63" i="20"/>
  <c r="K63" i="20"/>
  <c r="L63" i="20"/>
  <c r="M63" i="20"/>
  <c r="N63" i="20"/>
  <c r="O63" i="20"/>
  <c r="P63" i="20"/>
  <c r="Q63" i="20"/>
  <c r="R63" i="20"/>
  <c r="S63" i="20"/>
  <c r="T63" i="20"/>
  <c r="U63" i="20"/>
  <c r="V63" i="20"/>
  <c r="W63" i="20"/>
  <c r="X63" i="20"/>
  <c r="Y63" i="20"/>
  <c r="Z63" i="20"/>
  <c r="A64" i="20"/>
  <c r="B64" i="20"/>
  <c r="C64" i="20"/>
  <c r="D64" i="20"/>
  <c r="E64" i="20"/>
  <c r="F64" i="20"/>
  <c r="G64" i="20"/>
  <c r="H64" i="20"/>
  <c r="I64" i="20"/>
  <c r="J64" i="20"/>
  <c r="K64" i="20"/>
  <c r="L64" i="20"/>
  <c r="M64" i="20"/>
  <c r="N64" i="20"/>
  <c r="O64" i="20"/>
  <c r="P64" i="20"/>
  <c r="Q64" i="20"/>
  <c r="R64" i="20"/>
  <c r="S64" i="20"/>
  <c r="T64" i="20"/>
  <c r="U64" i="20"/>
  <c r="V64" i="20"/>
  <c r="W64" i="20"/>
  <c r="X64" i="20"/>
  <c r="Y64" i="20"/>
  <c r="Z64" i="20"/>
  <c r="A65" i="20"/>
  <c r="B65" i="20"/>
  <c r="C65" i="20"/>
  <c r="D65" i="20"/>
  <c r="E65" i="20"/>
  <c r="F65" i="20"/>
  <c r="G65" i="20"/>
  <c r="H65" i="20"/>
  <c r="I65" i="20"/>
  <c r="J65" i="20"/>
  <c r="K65" i="20"/>
  <c r="L65" i="20"/>
  <c r="M65" i="20"/>
  <c r="N65" i="20"/>
  <c r="O65" i="20"/>
  <c r="P65" i="20"/>
  <c r="Q65" i="20"/>
  <c r="R65" i="20"/>
  <c r="S65" i="20"/>
  <c r="T65" i="20"/>
  <c r="U65" i="20"/>
  <c r="V65" i="20"/>
  <c r="W65" i="20"/>
  <c r="X65" i="20"/>
  <c r="Y65" i="20"/>
  <c r="Z65" i="20"/>
  <c r="A66" i="20"/>
  <c r="B66" i="20"/>
  <c r="C66" i="20"/>
  <c r="D66" i="20"/>
  <c r="E66" i="20"/>
  <c r="F66" i="20"/>
  <c r="G66" i="20"/>
  <c r="H66" i="20"/>
  <c r="I66" i="20"/>
  <c r="D22" i="20" s="1"/>
  <c r="J66" i="20"/>
  <c r="K66" i="20"/>
  <c r="L66" i="20"/>
  <c r="M66" i="20"/>
  <c r="N66" i="20"/>
  <c r="O66" i="20"/>
  <c r="P66" i="20"/>
  <c r="Q66" i="20"/>
  <c r="R66" i="20"/>
  <c r="S66" i="20"/>
  <c r="T66" i="20"/>
  <c r="U66" i="20"/>
  <c r="V66" i="20"/>
  <c r="W66" i="20"/>
  <c r="X66" i="20"/>
  <c r="Y66" i="20"/>
  <c r="Z66" i="20"/>
  <c r="A67" i="20"/>
  <c r="B67" i="20"/>
  <c r="C67" i="20"/>
  <c r="D67" i="20"/>
  <c r="E67" i="20"/>
  <c r="F67" i="20"/>
  <c r="G67" i="20"/>
  <c r="H67" i="20"/>
  <c r="I67" i="20"/>
  <c r="J67" i="20"/>
  <c r="K67" i="20"/>
  <c r="L67" i="20"/>
  <c r="M67" i="20"/>
  <c r="N67" i="20"/>
  <c r="O67" i="20"/>
  <c r="P67" i="20"/>
  <c r="Q67" i="20"/>
  <c r="R67" i="20"/>
  <c r="S67" i="20"/>
  <c r="T67" i="20"/>
  <c r="U67" i="20"/>
  <c r="V67" i="20"/>
  <c r="W67" i="20"/>
  <c r="X67" i="20"/>
  <c r="Y67" i="20"/>
  <c r="Z67" i="20"/>
  <c r="A68" i="20"/>
  <c r="B68" i="20"/>
  <c r="C68" i="20"/>
  <c r="D68" i="20"/>
  <c r="E68" i="20"/>
  <c r="F68" i="20"/>
  <c r="G68" i="20"/>
  <c r="H68" i="20"/>
  <c r="I68" i="20"/>
  <c r="J68" i="20"/>
  <c r="K68" i="20"/>
  <c r="L68" i="20"/>
  <c r="M68" i="20"/>
  <c r="N68" i="20"/>
  <c r="O68" i="20"/>
  <c r="P68" i="20"/>
  <c r="Q68" i="20"/>
  <c r="R68" i="20"/>
  <c r="S68" i="20"/>
  <c r="T68" i="20"/>
  <c r="U68" i="20"/>
  <c r="V68" i="20"/>
  <c r="W68" i="20"/>
  <c r="X68" i="20"/>
  <c r="Y68" i="20"/>
  <c r="Z68" i="20"/>
  <c r="A69" i="20"/>
  <c r="B69" i="20"/>
  <c r="C69" i="20"/>
  <c r="D69" i="20"/>
  <c r="E69" i="20"/>
  <c r="F69" i="20"/>
  <c r="G69" i="20"/>
  <c r="H69" i="20"/>
  <c r="I69" i="20"/>
  <c r="J69" i="20"/>
  <c r="K69" i="20"/>
  <c r="F25" i="20" s="1"/>
  <c r="L69" i="20"/>
  <c r="M69" i="20"/>
  <c r="N69" i="20"/>
  <c r="O69" i="20"/>
  <c r="P69" i="20"/>
  <c r="Q69" i="20"/>
  <c r="R69" i="20"/>
  <c r="S69" i="20"/>
  <c r="T69" i="20"/>
  <c r="U69" i="20"/>
  <c r="V69" i="20"/>
  <c r="W69" i="20"/>
  <c r="X69" i="20"/>
  <c r="Y69" i="20"/>
  <c r="Z69" i="20"/>
  <c r="A70" i="20"/>
  <c r="B70" i="20"/>
  <c r="C70" i="20"/>
  <c r="D70" i="20"/>
  <c r="E70" i="20"/>
  <c r="F70" i="20"/>
  <c r="G70" i="20"/>
  <c r="H70" i="20"/>
  <c r="I70" i="20"/>
  <c r="J70" i="20"/>
  <c r="K70" i="20"/>
  <c r="L70" i="20"/>
  <c r="M70" i="20"/>
  <c r="N70" i="20"/>
  <c r="O70" i="20"/>
  <c r="P70" i="20"/>
  <c r="Q70" i="20"/>
  <c r="R70" i="20"/>
  <c r="S70" i="20"/>
  <c r="T70" i="20"/>
  <c r="U70" i="20"/>
  <c r="V70" i="20"/>
  <c r="W70" i="20"/>
  <c r="X70" i="20"/>
  <c r="Y70" i="20"/>
  <c r="Z70" i="20"/>
  <c r="A71" i="20"/>
  <c r="B71" i="20"/>
  <c r="C71" i="20"/>
  <c r="D71" i="20"/>
  <c r="E71" i="20"/>
  <c r="F71" i="20"/>
  <c r="G71" i="20"/>
  <c r="B27" i="20" s="1"/>
  <c r="H71" i="20"/>
  <c r="I71" i="20"/>
  <c r="J71" i="20"/>
  <c r="K71" i="20"/>
  <c r="L71" i="20"/>
  <c r="M71" i="20"/>
  <c r="N71" i="20"/>
  <c r="O71" i="20"/>
  <c r="P71" i="20"/>
  <c r="Q71" i="20"/>
  <c r="R71" i="20"/>
  <c r="S71" i="20"/>
  <c r="T71" i="20"/>
  <c r="U71" i="20"/>
  <c r="V71" i="20"/>
  <c r="W71" i="20"/>
  <c r="X71" i="20"/>
  <c r="Y71" i="20"/>
  <c r="Z71" i="20"/>
  <c r="A72" i="20"/>
  <c r="B72" i="20"/>
  <c r="C72" i="20"/>
  <c r="D72" i="20"/>
  <c r="E72" i="20"/>
  <c r="F72" i="20"/>
  <c r="G72" i="20"/>
  <c r="H72" i="20"/>
  <c r="I72" i="20"/>
  <c r="J72" i="20"/>
  <c r="K72" i="20"/>
  <c r="L72" i="20"/>
  <c r="M72" i="20"/>
  <c r="N72" i="20"/>
  <c r="O72" i="20"/>
  <c r="P72" i="20"/>
  <c r="Q72" i="20"/>
  <c r="R72" i="20"/>
  <c r="S72" i="20"/>
  <c r="T72" i="20"/>
  <c r="U72" i="20"/>
  <c r="V72" i="20"/>
  <c r="W72" i="20"/>
  <c r="X72" i="20"/>
  <c r="Y72" i="20"/>
  <c r="Z72" i="20"/>
  <c r="A73" i="20"/>
  <c r="B73" i="20"/>
  <c r="C73" i="20"/>
  <c r="D73" i="20"/>
  <c r="E73" i="20"/>
  <c r="F73" i="20"/>
  <c r="G73" i="20"/>
  <c r="H73" i="20"/>
  <c r="I73" i="20"/>
  <c r="J73" i="20"/>
  <c r="K73" i="20"/>
  <c r="L73" i="20"/>
  <c r="M73" i="20"/>
  <c r="N73" i="20"/>
  <c r="O73" i="20"/>
  <c r="P73" i="20"/>
  <c r="Q73" i="20"/>
  <c r="R73" i="20"/>
  <c r="S73" i="20"/>
  <c r="T73" i="20"/>
  <c r="U73" i="20"/>
  <c r="V73" i="20"/>
  <c r="W73" i="20"/>
  <c r="X73" i="20"/>
  <c r="Y73" i="20"/>
  <c r="Z73" i="20"/>
  <c r="A74" i="20"/>
  <c r="B74" i="20"/>
  <c r="C74" i="20"/>
  <c r="D74" i="20"/>
  <c r="E74" i="20"/>
  <c r="F74" i="20"/>
  <c r="G74" i="20"/>
  <c r="H74" i="20"/>
  <c r="I74" i="20"/>
  <c r="D30" i="20" s="1"/>
  <c r="J74" i="20"/>
  <c r="K74" i="20"/>
  <c r="L74" i="20"/>
  <c r="M74" i="20"/>
  <c r="N74" i="20"/>
  <c r="O74" i="20"/>
  <c r="P74" i="20"/>
  <c r="Q74" i="20"/>
  <c r="R74" i="20"/>
  <c r="S74" i="20"/>
  <c r="T74" i="20"/>
  <c r="U74" i="20"/>
  <c r="V74" i="20"/>
  <c r="W74" i="20"/>
  <c r="X74" i="20"/>
  <c r="Y74" i="20"/>
  <c r="Z74" i="20"/>
  <c r="A75" i="20"/>
  <c r="B75" i="20"/>
  <c r="C75" i="20"/>
  <c r="D75" i="20"/>
  <c r="E75" i="20"/>
  <c r="F75" i="20"/>
  <c r="G75" i="20"/>
  <c r="H75" i="20"/>
  <c r="I75" i="20"/>
  <c r="J75" i="20"/>
  <c r="K75" i="20"/>
  <c r="L75" i="20"/>
  <c r="M75" i="20"/>
  <c r="N75" i="20"/>
  <c r="O75" i="20"/>
  <c r="P75" i="20"/>
  <c r="Q75" i="20"/>
  <c r="R75" i="20"/>
  <c r="S75" i="20"/>
  <c r="T75" i="20"/>
  <c r="U75" i="20"/>
  <c r="V75" i="20"/>
  <c r="W75" i="20"/>
  <c r="X75" i="20"/>
  <c r="Y75" i="20"/>
  <c r="Z75" i="20"/>
  <c r="A76" i="20"/>
  <c r="B76" i="20"/>
  <c r="C76" i="20"/>
  <c r="D76" i="20"/>
  <c r="E76" i="20"/>
  <c r="F76" i="20"/>
  <c r="G76" i="20"/>
  <c r="H76" i="20"/>
  <c r="I76" i="20"/>
  <c r="J76" i="20"/>
  <c r="K76" i="20"/>
  <c r="L76" i="20"/>
  <c r="M76" i="20"/>
  <c r="N76" i="20"/>
  <c r="O76" i="20"/>
  <c r="P76" i="20"/>
  <c r="Q76" i="20"/>
  <c r="R76" i="20"/>
  <c r="S76" i="20"/>
  <c r="T76" i="20"/>
  <c r="U76" i="20"/>
  <c r="V76" i="20"/>
  <c r="W76" i="20"/>
  <c r="X76" i="20"/>
  <c r="Y76" i="20"/>
  <c r="Z76" i="20"/>
  <c r="A77" i="20"/>
  <c r="B77" i="20"/>
  <c r="C77" i="20"/>
  <c r="D77" i="20"/>
  <c r="E77" i="20"/>
  <c r="F77" i="20"/>
  <c r="G77" i="20"/>
  <c r="H77" i="20"/>
  <c r="I77" i="20"/>
  <c r="J77" i="20"/>
  <c r="K77" i="20"/>
  <c r="F33" i="20" s="1"/>
  <c r="L77" i="20"/>
  <c r="M77" i="20"/>
  <c r="N77" i="20"/>
  <c r="O77" i="20"/>
  <c r="P77" i="20"/>
  <c r="Q77" i="20"/>
  <c r="R77" i="20"/>
  <c r="S77" i="20"/>
  <c r="T77" i="20"/>
  <c r="U77" i="20"/>
  <c r="V77" i="20"/>
  <c r="W77" i="20"/>
  <c r="X77" i="20"/>
  <c r="Y77" i="20"/>
  <c r="Z77" i="20"/>
  <c r="A78" i="20"/>
  <c r="B78" i="20"/>
  <c r="C78" i="20"/>
  <c r="D78" i="20"/>
  <c r="E78" i="20"/>
  <c r="F78" i="20"/>
  <c r="G78" i="20"/>
  <c r="H78" i="20"/>
  <c r="I78" i="20"/>
  <c r="J78" i="20"/>
  <c r="K78" i="20"/>
  <c r="L78" i="20"/>
  <c r="M78" i="20"/>
  <c r="N78" i="20"/>
  <c r="O78" i="20"/>
  <c r="P78" i="20"/>
  <c r="Q78" i="20"/>
  <c r="R78" i="20"/>
  <c r="S78" i="20"/>
  <c r="T78" i="20"/>
  <c r="U78" i="20"/>
  <c r="V78" i="20"/>
  <c r="W78" i="20"/>
  <c r="X78" i="20"/>
  <c r="Y78" i="20"/>
  <c r="Z78" i="20"/>
  <c r="A79" i="20"/>
  <c r="B79" i="20"/>
  <c r="C79" i="20"/>
  <c r="D79" i="20"/>
  <c r="E79" i="20"/>
  <c r="F79" i="20"/>
  <c r="G79" i="20"/>
  <c r="B35" i="20" s="1"/>
  <c r="H79" i="20"/>
  <c r="I79" i="20"/>
  <c r="J79" i="20"/>
  <c r="K79" i="20"/>
  <c r="L79" i="20"/>
  <c r="M79" i="20"/>
  <c r="N79" i="20"/>
  <c r="O79" i="20"/>
  <c r="P79" i="20"/>
  <c r="Q79" i="20"/>
  <c r="R79" i="20"/>
  <c r="S79" i="20"/>
  <c r="T79" i="20"/>
  <c r="U79" i="20"/>
  <c r="V79" i="20"/>
  <c r="W79" i="20"/>
  <c r="X79" i="20"/>
  <c r="Y79" i="20"/>
  <c r="Z79" i="20"/>
  <c r="A80" i="20"/>
  <c r="B80" i="20"/>
  <c r="C80" i="20"/>
  <c r="D80" i="20"/>
  <c r="E80" i="20"/>
  <c r="F80" i="20"/>
  <c r="G80" i="20"/>
  <c r="H80" i="20"/>
  <c r="I80" i="20"/>
  <c r="J80" i="20"/>
  <c r="K80" i="20"/>
  <c r="L80" i="20"/>
  <c r="M80" i="20"/>
  <c r="N80" i="20"/>
  <c r="O80" i="20"/>
  <c r="P80" i="20"/>
  <c r="Q80" i="20"/>
  <c r="R80" i="20"/>
  <c r="S80" i="20"/>
  <c r="T80" i="20"/>
  <c r="U80" i="20"/>
  <c r="V80" i="20"/>
  <c r="W80" i="20"/>
  <c r="X80" i="20"/>
  <c r="Y80" i="20"/>
  <c r="Z80" i="20"/>
  <c r="A81" i="20"/>
  <c r="B81" i="20"/>
  <c r="C81" i="20"/>
  <c r="D81" i="20"/>
  <c r="E81" i="20"/>
  <c r="F81" i="20"/>
  <c r="G81" i="20"/>
  <c r="H81" i="20"/>
  <c r="I81" i="20"/>
  <c r="J81" i="20"/>
  <c r="K81" i="20"/>
  <c r="L81" i="20"/>
  <c r="M81" i="20"/>
  <c r="N81" i="20"/>
  <c r="O81" i="20"/>
  <c r="P81" i="20"/>
  <c r="Q81" i="20"/>
  <c r="R81" i="20"/>
  <c r="S81" i="20"/>
  <c r="T81" i="20"/>
  <c r="U81" i="20"/>
  <c r="V81" i="20"/>
  <c r="W81" i="20"/>
  <c r="X81" i="20"/>
  <c r="Y81" i="20"/>
  <c r="Z81" i="20"/>
  <c r="A82" i="20"/>
  <c r="B82" i="20"/>
  <c r="C82" i="20"/>
  <c r="D82" i="20"/>
  <c r="E82" i="20"/>
  <c r="F82" i="20"/>
  <c r="G82" i="20"/>
  <c r="H82" i="20"/>
  <c r="I82" i="20"/>
  <c r="D38" i="20" s="1"/>
  <c r="J82" i="20"/>
  <c r="K82" i="20"/>
  <c r="L82" i="20"/>
  <c r="M82" i="20"/>
  <c r="N82" i="20"/>
  <c r="O82" i="20"/>
  <c r="P82" i="20"/>
  <c r="Q82" i="20"/>
  <c r="R82" i="20"/>
  <c r="S82" i="20"/>
  <c r="T82" i="20"/>
  <c r="U82" i="20"/>
  <c r="V82" i="20"/>
  <c r="W82" i="20"/>
  <c r="X82" i="20"/>
  <c r="Y82" i="20"/>
  <c r="Z82" i="20"/>
  <c r="G8" i="22"/>
  <c r="C8" i="21"/>
  <c r="D8" i="21"/>
  <c r="E8" i="21"/>
  <c r="F8" i="21"/>
  <c r="C9" i="21"/>
  <c r="D9" i="21"/>
  <c r="E9" i="21"/>
  <c r="F9" i="21"/>
  <c r="B10" i="21"/>
  <c r="C10" i="21"/>
  <c r="D10" i="21"/>
  <c r="E10" i="21"/>
  <c r="F10" i="21"/>
  <c r="B11" i="21"/>
  <c r="C11" i="21"/>
  <c r="D11" i="21"/>
  <c r="E11" i="21"/>
  <c r="B12" i="21"/>
  <c r="E12" i="21"/>
  <c r="F12" i="21"/>
  <c r="B13" i="21"/>
  <c r="C13" i="21"/>
  <c r="D13" i="21"/>
  <c r="E13" i="21"/>
  <c r="F13" i="21"/>
  <c r="B14" i="21"/>
  <c r="C14" i="21"/>
  <c r="D14" i="21"/>
  <c r="E14" i="21"/>
  <c r="F14" i="21"/>
  <c r="B15" i="21"/>
  <c r="C15" i="21"/>
  <c r="D15" i="21"/>
  <c r="B16" i="21"/>
  <c r="C16" i="21"/>
  <c r="D16" i="21"/>
  <c r="E16" i="21"/>
  <c r="F16" i="21"/>
  <c r="C17" i="21"/>
  <c r="D17" i="21"/>
  <c r="E17" i="21"/>
  <c r="F17" i="21"/>
  <c r="B18" i="21"/>
  <c r="C18" i="21"/>
  <c r="D18" i="21"/>
  <c r="E18" i="21"/>
  <c r="F18" i="21"/>
  <c r="B19" i="21"/>
  <c r="C19" i="21"/>
  <c r="D19" i="21"/>
  <c r="E19" i="21"/>
  <c r="F19" i="21"/>
  <c r="B20" i="21"/>
  <c r="E20" i="21"/>
  <c r="F20" i="21"/>
  <c r="B21" i="21"/>
  <c r="C21" i="21"/>
  <c r="D21" i="21"/>
  <c r="E21" i="21"/>
  <c r="F21" i="21"/>
  <c r="B22" i="21"/>
  <c r="C22" i="21"/>
  <c r="D22" i="21"/>
  <c r="E22" i="21"/>
  <c r="F22" i="21"/>
  <c r="B23" i="21"/>
  <c r="C23" i="21"/>
  <c r="D23" i="21"/>
  <c r="F23" i="21"/>
  <c r="B24" i="21"/>
  <c r="C24" i="21"/>
  <c r="D24" i="21"/>
  <c r="E24" i="21"/>
  <c r="F24" i="21"/>
  <c r="C25" i="21"/>
  <c r="D25" i="21"/>
  <c r="E25" i="21"/>
  <c r="F25" i="21"/>
  <c r="B26" i="21"/>
  <c r="C26" i="21"/>
  <c r="D26" i="21"/>
  <c r="E26" i="21"/>
  <c r="F26" i="21"/>
  <c r="B27" i="21"/>
  <c r="C27" i="21"/>
  <c r="D27" i="21"/>
  <c r="E27" i="21"/>
  <c r="F27" i="21"/>
  <c r="B28" i="21"/>
  <c r="E28" i="21"/>
  <c r="F28" i="21"/>
  <c r="B29" i="21"/>
  <c r="C29" i="21"/>
  <c r="D29" i="21"/>
  <c r="E29" i="21"/>
  <c r="F29" i="21"/>
  <c r="B30" i="21"/>
  <c r="C30" i="21"/>
  <c r="D30" i="21"/>
  <c r="E30" i="21"/>
  <c r="F30" i="21"/>
  <c r="B31" i="21"/>
  <c r="C31" i="21"/>
  <c r="D31" i="21"/>
  <c r="B32" i="21"/>
  <c r="C32" i="21"/>
  <c r="D32" i="21"/>
  <c r="E32" i="21"/>
  <c r="F32" i="21"/>
  <c r="C33" i="21"/>
  <c r="D33" i="21"/>
  <c r="E33" i="21"/>
  <c r="F33" i="21"/>
  <c r="B34" i="21"/>
  <c r="C34" i="21"/>
  <c r="D34" i="21"/>
  <c r="E34" i="21"/>
  <c r="F34" i="21"/>
  <c r="B35" i="21"/>
  <c r="C35" i="21"/>
  <c r="D35" i="21"/>
  <c r="E35" i="21"/>
  <c r="F35" i="21"/>
  <c r="B36" i="21"/>
  <c r="E36" i="21"/>
  <c r="F36" i="21"/>
  <c r="B37" i="21"/>
  <c r="C37" i="21"/>
  <c r="D37" i="21"/>
  <c r="E37" i="21"/>
  <c r="F37" i="21"/>
  <c r="B38" i="21"/>
  <c r="C38" i="21"/>
  <c r="D38" i="21"/>
  <c r="E38" i="21"/>
  <c r="F38" i="21"/>
  <c r="C8" i="20"/>
  <c r="D8" i="20"/>
  <c r="E8" i="20"/>
  <c r="F8" i="20"/>
  <c r="B9" i="20"/>
  <c r="C9" i="20"/>
  <c r="D9" i="20"/>
  <c r="E9" i="20"/>
  <c r="B10" i="20"/>
  <c r="C10" i="20"/>
  <c r="D10" i="20"/>
  <c r="E10" i="20"/>
  <c r="F10" i="20"/>
  <c r="C11" i="20"/>
  <c r="E11" i="20"/>
  <c r="F11" i="20"/>
  <c r="B12" i="20"/>
  <c r="C12" i="20"/>
  <c r="D12" i="20"/>
  <c r="E12" i="20"/>
  <c r="F12" i="20"/>
  <c r="B13" i="20"/>
  <c r="C13" i="20"/>
  <c r="D13" i="20"/>
  <c r="E13" i="20"/>
  <c r="F13" i="20"/>
  <c r="B14" i="20"/>
  <c r="C14" i="20"/>
  <c r="E14" i="20"/>
  <c r="F14" i="20"/>
  <c r="B15" i="20"/>
  <c r="C15" i="20"/>
  <c r="D15" i="20"/>
  <c r="E15" i="20"/>
  <c r="F15" i="20"/>
  <c r="B16" i="20"/>
  <c r="C16" i="20"/>
  <c r="D16" i="20"/>
  <c r="E16" i="20"/>
  <c r="F16" i="20"/>
  <c r="B17" i="20"/>
  <c r="C17" i="20"/>
  <c r="D17" i="20"/>
  <c r="E17" i="20"/>
  <c r="B18" i="20"/>
  <c r="C18" i="20"/>
  <c r="D18" i="20"/>
  <c r="E18" i="20"/>
  <c r="F18" i="20"/>
  <c r="C19" i="20"/>
  <c r="D19" i="20"/>
  <c r="E19" i="20"/>
  <c r="F19" i="20"/>
  <c r="B20" i="20"/>
  <c r="C20" i="20"/>
  <c r="D20" i="20"/>
  <c r="E20" i="20"/>
  <c r="F20" i="20"/>
  <c r="B21" i="20"/>
  <c r="I21" i="20" s="1"/>
  <c r="C21" i="20"/>
  <c r="D21" i="20"/>
  <c r="E21" i="20"/>
  <c r="F21" i="20"/>
  <c r="B22" i="20"/>
  <c r="C22" i="20"/>
  <c r="E22" i="20"/>
  <c r="F22" i="20"/>
  <c r="B23" i="20"/>
  <c r="C23" i="20"/>
  <c r="D23" i="20"/>
  <c r="E23" i="20"/>
  <c r="F23" i="20"/>
  <c r="B24" i="20"/>
  <c r="C24" i="20"/>
  <c r="D24" i="20"/>
  <c r="E24" i="20"/>
  <c r="F24" i="20"/>
  <c r="B25" i="20"/>
  <c r="C25" i="20"/>
  <c r="D25" i="20"/>
  <c r="E25" i="20"/>
  <c r="B26" i="20"/>
  <c r="C26" i="20"/>
  <c r="D26" i="20"/>
  <c r="E26" i="20"/>
  <c r="F26" i="20"/>
  <c r="C27" i="20"/>
  <c r="D27" i="20"/>
  <c r="E27" i="20"/>
  <c r="F27" i="20"/>
  <c r="B28" i="20"/>
  <c r="C28" i="20"/>
  <c r="D28" i="20"/>
  <c r="E28" i="20"/>
  <c r="F28" i="20"/>
  <c r="B29" i="20"/>
  <c r="C29" i="20"/>
  <c r="D29" i="20"/>
  <c r="E29" i="20"/>
  <c r="F29" i="20"/>
  <c r="B30" i="20"/>
  <c r="C30" i="20"/>
  <c r="E30" i="20"/>
  <c r="F30" i="20"/>
  <c r="B31" i="20"/>
  <c r="C31" i="20"/>
  <c r="D31" i="20"/>
  <c r="E31" i="20"/>
  <c r="F31" i="20"/>
  <c r="B32" i="20"/>
  <c r="C32" i="20"/>
  <c r="D32" i="20"/>
  <c r="E32" i="20"/>
  <c r="F32" i="20"/>
  <c r="B33" i="20"/>
  <c r="C33" i="20"/>
  <c r="D33" i="20"/>
  <c r="E33" i="20"/>
  <c r="B34" i="20"/>
  <c r="C34" i="20"/>
  <c r="D34" i="20"/>
  <c r="E34" i="20"/>
  <c r="F34" i="20"/>
  <c r="C35" i="20"/>
  <c r="D35" i="20"/>
  <c r="E35" i="20"/>
  <c r="F35" i="20"/>
  <c r="B36" i="20"/>
  <c r="C36" i="20"/>
  <c r="D36" i="20"/>
  <c r="E36" i="20"/>
  <c r="F36" i="20"/>
  <c r="B37" i="20"/>
  <c r="C37" i="20"/>
  <c r="D37" i="20"/>
  <c r="E37" i="20"/>
  <c r="F37" i="20"/>
  <c r="B38" i="20"/>
  <c r="C38" i="20"/>
  <c r="E38" i="20"/>
  <c r="F38" i="20"/>
  <c r="L38" i="23"/>
  <c r="L34" i="23"/>
  <c r="G33" i="23"/>
  <c r="K33" i="23" s="1"/>
  <c r="L25" i="23"/>
  <c r="I15" i="23"/>
  <c r="L14" i="23"/>
  <c r="I12" i="23"/>
  <c r="G11" i="23"/>
  <c r="K11" i="23" s="1"/>
  <c r="I9" i="23"/>
  <c r="B6" i="23"/>
  <c r="B6" i="22"/>
  <c r="B6" i="21"/>
  <c r="B6" i="20"/>
  <c r="F38" i="19"/>
  <c r="F37" i="19"/>
  <c r="F36" i="19"/>
  <c r="F35" i="19"/>
  <c r="F34" i="19"/>
  <c r="F33" i="19"/>
  <c r="F32" i="19"/>
  <c r="F31" i="19"/>
  <c r="F30" i="19"/>
  <c r="F29" i="19"/>
  <c r="F28" i="19"/>
  <c r="F27" i="19"/>
  <c r="F26" i="19"/>
  <c r="F25" i="19"/>
  <c r="F24" i="19"/>
  <c r="F23" i="19"/>
  <c r="F22" i="19"/>
  <c r="F21" i="19"/>
  <c r="F20" i="19"/>
  <c r="F19" i="19"/>
  <c r="F18" i="19"/>
  <c r="F17" i="19"/>
  <c r="F16" i="19"/>
  <c r="F15" i="19"/>
  <c r="F14" i="19"/>
  <c r="F13" i="19"/>
  <c r="F12" i="19"/>
  <c r="F11" i="19"/>
  <c r="F10" i="19"/>
  <c r="F9" i="19"/>
  <c r="E38" i="19"/>
  <c r="E37" i="19"/>
  <c r="E36" i="19"/>
  <c r="E35" i="19"/>
  <c r="E34" i="19"/>
  <c r="E33" i="19"/>
  <c r="E32" i="19"/>
  <c r="E31" i="19"/>
  <c r="E30" i="19"/>
  <c r="E29" i="19"/>
  <c r="E28" i="19"/>
  <c r="E27" i="19"/>
  <c r="E26" i="19"/>
  <c r="E25" i="19"/>
  <c r="E24" i="19"/>
  <c r="E23" i="19"/>
  <c r="E22" i="19"/>
  <c r="E21" i="19"/>
  <c r="E20" i="19"/>
  <c r="E19" i="19"/>
  <c r="E18" i="19"/>
  <c r="E17" i="19"/>
  <c r="E16" i="19"/>
  <c r="E15" i="19"/>
  <c r="E14" i="19"/>
  <c r="E13" i="19"/>
  <c r="E12" i="19"/>
  <c r="E11" i="19"/>
  <c r="E10" i="19"/>
  <c r="E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0" i="19"/>
  <c r="C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F8" i="19"/>
  <c r="E8" i="19"/>
  <c r="D8" i="19"/>
  <c r="C8" i="19"/>
  <c r="B6" i="19"/>
  <c r="B62" i="18"/>
  <c r="I23" i="18"/>
  <c r="B63" i="18" s="1"/>
  <c r="I12" i="18"/>
  <c r="I13" i="18" s="1"/>
  <c r="I19" i="18" s="1"/>
  <c r="I21" i="18" s="1"/>
  <c r="I16" i="18"/>
  <c r="I17" i="18" s="1"/>
  <c r="D15" i="2"/>
  <c r="D19" i="2" s="1"/>
  <c r="D20" i="2" s="1"/>
  <c r="D21" i="2" s="1"/>
  <c r="E3" i="27"/>
  <c r="I9" i="4"/>
  <c r="H9" i="4"/>
  <c r="G9" i="4"/>
  <c r="I7" i="4"/>
  <c r="H7" i="4"/>
  <c r="F27" i="17"/>
  <c r="F26" i="17"/>
  <c r="F38" i="17"/>
  <c r="E38" i="17"/>
  <c r="F36" i="17"/>
  <c r="E35" i="17"/>
  <c r="B34" i="17"/>
  <c r="E33" i="17"/>
  <c r="F25" i="17"/>
  <c r="E25" i="17"/>
  <c r="F24" i="17"/>
  <c r="E24" i="17"/>
  <c r="C23" i="17"/>
  <c r="F22" i="17"/>
  <c r="E22" i="17"/>
  <c r="F21" i="17"/>
  <c r="E21" i="17"/>
  <c r="E20" i="17"/>
  <c r="E17" i="17"/>
  <c r="F16" i="17"/>
  <c r="F15" i="17"/>
  <c r="E15" i="17"/>
  <c r="F14" i="17"/>
  <c r="E14" i="17"/>
  <c r="B13" i="17"/>
  <c r="F12" i="17"/>
  <c r="E12" i="17"/>
  <c r="F11" i="17"/>
  <c r="F10" i="17"/>
  <c r="E13" i="17"/>
  <c r="D31" i="17"/>
  <c r="C19" i="17"/>
  <c r="B36" i="17"/>
  <c r="B6" i="17"/>
  <c r="A26" i="18"/>
  <c r="A9" i="18"/>
  <c r="A10" i="18" s="1"/>
  <c r="A11" i="18" s="1"/>
  <c r="O1002" i="18"/>
  <c r="O1001" i="18"/>
  <c r="O1000" i="18"/>
  <c r="O999" i="18"/>
  <c r="O998" i="18"/>
  <c r="O997" i="18"/>
  <c r="O996" i="18"/>
  <c r="O995" i="18"/>
  <c r="O994" i="18"/>
  <c r="O993" i="18"/>
  <c r="O992" i="18"/>
  <c r="O991" i="18"/>
  <c r="O990" i="18"/>
  <c r="O989" i="18"/>
  <c r="O988" i="18"/>
  <c r="O987" i="18"/>
  <c r="O986" i="18"/>
  <c r="O985" i="18"/>
  <c r="O984" i="18"/>
  <c r="O983" i="18"/>
  <c r="O982" i="18"/>
  <c r="O981" i="18"/>
  <c r="O980" i="18"/>
  <c r="O979" i="18"/>
  <c r="O978" i="18"/>
  <c r="O977" i="18"/>
  <c r="O976" i="18"/>
  <c r="O975" i="18"/>
  <c r="O974" i="18"/>
  <c r="O973" i="18"/>
  <c r="O972" i="18"/>
  <c r="O971" i="18"/>
  <c r="O970" i="18"/>
  <c r="O969" i="18"/>
  <c r="O968" i="18"/>
  <c r="O967" i="18"/>
  <c r="O966" i="18"/>
  <c r="O965" i="18"/>
  <c r="O964" i="18"/>
  <c r="O963" i="18"/>
  <c r="O962" i="18"/>
  <c r="O961" i="18"/>
  <c r="O960" i="18"/>
  <c r="O959" i="18"/>
  <c r="O958" i="18"/>
  <c r="O957" i="18"/>
  <c r="O956" i="18"/>
  <c r="O955" i="18"/>
  <c r="O954" i="18"/>
  <c r="O953" i="18"/>
  <c r="O952" i="18"/>
  <c r="O951" i="18"/>
  <c r="O950" i="18"/>
  <c r="O949" i="18"/>
  <c r="O948" i="18"/>
  <c r="O947" i="18"/>
  <c r="O946" i="18"/>
  <c r="O945" i="18"/>
  <c r="O944" i="18"/>
  <c r="O943" i="18"/>
  <c r="O942" i="18"/>
  <c r="O941" i="18"/>
  <c r="O940" i="18"/>
  <c r="O939" i="18"/>
  <c r="O938" i="18"/>
  <c r="O937" i="18"/>
  <c r="O936" i="18"/>
  <c r="O935" i="18"/>
  <c r="O934" i="18"/>
  <c r="O933" i="18"/>
  <c r="O932" i="18"/>
  <c r="O931" i="18"/>
  <c r="O930" i="18"/>
  <c r="O929" i="18"/>
  <c r="O928" i="18"/>
  <c r="O927" i="18"/>
  <c r="O926" i="18"/>
  <c r="O925" i="18"/>
  <c r="O924" i="18"/>
  <c r="O923" i="18"/>
  <c r="O922" i="18"/>
  <c r="O921" i="18"/>
  <c r="O920" i="18"/>
  <c r="O919" i="18"/>
  <c r="O918" i="18"/>
  <c r="O917" i="18"/>
  <c r="O916" i="18"/>
  <c r="O915" i="18"/>
  <c r="O914" i="18"/>
  <c r="O913" i="18"/>
  <c r="O912" i="18"/>
  <c r="O911" i="18"/>
  <c r="O910" i="18"/>
  <c r="O909" i="18"/>
  <c r="O908" i="18"/>
  <c r="O907" i="18"/>
  <c r="O906" i="18"/>
  <c r="O905" i="18"/>
  <c r="O904" i="18"/>
  <c r="O903" i="18"/>
  <c r="O902" i="18"/>
  <c r="O901" i="18"/>
  <c r="O900" i="18"/>
  <c r="O899" i="18"/>
  <c r="O898" i="18"/>
  <c r="O897" i="18"/>
  <c r="O896" i="18"/>
  <c r="O895" i="18"/>
  <c r="O894" i="18"/>
  <c r="O893" i="18"/>
  <c r="O892" i="18"/>
  <c r="O891" i="18"/>
  <c r="O890" i="18"/>
  <c r="O889" i="18"/>
  <c r="O888" i="18"/>
  <c r="O887" i="18"/>
  <c r="O886" i="18"/>
  <c r="O885" i="18"/>
  <c r="O884" i="18"/>
  <c r="O883" i="18"/>
  <c r="O882" i="18"/>
  <c r="O881" i="18"/>
  <c r="O880" i="18"/>
  <c r="O879" i="18"/>
  <c r="O878" i="18"/>
  <c r="O877" i="18"/>
  <c r="O876" i="18"/>
  <c r="O875" i="18"/>
  <c r="O874" i="18"/>
  <c r="O873" i="18"/>
  <c r="O872" i="18"/>
  <c r="O871" i="18"/>
  <c r="O870" i="18"/>
  <c r="O869" i="18"/>
  <c r="O868" i="18"/>
  <c r="O867" i="18"/>
  <c r="O866" i="18"/>
  <c r="O865" i="18"/>
  <c r="O864" i="18"/>
  <c r="O863" i="18"/>
  <c r="O862" i="18"/>
  <c r="O861" i="18"/>
  <c r="O860" i="18"/>
  <c r="O859" i="18"/>
  <c r="O858" i="18"/>
  <c r="O857" i="18"/>
  <c r="O856" i="18"/>
  <c r="O855" i="18"/>
  <c r="O854" i="18"/>
  <c r="O853" i="18"/>
  <c r="O852" i="18"/>
  <c r="O851" i="18"/>
  <c r="O850" i="18"/>
  <c r="O849" i="18"/>
  <c r="O848" i="18"/>
  <c r="O847" i="18"/>
  <c r="O846" i="18"/>
  <c r="O845" i="18"/>
  <c r="O844" i="18"/>
  <c r="O843" i="18"/>
  <c r="O842" i="18"/>
  <c r="O841" i="18"/>
  <c r="O840" i="18"/>
  <c r="O839" i="18"/>
  <c r="O838" i="18"/>
  <c r="O837" i="18"/>
  <c r="O836" i="18"/>
  <c r="O835" i="18"/>
  <c r="O834" i="18"/>
  <c r="O833" i="18"/>
  <c r="O832" i="18"/>
  <c r="O831" i="18"/>
  <c r="O830" i="18"/>
  <c r="O829" i="18"/>
  <c r="O828" i="18"/>
  <c r="O827" i="18"/>
  <c r="O826" i="18"/>
  <c r="O825" i="18"/>
  <c r="O824" i="18"/>
  <c r="O823" i="18"/>
  <c r="O822" i="18"/>
  <c r="O821" i="18"/>
  <c r="O820" i="18"/>
  <c r="O819" i="18"/>
  <c r="O818" i="18"/>
  <c r="O817" i="18"/>
  <c r="O816" i="18"/>
  <c r="O815" i="18"/>
  <c r="O814" i="18"/>
  <c r="O813" i="18"/>
  <c r="O812" i="18"/>
  <c r="O811" i="18"/>
  <c r="O810" i="18"/>
  <c r="O809" i="18"/>
  <c r="O808" i="18"/>
  <c r="O807" i="18"/>
  <c r="O806" i="18"/>
  <c r="O805" i="18"/>
  <c r="O804" i="18"/>
  <c r="O803" i="18"/>
  <c r="O802" i="18"/>
  <c r="O801" i="18"/>
  <c r="O800" i="18"/>
  <c r="O799" i="18"/>
  <c r="O798" i="18"/>
  <c r="O797" i="18"/>
  <c r="O796" i="18"/>
  <c r="O795" i="18"/>
  <c r="O794" i="18"/>
  <c r="O793" i="18"/>
  <c r="O792" i="18"/>
  <c r="O791" i="18"/>
  <c r="O790" i="18"/>
  <c r="O789" i="18"/>
  <c r="O788" i="18"/>
  <c r="O787" i="18"/>
  <c r="O786" i="18"/>
  <c r="O785" i="18"/>
  <c r="O784" i="18"/>
  <c r="O783" i="18"/>
  <c r="O782" i="18"/>
  <c r="O781" i="18"/>
  <c r="O780" i="18"/>
  <c r="O779" i="18"/>
  <c r="O778" i="18"/>
  <c r="O777" i="18"/>
  <c r="O776" i="18"/>
  <c r="O775" i="18"/>
  <c r="O774" i="18"/>
  <c r="O773" i="18"/>
  <c r="O772" i="18"/>
  <c r="O771" i="18"/>
  <c r="O770" i="18"/>
  <c r="O769" i="18"/>
  <c r="O768" i="18"/>
  <c r="O767" i="18"/>
  <c r="O766" i="18"/>
  <c r="O765" i="18"/>
  <c r="O764" i="18"/>
  <c r="O763" i="18"/>
  <c r="O762" i="18"/>
  <c r="O761" i="18"/>
  <c r="O760" i="18"/>
  <c r="O759" i="18"/>
  <c r="O758" i="18"/>
  <c r="O757" i="18"/>
  <c r="O756" i="18"/>
  <c r="O755" i="18"/>
  <c r="O754" i="18"/>
  <c r="O753" i="18"/>
  <c r="O752" i="18"/>
  <c r="O751" i="18"/>
  <c r="O750" i="18"/>
  <c r="O749" i="18"/>
  <c r="O748" i="18"/>
  <c r="O747" i="18"/>
  <c r="O746" i="18"/>
  <c r="O745" i="18"/>
  <c r="O744" i="18"/>
  <c r="O743" i="18"/>
  <c r="O742" i="18"/>
  <c r="O741" i="18"/>
  <c r="O740" i="18"/>
  <c r="O739" i="18"/>
  <c r="O738" i="18"/>
  <c r="O737" i="18"/>
  <c r="O736" i="18"/>
  <c r="O735" i="18"/>
  <c r="O734" i="18"/>
  <c r="O733" i="18"/>
  <c r="O732" i="18"/>
  <c r="O731" i="18"/>
  <c r="O730" i="18"/>
  <c r="O729" i="18"/>
  <c r="O728" i="18"/>
  <c r="O727" i="18"/>
  <c r="O726" i="18"/>
  <c r="O725" i="18"/>
  <c r="O724" i="18"/>
  <c r="O723" i="18"/>
  <c r="O722" i="18"/>
  <c r="O721" i="18"/>
  <c r="O720" i="18"/>
  <c r="O719" i="18"/>
  <c r="O718" i="18"/>
  <c r="O717" i="18"/>
  <c r="O716" i="18"/>
  <c r="O715" i="18"/>
  <c r="O714" i="18"/>
  <c r="O713" i="18"/>
  <c r="O712" i="18"/>
  <c r="O711" i="18"/>
  <c r="O710" i="18"/>
  <c r="O709" i="18"/>
  <c r="O708" i="18"/>
  <c r="O707" i="18"/>
  <c r="O706" i="18"/>
  <c r="O705" i="18"/>
  <c r="O704" i="18"/>
  <c r="O703" i="18"/>
  <c r="O702" i="18"/>
  <c r="O701" i="18"/>
  <c r="O700" i="18"/>
  <c r="O699" i="18"/>
  <c r="O698" i="18"/>
  <c r="O697" i="18"/>
  <c r="O696" i="18"/>
  <c r="O695" i="18"/>
  <c r="O694" i="18"/>
  <c r="O693" i="18"/>
  <c r="O692" i="18"/>
  <c r="O691" i="18"/>
  <c r="O690" i="18"/>
  <c r="O689" i="18"/>
  <c r="O688" i="18"/>
  <c r="O687" i="18"/>
  <c r="O686" i="18"/>
  <c r="N685" i="18"/>
  <c r="N684" i="18"/>
  <c r="N683" i="18"/>
  <c r="N682" i="18"/>
  <c r="N681" i="18"/>
  <c r="N680" i="18"/>
  <c r="N679" i="18"/>
  <c r="N678" i="18"/>
  <c r="N677" i="18"/>
  <c r="N676" i="18"/>
  <c r="N675" i="18"/>
  <c r="N674" i="18"/>
  <c r="N673" i="18"/>
  <c r="N672" i="18"/>
  <c r="N671" i="18"/>
  <c r="N670" i="18"/>
  <c r="N669" i="18"/>
  <c r="N668" i="18"/>
  <c r="N667" i="18"/>
  <c r="N666" i="18"/>
  <c r="N665" i="18"/>
  <c r="N664" i="18"/>
  <c r="N663" i="18"/>
  <c r="N662" i="18"/>
  <c r="N661" i="18"/>
  <c r="N660" i="18"/>
  <c r="N659" i="18"/>
  <c r="N658" i="18"/>
  <c r="N657" i="18"/>
  <c r="N656" i="18"/>
  <c r="N655" i="18"/>
  <c r="N654" i="18"/>
  <c r="N653" i="18"/>
  <c r="N652" i="18"/>
  <c r="N651" i="18"/>
  <c r="N650" i="18"/>
  <c r="N649" i="18"/>
  <c r="N648" i="18"/>
  <c r="N647" i="18"/>
  <c r="N646" i="18"/>
  <c r="N645" i="18"/>
  <c r="N644" i="18"/>
  <c r="N643" i="18"/>
  <c r="N642" i="18"/>
  <c r="N641" i="18"/>
  <c r="N640" i="18"/>
  <c r="N639" i="18"/>
  <c r="N638" i="18"/>
  <c r="N637" i="18"/>
  <c r="N636" i="18"/>
  <c r="N635" i="18"/>
  <c r="N634" i="18"/>
  <c r="N633" i="18"/>
  <c r="N632" i="18"/>
  <c r="N631" i="18"/>
  <c r="N630" i="18"/>
  <c r="N629" i="18"/>
  <c r="N628" i="18"/>
  <c r="N627" i="18"/>
  <c r="N626" i="18"/>
  <c r="N625" i="18"/>
  <c r="N624" i="18"/>
  <c r="N623" i="18"/>
  <c r="N622" i="18"/>
  <c r="N621" i="18"/>
  <c r="N620" i="18"/>
  <c r="N619" i="18"/>
  <c r="N618" i="18"/>
  <c r="N617" i="18"/>
  <c r="N616" i="18"/>
  <c r="N615" i="18"/>
  <c r="N614" i="18"/>
  <c r="N613" i="18"/>
  <c r="N612" i="18"/>
  <c r="N611" i="18"/>
  <c r="N610" i="18"/>
  <c r="N609" i="18"/>
  <c r="N608" i="18"/>
  <c r="N607" i="18"/>
  <c r="N606" i="18"/>
  <c r="N605" i="18"/>
  <c r="N604" i="18"/>
  <c r="N603" i="18"/>
  <c r="N602" i="18"/>
  <c r="N601" i="18"/>
  <c r="N600" i="18"/>
  <c r="N599" i="18"/>
  <c r="N598" i="18"/>
  <c r="N597" i="18"/>
  <c r="N596" i="18"/>
  <c r="N595" i="18"/>
  <c r="N594" i="18"/>
  <c r="N593" i="18"/>
  <c r="N592" i="18"/>
  <c r="N591" i="18"/>
  <c r="N590" i="18"/>
  <c r="N589" i="18"/>
  <c r="N588" i="18"/>
  <c r="N587" i="18"/>
  <c r="N586" i="18"/>
  <c r="N585" i="18"/>
  <c r="N584" i="18"/>
  <c r="N583" i="18"/>
  <c r="N582" i="18"/>
  <c r="N581" i="18"/>
  <c r="N580" i="18"/>
  <c r="N579" i="18"/>
  <c r="N578" i="18"/>
  <c r="N577" i="18"/>
  <c r="N576" i="18"/>
  <c r="N575" i="18"/>
  <c r="N574" i="18"/>
  <c r="N573" i="18"/>
  <c r="N572" i="18"/>
  <c r="N571" i="18"/>
  <c r="N570" i="18"/>
  <c r="N569" i="18"/>
  <c r="N568" i="18"/>
  <c r="N567" i="18"/>
  <c r="N566" i="18"/>
  <c r="N565" i="18"/>
  <c r="N564" i="18"/>
  <c r="N563" i="18"/>
  <c r="N562" i="18"/>
  <c r="N561" i="18"/>
  <c r="N560" i="18"/>
  <c r="N559" i="18"/>
  <c r="N558" i="18"/>
  <c r="N557" i="18"/>
  <c r="N556" i="18"/>
  <c r="N555" i="18"/>
  <c r="N554" i="18"/>
  <c r="N553" i="18"/>
  <c r="N552" i="18"/>
  <c r="N551" i="18"/>
  <c r="N550" i="18"/>
  <c r="N549" i="18"/>
  <c r="N548" i="18"/>
  <c r="N547" i="18"/>
  <c r="N546" i="18"/>
  <c r="N545" i="18"/>
  <c r="N544" i="18"/>
  <c r="N543" i="18"/>
  <c r="N542" i="18"/>
  <c r="N541" i="18"/>
  <c r="N540" i="18"/>
  <c r="N539" i="18"/>
  <c r="N538" i="18"/>
  <c r="N537" i="18"/>
  <c r="N536" i="18"/>
  <c r="N535" i="18"/>
  <c r="N534" i="18"/>
  <c r="N533" i="18"/>
  <c r="N532" i="18"/>
  <c r="N531" i="18"/>
  <c r="N530" i="18"/>
  <c r="N529" i="18"/>
  <c r="N528" i="18"/>
  <c r="N527" i="18"/>
  <c r="N526" i="18"/>
  <c r="N525" i="18"/>
  <c r="N524" i="18"/>
  <c r="N523" i="18"/>
  <c r="N522" i="18"/>
  <c r="N521" i="18"/>
  <c r="N520" i="18"/>
  <c r="N519" i="18"/>
  <c r="N518" i="18"/>
  <c r="N517" i="18"/>
  <c r="N516" i="18"/>
  <c r="N515" i="18"/>
  <c r="N514" i="18"/>
  <c r="N513" i="18"/>
  <c r="N512" i="18"/>
  <c r="N511" i="18"/>
  <c r="N510" i="18"/>
  <c r="N509" i="18"/>
  <c r="N508" i="18"/>
  <c r="N507" i="18"/>
  <c r="N506" i="18"/>
  <c r="N505" i="18"/>
  <c r="N504" i="18"/>
  <c r="N503" i="18"/>
  <c r="N502" i="18"/>
  <c r="N501" i="18"/>
  <c r="N500" i="18"/>
  <c r="N499" i="18"/>
  <c r="N498" i="18"/>
  <c r="N497" i="18"/>
  <c r="N496" i="18"/>
  <c r="N495" i="18"/>
  <c r="N494" i="18"/>
  <c r="N493" i="18"/>
  <c r="N492" i="18"/>
  <c r="N491" i="18"/>
  <c r="N490" i="18"/>
  <c r="N489" i="18"/>
  <c r="N488" i="18"/>
  <c r="N487" i="18"/>
  <c r="N486" i="18"/>
  <c r="N485" i="18"/>
  <c r="N484" i="18"/>
  <c r="N483" i="18"/>
  <c r="N482" i="18"/>
  <c r="N481" i="18"/>
  <c r="N480" i="18"/>
  <c r="N479" i="18"/>
  <c r="N478" i="18"/>
  <c r="N477" i="18"/>
  <c r="N476" i="18"/>
  <c r="N475" i="18"/>
  <c r="N474" i="18"/>
  <c r="N473" i="18"/>
  <c r="N472" i="18"/>
  <c r="N471" i="18"/>
  <c r="N470" i="18"/>
  <c r="N469" i="18"/>
  <c r="N468" i="18"/>
  <c r="N467" i="18"/>
  <c r="N466" i="18"/>
  <c r="N465" i="18"/>
  <c r="N464" i="18"/>
  <c r="N463" i="18"/>
  <c r="N462" i="18"/>
  <c r="N461" i="18"/>
  <c r="N460" i="18"/>
  <c r="N459" i="18"/>
  <c r="N458" i="18"/>
  <c r="N457" i="18"/>
  <c r="N456" i="18"/>
  <c r="N455" i="18"/>
  <c r="N454" i="18"/>
  <c r="N453" i="18"/>
  <c r="N452" i="18"/>
  <c r="N451" i="18"/>
  <c r="N450" i="18"/>
  <c r="N449" i="18"/>
  <c r="N448" i="18"/>
  <c r="N447" i="18"/>
  <c r="N446" i="18"/>
  <c r="N445" i="18"/>
  <c r="N444" i="18"/>
  <c r="N443" i="18"/>
  <c r="N442" i="18"/>
  <c r="N441" i="18"/>
  <c r="N440" i="18"/>
  <c r="N439" i="18"/>
  <c r="N438" i="18"/>
  <c r="N437" i="18"/>
  <c r="N436" i="18"/>
  <c r="N435" i="18"/>
  <c r="N434" i="18"/>
  <c r="N433" i="18"/>
  <c r="N432" i="18"/>
  <c r="N431" i="18"/>
  <c r="N430" i="18"/>
  <c r="N429" i="18"/>
  <c r="N428" i="18"/>
  <c r="N427" i="18"/>
  <c r="N426" i="18"/>
  <c r="N425" i="18"/>
  <c r="N424" i="18"/>
  <c r="N423" i="18"/>
  <c r="N422" i="18"/>
  <c r="N421" i="18"/>
  <c r="N420" i="18"/>
  <c r="N419" i="18"/>
  <c r="N418" i="18"/>
  <c r="N417" i="18"/>
  <c r="N416" i="18"/>
  <c r="N415" i="18"/>
  <c r="N414" i="18"/>
  <c r="N413" i="18"/>
  <c r="N412" i="18"/>
  <c r="N411" i="18"/>
  <c r="N410" i="18"/>
  <c r="N409" i="18"/>
  <c r="N408" i="18"/>
  <c r="N407" i="18"/>
  <c r="N406" i="18"/>
  <c r="N405" i="18"/>
  <c r="N404" i="18"/>
  <c r="N403" i="18"/>
  <c r="N402" i="18"/>
  <c r="N401" i="18"/>
  <c r="N400" i="18"/>
  <c r="N399" i="18"/>
  <c r="N398" i="18"/>
  <c r="N397" i="18"/>
  <c r="N396" i="18"/>
  <c r="N395" i="18"/>
  <c r="N394" i="18"/>
  <c r="N393" i="18"/>
  <c r="N392" i="18"/>
  <c r="N391" i="18"/>
  <c r="N390" i="18"/>
  <c r="N389" i="18"/>
  <c r="N388" i="18"/>
  <c r="N387" i="18"/>
  <c r="N386" i="18"/>
  <c r="N385" i="18"/>
  <c r="N384" i="18"/>
  <c r="N383" i="18"/>
  <c r="N382" i="18"/>
  <c r="N381" i="18"/>
  <c r="N380" i="18"/>
  <c r="N379" i="18"/>
  <c r="N378" i="18"/>
  <c r="N377" i="18"/>
  <c r="N376" i="18"/>
  <c r="N375" i="18"/>
  <c r="N374" i="18"/>
  <c r="N373" i="18"/>
  <c r="N372" i="18"/>
  <c r="N371" i="18"/>
  <c r="N370" i="18"/>
  <c r="N369" i="18"/>
  <c r="N368" i="18"/>
  <c r="N367" i="18"/>
  <c r="N366" i="18"/>
  <c r="N365" i="18"/>
  <c r="N364" i="18"/>
  <c r="N363" i="18"/>
  <c r="N362" i="18"/>
  <c r="N361" i="18"/>
  <c r="N360" i="18"/>
  <c r="N359" i="18"/>
  <c r="N358" i="18"/>
  <c r="N357" i="18"/>
  <c r="N356" i="18"/>
  <c r="N355" i="18"/>
  <c r="N354" i="18"/>
  <c r="N353" i="18"/>
  <c r="N352" i="18"/>
  <c r="N351" i="18"/>
  <c r="N350" i="18"/>
  <c r="N349" i="18"/>
  <c r="N348" i="18"/>
  <c r="N347" i="18"/>
  <c r="N346" i="18"/>
  <c r="N345" i="18"/>
  <c r="N344" i="18"/>
  <c r="N343" i="18"/>
  <c r="N342" i="18"/>
  <c r="N341" i="18"/>
  <c r="N340" i="18"/>
  <c r="N339" i="18"/>
  <c r="N338" i="18"/>
  <c r="N337" i="18"/>
  <c r="N336" i="18"/>
  <c r="N335" i="18"/>
  <c r="N334" i="18"/>
  <c r="N333" i="18"/>
  <c r="N332" i="18"/>
  <c r="N331" i="18"/>
  <c r="N330" i="18"/>
  <c r="N329" i="18"/>
  <c r="N328" i="18"/>
  <c r="N327" i="18"/>
  <c r="N326" i="18"/>
  <c r="N325" i="18"/>
  <c r="N324" i="18"/>
  <c r="N323" i="18"/>
  <c r="N322" i="18"/>
  <c r="N321" i="18"/>
  <c r="N320" i="18"/>
  <c r="N319" i="18"/>
  <c r="N318" i="18"/>
  <c r="N317" i="18"/>
  <c r="N316" i="18"/>
  <c r="N315" i="18"/>
  <c r="N314" i="18"/>
  <c r="N313" i="18"/>
  <c r="N312" i="18"/>
  <c r="N311" i="18"/>
  <c r="N310" i="18"/>
  <c r="N309" i="18"/>
  <c r="N308" i="18"/>
  <c r="N307" i="18"/>
  <c r="N306" i="18"/>
  <c r="N305" i="18"/>
  <c r="N304" i="18"/>
  <c r="N303" i="18"/>
  <c r="N302" i="18"/>
  <c r="N301" i="18"/>
  <c r="N300" i="18"/>
  <c r="N299" i="18"/>
  <c r="N298" i="18"/>
  <c r="N297" i="18"/>
  <c r="N296" i="18"/>
  <c r="N295" i="18"/>
  <c r="N294" i="18"/>
  <c r="N293" i="18"/>
  <c r="N292" i="18"/>
  <c r="N291" i="18"/>
  <c r="N290" i="18"/>
  <c r="N289" i="18"/>
  <c r="N288" i="18"/>
  <c r="N287" i="18"/>
  <c r="N286" i="18"/>
  <c r="N285" i="18"/>
  <c r="N284" i="18"/>
  <c r="N283" i="18"/>
  <c r="N282" i="18"/>
  <c r="N281" i="18"/>
  <c r="N280" i="18"/>
  <c r="N279" i="18"/>
  <c r="N278" i="18"/>
  <c r="N277" i="18"/>
  <c r="N276" i="18"/>
  <c r="N275" i="18"/>
  <c r="N274" i="18"/>
  <c r="N273" i="18"/>
  <c r="N272" i="18"/>
  <c r="N271" i="18"/>
  <c r="N270" i="18"/>
  <c r="N269" i="18"/>
  <c r="N268" i="18"/>
  <c r="N267" i="18"/>
  <c r="N266" i="18"/>
  <c r="N265" i="18"/>
  <c r="N264" i="18"/>
  <c r="N263" i="18"/>
  <c r="N262" i="18"/>
  <c r="N261" i="18"/>
  <c r="N260" i="18"/>
  <c r="N259" i="18"/>
  <c r="N258" i="18"/>
  <c r="N257" i="18"/>
  <c r="N256" i="18"/>
  <c r="N255" i="18"/>
  <c r="N254" i="18"/>
  <c r="N253" i="18"/>
  <c r="N252" i="18"/>
  <c r="N251" i="18"/>
  <c r="N250" i="18"/>
  <c r="N249" i="18"/>
  <c r="N248" i="18"/>
  <c r="N247" i="18"/>
  <c r="N246" i="18"/>
  <c r="N245" i="18"/>
  <c r="N244" i="18"/>
  <c r="N243" i="18"/>
  <c r="N242" i="18"/>
  <c r="N241" i="18"/>
  <c r="N240" i="18"/>
  <c r="N239" i="18"/>
  <c r="N238" i="18"/>
  <c r="N237" i="18"/>
  <c r="N236" i="18"/>
  <c r="N235" i="18"/>
  <c r="N234" i="18"/>
  <c r="N233" i="18"/>
  <c r="N232" i="18"/>
  <c r="N231" i="18"/>
  <c r="N230" i="18"/>
  <c r="N229" i="18"/>
  <c r="N228" i="18"/>
  <c r="N227" i="18"/>
  <c r="N226" i="18"/>
  <c r="N225" i="18"/>
  <c r="N224" i="18"/>
  <c r="N223" i="18"/>
  <c r="N222" i="18"/>
  <c r="N221" i="18"/>
  <c r="N220" i="18"/>
  <c r="N219" i="18"/>
  <c r="N218" i="18"/>
  <c r="N217" i="18"/>
  <c r="N216" i="18"/>
  <c r="N215" i="18"/>
  <c r="N214" i="18"/>
  <c r="N213" i="18"/>
  <c r="N212" i="18"/>
  <c r="N211" i="18"/>
  <c r="N210" i="18"/>
  <c r="N209" i="18"/>
  <c r="N208" i="18"/>
  <c r="N207" i="18"/>
  <c r="N206" i="18"/>
  <c r="N205" i="18"/>
  <c r="N204" i="18"/>
  <c r="N203" i="18"/>
  <c r="N202" i="18"/>
  <c r="N201" i="18"/>
  <c r="N200" i="18"/>
  <c r="N199" i="18"/>
  <c r="N198" i="18"/>
  <c r="N197" i="18"/>
  <c r="N196" i="18"/>
  <c r="N195" i="18"/>
  <c r="N194" i="18"/>
  <c r="N193" i="18"/>
  <c r="N192" i="18"/>
  <c r="N191" i="18"/>
  <c r="N190" i="18"/>
  <c r="N189" i="18"/>
  <c r="N188" i="18"/>
  <c r="N187" i="18"/>
  <c r="N186" i="18"/>
  <c r="N185" i="18"/>
  <c r="N184" i="18"/>
  <c r="N183" i="18"/>
  <c r="N182" i="18"/>
  <c r="N181" i="18"/>
  <c r="N180" i="18"/>
  <c r="N179" i="18"/>
  <c r="N178" i="18"/>
  <c r="N177" i="18"/>
  <c r="N176" i="18"/>
  <c r="N175" i="18"/>
  <c r="N174" i="18"/>
  <c r="N173" i="18"/>
  <c r="N172" i="18"/>
  <c r="N171" i="18"/>
  <c r="N170" i="18"/>
  <c r="N169" i="18"/>
  <c r="N168" i="18"/>
  <c r="N167" i="18"/>
  <c r="N166" i="18"/>
  <c r="N165" i="18"/>
  <c r="N164" i="18"/>
  <c r="N163" i="18"/>
  <c r="N162" i="18"/>
  <c r="N161" i="18"/>
  <c r="N160" i="18"/>
  <c r="N159" i="18"/>
  <c r="N158" i="18"/>
  <c r="N157" i="18"/>
  <c r="N156" i="18"/>
  <c r="N155" i="18"/>
  <c r="N154" i="18"/>
  <c r="N153" i="18"/>
  <c r="N152" i="18"/>
  <c r="N151" i="18"/>
  <c r="N150" i="18"/>
  <c r="N149" i="18"/>
  <c r="N148" i="18"/>
  <c r="N147" i="18"/>
  <c r="N146" i="18"/>
  <c r="N145" i="18"/>
  <c r="N144" i="18"/>
  <c r="N143" i="18"/>
  <c r="N142" i="18"/>
  <c r="N141" i="18"/>
  <c r="N140" i="18"/>
  <c r="N139" i="18"/>
  <c r="N138" i="18"/>
  <c r="N137" i="18"/>
  <c r="N136" i="18"/>
  <c r="N135" i="18"/>
  <c r="N134" i="18"/>
  <c r="N133" i="18"/>
  <c r="N132" i="18"/>
  <c r="N131" i="18"/>
  <c r="N130" i="18"/>
  <c r="N129" i="18"/>
  <c r="N128" i="18"/>
  <c r="N127" i="18"/>
  <c r="N126" i="18"/>
  <c r="N125" i="18"/>
  <c r="N124" i="18"/>
  <c r="N123" i="18"/>
  <c r="N122" i="18"/>
  <c r="N121" i="18"/>
  <c r="N120" i="18"/>
  <c r="N119" i="18"/>
  <c r="N118" i="18"/>
  <c r="N117" i="18"/>
  <c r="N116" i="18"/>
  <c r="N115" i="18"/>
  <c r="N114" i="18"/>
  <c r="N113" i="18"/>
  <c r="N112" i="18"/>
  <c r="N111" i="18"/>
  <c r="N110" i="18"/>
  <c r="N109" i="18"/>
  <c r="N108" i="18"/>
  <c r="N107" i="18"/>
  <c r="N106" i="18"/>
  <c r="N105" i="18"/>
  <c r="N104" i="18"/>
  <c r="N103" i="18"/>
  <c r="N102" i="18"/>
  <c r="N101" i="18"/>
  <c r="N100" i="18"/>
  <c r="N99" i="18"/>
  <c r="N98" i="18"/>
  <c r="N97" i="18"/>
  <c r="N96" i="18"/>
  <c r="N95" i="18"/>
  <c r="N94" i="18"/>
  <c r="N93" i="18"/>
  <c r="N92" i="18"/>
  <c r="N91" i="18"/>
  <c r="N90" i="18"/>
  <c r="N89" i="18"/>
  <c r="N88" i="18"/>
  <c r="N87" i="18"/>
  <c r="N86" i="18"/>
  <c r="N85" i="18"/>
  <c r="N84" i="18"/>
  <c r="N83" i="18"/>
  <c r="N82" i="18"/>
  <c r="N81" i="18"/>
  <c r="N80" i="18"/>
  <c r="N79" i="18"/>
  <c r="N78" i="18"/>
  <c r="N77" i="18"/>
  <c r="N76" i="18"/>
  <c r="N75" i="18"/>
  <c r="N74" i="18"/>
  <c r="N73" i="18"/>
  <c r="N72" i="18"/>
  <c r="N71" i="18"/>
  <c r="N70" i="18"/>
  <c r="N69" i="18"/>
  <c r="N68" i="18"/>
  <c r="N67" i="18"/>
  <c r="N66" i="18"/>
  <c r="N65" i="18"/>
  <c r="N64" i="18"/>
  <c r="N63" i="18"/>
  <c r="N62" i="18"/>
  <c r="N61" i="18"/>
  <c r="N60" i="18"/>
  <c r="N59" i="18"/>
  <c r="N58" i="18"/>
  <c r="N57" i="18"/>
  <c r="N56" i="18"/>
  <c r="N55" i="18"/>
  <c r="N54" i="18"/>
  <c r="N53" i="18"/>
  <c r="N52" i="18"/>
  <c r="N51" i="18"/>
  <c r="N50" i="18"/>
  <c r="N49" i="18"/>
  <c r="B61" i="18"/>
  <c r="N48" i="18"/>
  <c r="N47" i="18"/>
  <c r="N46" i="18"/>
  <c r="N45" i="18"/>
  <c r="N44" i="18"/>
  <c r="N43" i="18"/>
  <c r="N42" i="18"/>
  <c r="N41" i="18"/>
  <c r="N40" i="18"/>
  <c r="N39" i="18"/>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N5" i="18"/>
  <c r="A34" i="10"/>
  <c r="H36" i="2"/>
  <c r="G7" i="4" l="1"/>
  <c r="F7" i="4"/>
  <c r="H10" i="14"/>
  <c r="J10" i="14" s="1"/>
  <c r="H12" i="14"/>
  <c r="K12" i="14" s="1"/>
  <c r="H11" i="14"/>
  <c r="J11" i="14" s="1"/>
  <c r="H9" i="14"/>
  <c r="J9" i="14" s="1"/>
  <c r="H11" i="13"/>
  <c r="H12" i="13"/>
  <c r="F25" i="9"/>
  <c r="F24" i="9"/>
  <c r="F32" i="9"/>
  <c r="E3" i="19"/>
  <c r="E3" i="20"/>
  <c r="E3" i="21"/>
  <c r="E3" i="25"/>
  <c r="E3" i="24"/>
  <c r="E3" i="22"/>
  <c r="E3" i="23"/>
  <c r="E3" i="5"/>
  <c r="E3" i="26"/>
  <c r="E3" i="28"/>
  <c r="AE85" i="3"/>
  <c r="AE45" i="3"/>
  <c r="G39" i="3"/>
  <c r="L39" i="3" s="1"/>
  <c r="AD25" i="3"/>
  <c r="G35" i="3" s="1"/>
  <c r="L35" i="3" s="1"/>
  <c r="AD55" i="3"/>
  <c r="AE55" i="3" s="1"/>
  <c r="AD60" i="3"/>
  <c r="G42" i="3" s="1"/>
  <c r="L42" i="3" s="1"/>
  <c r="K16" i="24"/>
  <c r="H16" i="24"/>
  <c r="J16" i="24" s="1"/>
  <c r="K22" i="24"/>
  <c r="H22" i="24"/>
  <c r="J22" i="24" s="1"/>
  <c r="K26" i="25"/>
  <c r="H26" i="25"/>
  <c r="J26" i="25" s="1"/>
  <c r="K26" i="26"/>
  <c r="H26" i="26"/>
  <c r="J26" i="26" s="1"/>
  <c r="G8" i="28"/>
  <c r="I35" i="28"/>
  <c r="G35" i="28"/>
  <c r="H36" i="24"/>
  <c r="J36" i="24" s="1"/>
  <c r="H11" i="27"/>
  <c r="J11" i="27" s="1"/>
  <c r="L11" i="28"/>
  <c r="L15" i="25"/>
  <c r="I15" i="25"/>
  <c r="G15" i="25"/>
  <c r="L21" i="25"/>
  <c r="I21" i="25"/>
  <c r="G21" i="25"/>
  <c r="G23" i="25"/>
  <c r="L23" i="25"/>
  <c r="I23" i="25"/>
  <c r="L31" i="25"/>
  <c r="I31" i="25"/>
  <c r="G31" i="25"/>
  <c r="K37" i="25"/>
  <c r="H37" i="25"/>
  <c r="J37" i="25" s="1"/>
  <c r="K37" i="26"/>
  <c r="H37" i="26"/>
  <c r="J37" i="26" s="1"/>
  <c r="K30" i="27"/>
  <c r="H30" i="27"/>
  <c r="J30" i="27" s="1"/>
  <c r="L9" i="24"/>
  <c r="L12" i="24"/>
  <c r="H23" i="24"/>
  <c r="J23" i="24" s="1"/>
  <c r="K23" i="24"/>
  <c r="H17" i="25"/>
  <c r="J17" i="25" s="1"/>
  <c r="K31" i="26"/>
  <c r="H31" i="26"/>
  <c r="J31" i="26" s="1"/>
  <c r="H9" i="28"/>
  <c r="J9" i="28" s="1"/>
  <c r="K9" i="28"/>
  <c r="G11" i="26"/>
  <c r="L11" i="26"/>
  <c r="H26" i="24"/>
  <c r="J26" i="24" s="1"/>
  <c r="K26" i="24"/>
  <c r="H14" i="25"/>
  <c r="J14" i="25" s="1"/>
  <c r="L12" i="25"/>
  <c r="I12" i="25"/>
  <c r="G12" i="25"/>
  <c r="G20" i="25"/>
  <c r="L20" i="25"/>
  <c r="L28" i="25"/>
  <c r="I28" i="25"/>
  <c r="G28" i="25"/>
  <c r="G36" i="25"/>
  <c r="L36" i="25"/>
  <c r="I36" i="25"/>
  <c r="K13" i="26"/>
  <c r="H13" i="26"/>
  <c r="J13" i="26" s="1"/>
  <c r="K17" i="26"/>
  <c r="H17" i="26"/>
  <c r="J17" i="26" s="1"/>
  <c r="H24" i="26"/>
  <c r="J24" i="26" s="1"/>
  <c r="K24" i="26"/>
  <c r="K16" i="27"/>
  <c r="H16" i="27"/>
  <c r="J16" i="27" s="1"/>
  <c r="H19" i="27"/>
  <c r="J19" i="27" s="1"/>
  <c r="K30" i="28"/>
  <c r="H30" i="28"/>
  <c r="J30" i="28" s="1"/>
  <c r="H34" i="28"/>
  <c r="J34" i="28" s="1"/>
  <c r="K34" i="28"/>
  <c r="L15" i="24"/>
  <c r="I15" i="24"/>
  <c r="G15" i="24"/>
  <c r="H30" i="25"/>
  <c r="J30" i="25" s="1"/>
  <c r="H27" i="25"/>
  <c r="J27" i="25" s="1"/>
  <c r="H11" i="25"/>
  <c r="J11" i="25" s="1"/>
  <c r="H24" i="25"/>
  <c r="J24" i="25" s="1"/>
  <c r="H33" i="25"/>
  <c r="J33" i="25" s="1"/>
  <c r="K21" i="26"/>
  <c r="H21" i="26"/>
  <c r="J21" i="26" s="1"/>
  <c r="L16" i="28"/>
  <c r="G19" i="28"/>
  <c r="I27" i="28"/>
  <c r="K17" i="24"/>
  <c r="H17" i="24"/>
  <c r="J17" i="24" s="1"/>
  <c r="G30" i="26"/>
  <c r="L30" i="26"/>
  <c r="I30" i="26"/>
  <c r="L29" i="28"/>
  <c r="I29" i="28"/>
  <c r="K20" i="24"/>
  <c r="I18" i="25"/>
  <c r="K38" i="27"/>
  <c r="H38" i="27"/>
  <c r="J38" i="27" s="1"/>
  <c r="K25" i="24"/>
  <c r="H25" i="24"/>
  <c r="J25" i="24" s="1"/>
  <c r="K33" i="28"/>
  <c r="H33" i="28"/>
  <c r="J33" i="28" s="1"/>
  <c r="L25" i="25"/>
  <c r="I25" i="25"/>
  <c r="G25" i="25"/>
  <c r="I34" i="25"/>
  <c r="L13" i="28"/>
  <c r="L27" i="28"/>
  <c r="H10" i="24"/>
  <c r="J10" i="24" s="1"/>
  <c r="K10" i="24"/>
  <c r="K24" i="24"/>
  <c r="H24" i="24"/>
  <c r="J24" i="24" s="1"/>
  <c r="L22" i="25"/>
  <c r="I22" i="25"/>
  <c r="G22" i="25"/>
  <c r="L35" i="26"/>
  <c r="K24" i="27"/>
  <c r="H24" i="27"/>
  <c r="J24" i="27" s="1"/>
  <c r="H27" i="27"/>
  <c r="J27" i="27" s="1"/>
  <c r="H17" i="28"/>
  <c r="J17" i="28" s="1"/>
  <c r="K17" i="28"/>
  <c r="L31" i="24"/>
  <c r="I31" i="24"/>
  <c r="G31" i="24"/>
  <c r="G37" i="28"/>
  <c r="L37" i="28"/>
  <c r="I37" i="28"/>
  <c r="H29" i="24"/>
  <c r="J29" i="24" s="1"/>
  <c r="K10" i="26"/>
  <c r="H10" i="26"/>
  <c r="J10" i="26" s="1"/>
  <c r="I38" i="26"/>
  <c r="K10" i="27"/>
  <c r="H10" i="27"/>
  <c r="J10" i="27" s="1"/>
  <c r="K26" i="27"/>
  <c r="H26" i="27"/>
  <c r="J26" i="27" s="1"/>
  <c r="L13" i="25"/>
  <c r="L38" i="26"/>
  <c r="K14" i="27"/>
  <c r="H14" i="27"/>
  <c r="J14" i="27" s="1"/>
  <c r="L24" i="28"/>
  <c r="L35" i="28"/>
  <c r="K32" i="24"/>
  <c r="H32" i="24"/>
  <c r="J32" i="24" s="1"/>
  <c r="K38" i="24"/>
  <c r="H38" i="24"/>
  <c r="J38" i="24" s="1"/>
  <c r="L10" i="25"/>
  <c r="L32" i="25"/>
  <c r="L19" i="24"/>
  <c r="L22" i="24"/>
  <c r="K16" i="25"/>
  <c r="H16" i="25"/>
  <c r="J16" i="25" s="1"/>
  <c r="L26" i="25"/>
  <c r="L29" i="25"/>
  <c r="K35" i="25"/>
  <c r="H35" i="25"/>
  <c r="J35" i="25" s="1"/>
  <c r="I11" i="26"/>
  <c r="K29" i="26"/>
  <c r="H29" i="26"/>
  <c r="J29" i="26" s="1"/>
  <c r="K32" i="27"/>
  <c r="H32" i="27"/>
  <c r="J32" i="27" s="1"/>
  <c r="H35" i="27"/>
  <c r="J35" i="27" s="1"/>
  <c r="L21" i="28"/>
  <c r="L32" i="28"/>
  <c r="G27" i="26"/>
  <c r="L27" i="26"/>
  <c r="H13" i="24"/>
  <c r="J13" i="24" s="1"/>
  <c r="K18" i="27"/>
  <c r="H18" i="27"/>
  <c r="J18" i="27" s="1"/>
  <c r="H25" i="28"/>
  <c r="J25" i="28" s="1"/>
  <c r="K25" i="28"/>
  <c r="K32" i="25"/>
  <c r="H32" i="25"/>
  <c r="J32" i="25" s="1"/>
  <c r="L19" i="26"/>
  <c r="K33" i="26"/>
  <c r="H33" i="26"/>
  <c r="J33" i="26" s="1"/>
  <c r="G14" i="26"/>
  <c r="L14" i="26"/>
  <c r="I14" i="26"/>
  <c r="I20" i="26"/>
  <c r="G20" i="26"/>
  <c r="L22" i="26"/>
  <c r="I22" i="26"/>
  <c r="G22" i="26"/>
  <c r="K22" i="27"/>
  <c r="H22" i="27"/>
  <c r="J22" i="27" s="1"/>
  <c r="G29" i="28"/>
  <c r="I13" i="24"/>
  <c r="G19" i="24"/>
  <c r="L20" i="24"/>
  <c r="I29" i="24"/>
  <c r="G35" i="24"/>
  <c r="L36" i="24"/>
  <c r="G10" i="25"/>
  <c r="G13" i="25"/>
  <c r="L14" i="25"/>
  <c r="K17" i="25"/>
  <c r="G29" i="25"/>
  <c r="K33" i="25"/>
  <c r="I17" i="26"/>
  <c r="G23" i="26"/>
  <c r="L24" i="26"/>
  <c r="I33" i="26"/>
  <c r="H36" i="26"/>
  <c r="J36" i="26" s="1"/>
  <c r="K11" i="27"/>
  <c r="G13" i="27"/>
  <c r="I16" i="27"/>
  <c r="K19" i="27"/>
  <c r="G21" i="27"/>
  <c r="I24" i="27"/>
  <c r="K27" i="27"/>
  <c r="G29" i="27"/>
  <c r="I32" i="27"/>
  <c r="K35" i="27"/>
  <c r="G37" i="27"/>
  <c r="L12" i="28"/>
  <c r="H14" i="28"/>
  <c r="J14" i="28" s="1"/>
  <c r="H22" i="28"/>
  <c r="J22" i="28" s="1"/>
  <c r="G9" i="24"/>
  <c r="L10" i="24"/>
  <c r="I19" i="24"/>
  <c r="L26" i="24"/>
  <c r="I35" i="24"/>
  <c r="I10" i="25"/>
  <c r="I13" i="25"/>
  <c r="G19" i="25"/>
  <c r="I29" i="25"/>
  <c r="I13" i="27"/>
  <c r="I21" i="27"/>
  <c r="I29" i="27"/>
  <c r="G34" i="27"/>
  <c r="I37" i="27"/>
  <c r="L9" i="28"/>
  <c r="L17" i="28"/>
  <c r="L25" i="28"/>
  <c r="G27" i="28"/>
  <c r="L34" i="28"/>
  <c r="G11" i="28"/>
  <c r="G12" i="24"/>
  <c r="L13" i="24"/>
  <c r="I22" i="24"/>
  <c r="G28" i="24"/>
  <c r="L29" i="24"/>
  <c r="I38" i="24"/>
  <c r="I16" i="25"/>
  <c r="I32" i="25"/>
  <c r="G38" i="25"/>
  <c r="G16" i="26"/>
  <c r="L17" i="26"/>
  <c r="I26" i="26"/>
  <c r="G32" i="26"/>
  <c r="L33" i="26"/>
  <c r="L16" i="27"/>
  <c r="L24" i="27"/>
  <c r="L32" i="27"/>
  <c r="I11" i="28"/>
  <c r="G16" i="28"/>
  <c r="I19" i="28"/>
  <c r="G24" i="28"/>
  <c r="I30" i="28"/>
  <c r="G36" i="28"/>
  <c r="I9" i="24"/>
  <c r="I25" i="24"/>
  <c r="I19" i="25"/>
  <c r="I35" i="25"/>
  <c r="I10" i="26"/>
  <c r="I13" i="26"/>
  <c r="G19" i="26"/>
  <c r="I29" i="26"/>
  <c r="G35" i="26"/>
  <c r="I10" i="27"/>
  <c r="G15" i="27"/>
  <c r="I18" i="27"/>
  <c r="G23" i="27"/>
  <c r="I26" i="27"/>
  <c r="G31" i="27"/>
  <c r="I33" i="28"/>
  <c r="I12" i="24"/>
  <c r="G18" i="24"/>
  <c r="I28" i="24"/>
  <c r="G34" i="24"/>
  <c r="G9" i="25"/>
  <c r="I38" i="25"/>
  <c r="I16" i="26"/>
  <c r="G38" i="26"/>
  <c r="G13" i="28"/>
  <c r="I16" i="28"/>
  <c r="G21" i="28"/>
  <c r="I24" i="28"/>
  <c r="I36" i="28"/>
  <c r="G21" i="24"/>
  <c r="G37" i="24"/>
  <c r="I19" i="26"/>
  <c r="G25" i="26"/>
  <c r="I35" i="26"/>
  <c r="G12" i="27"/>
  <c r="G20" i="27"/>
  <c r="G28" i="27"/>
  <c r="G36" i="27"/>
  <c r="L19" i="28"/>
  <c r="I18" i="24"/>
  <c r="G18" i="25"/>
  <c r="G34" i="25"/>
  <c r="G9" i="26"/>
  <c r="G12" i="26"/>
  <c r="G28" i="26"/>
  <c r="I13" i="28"/>
  <c r="I21" i="28"/>
  <c r="G26" i="28"/>
  <c r="G32" i="28"/>
  <c r="G11" i="24"/>
  <c r="I21" i="24"/>
  <c r="G27" i="24"/>
  <c r="I37" i="24"/>
  <c r="G15" i="26"/>
  <c r="I25" i="26"/>
  <c r="G9" i="27"/>
  <c r="I12" i="27"/>
  <c r="G17" i="27"/>
  <c r="I20" i="27"/>
  <c r="G25" i="27"/>
  <c r="I28" i="27"/>
  <c r="G33" i="27"/>
  <c r="I36" i="27"/>
  <c r="G18" i="26"/>
  <c r="G34" i="26"/>
  <c r="G15" i="28"/>
  <c r="G23" i="28"/>
  <c r="I26" i="28"/>
  <c r="I32" i="28"/>
  <c r="I11" i="24"/>
  <c r="H14" i="24"/>
  <c r="J14" i="24" s="1"/>
  <c r="H30" i="24"/>
  <c r="J30" i="24" s="1"/>
  <c r="G33" i="24"/>
  <c r="I37" i="25"/>
  <c r="I15" i="26"/>
  <c r="H38" i="28"/>
  <c r="J38" i="28" s="1"/>
  <c r="G28" i="28"/>
  <c r="G31" i="28"/>
  <c r="AE30" i="3"/>
  <c r="AE35" i="3"/>
  <c r="AE65" i="3"/>
  <c r="AE20" i="3"/>
  <c r="AE50" i="3"/>
  <c r="AD40" i="3"/>
  <c r="AE40" i="3" s="1"/>
  <c r="AE70" i="3"/>
  <c r="AE15" i="3"/>
  <c r="G45" i="3"/>
  <c r="L45" i="3" s="1"/>
  <c r="G46" i="3"/>
  <c r="L46" i="3" s="1"/>
  <c r="G41" i="3"/>
  <c r="L41" i="3" s="1"/>
  <c r="L26" i="22"/>
  <c r="L10" i="22"/>
  <c r="G17" i="23"/>
  <c r="K17" i="23" s="1"/>
  <c r="I24" i="23"/>
  <c r="I27" i="23"/>
  <c r="I33" i="23"/>
  <c r="L21" i="23"/>
  <c r="G37" i="23"/>
  <c r="L27" i="23"/>
  <c r="L24" i="23"/>
  <c r="I37" i="20"/>
  <c r="L35" i="22"/>
  <c r="G8" i="21"/>
  <c r="H24" i="21" s="1"/>
  <c r="J24" i="21" s="1"/>
  <c r="I11" i="23"/>
  <c r="G8" i="23"/>
  <c r="H37" i="23" s="1"/>
  <c r="J37" i="23" s="1"/>
  <c r="L36" i="23"/>
  <c r="L29" i="22"/>
  <c r="L33" i="22"/>
  <c r="L36" i="22"/>
  <c r="L23" i="22"/>
  <c r="L19" i="22"/>
  <c r="L16" i="22"/>
  <c r="L13" i="22"/>
  <c r="L38" i="22"/>
  <c r="L22" i="22"/>
  <c r="L30" i="21"/>
  <c r="L14" i="21"/>
  <c r="L33" i="21"/>
  <c r="L36" i="21"/>
  <c r="L20" i="21"/>
  <c r="L23" i="21"/>
  <c r="L26" i="21"/>
  <c r="L10" i="21"/>
  <c r="L29" i="21"/>
  <c r="L13" i="21"/>
  <c r="L32" i="21"/>
  <c r="L16" i="21"/>
  <c r="L35" i="21"/>
  <c r="L19" i="21"/>
  <c r="L38" i="21"/>
  <c r="L22" i="21"/>
  <c r="L10" i="20"/>
  <c r="L29" i="20"/>
  <c r="I22" i="20"/>
  <c r="G8" i="20"/>
  <c r="G14" i="20"/>
  <c r="L17" i="20"/>
  <c r="L36" i="20"/>
  <c r="L20" i="20"/>
  <c r="L23" i="20"/>
  <c r="L26" i="20"/>
  <c r="L13" i="20"/>
  <c r="L32" i="20"/>
  <c r="L16" i="20"/>
  <c r="G35" i="20"/>
  <c r="K35" i="20" s="1"/>
  <c r="L9" i="20"/>
  <c r="L28" i="20"/>
  <c r="L31" i="20"/>
  <c r="L37" i="21"/>
  <c r="I37" i="21"/>
  <c r="G37" i="21"/>
  <c r="L34" i="21"/>
  <c r="I34" i="21"/>
  <c r="G34" i="21"/>
  <c r="H34" i="21" s="1"/>
  <c r="J34" i="21" s="1"/>
  <c r="L31" i="21"/>
  <c r="I31" i="21"/>
  <c r="L28" i="21"/>
  <c r="I28" i="21"/>
  <c r="G27" i="21"/>
  <c r="K27" i="21" s="1"/>
  <c r="L27" i="21"/>
  <c r="L25" i="21"/>
  <c r="I25" i="21"/>
  <c r="L24" i="21"/>
  <c r="I24" i="21"/>
  <c r="G24" i="21"/>
  <c r="K24" i="21" s="1"/>
  <c r="L21" i="21"/>
  <c r="I21" i="21"/>
  <c r="G21" i="21"/>
  <c r="L18" i="21"/>
  <c r="I18" i="21"/>
  <c r="G18" i="21"/>
  <c r="I17" i="21"/>
  <c r="L17" i="21"/>
  <c r="L15" i="21"/>
  <c r="I15" i="21"/>
  <c r="L12" i="21"/>
  <c r="I12" i="21"/>
  <c r="G11" i="21"/>
  <c r="K11" i="21" s="1"/>
  <c r="L11" i="21"/>
  <c r="L9" i="21"/>
  <c r="I9" i="21"/>
  <c r="I38" i="20"/>
  <c r="L38" i="20"/>
  <c r="L34" i="20"/>
  <c r="I34" i="20"/>
  <c r="L33" i="20"/>
  <c r="G33" i="20"/>
  <c r="I30" i="20"/>
  <c r="G30" i="20"/>
  <c r="L27" i="20"/>
  <c r="I27" i="20"/>
  <c r="G27" i="20"/>
  <c r="H27" i="20" s="1"/>
  <c r="J27" i="20" s="1"/>
  <c r="I25" i="20"/>
  <c r="L25" i="20"/>
  <c r="L24" i="20"/>
  <c r="I24" i="20"/>
  <c r="L19" i="20"/>
  <c r="G19" i="20"/>
  <c r="K19" i="20" s="1"/>
  <c r="L18" i="20"/>
  <c r="I18" i="20"/>
  <c r="I15" i="20"/>
  <c r="L15" i="20"/>
  <c r="L12" i="20"/>
  <c r="G12" i="20"/>
  <c r="I12" i="20"/>
  <c r="L11" i="20"/>
  <c r="I11" i="20"/>
  <c r="L32" i="22"/>
  <c r="L37" i="22"/>
  <c r="I37" i="22"/>
  <c r="G37" i="22"/>
  <c r="L34" i="22"/>
  <c r="I34" i="22"/>
  <c r="G34" i="22"/>
  <c r="H34" i="22" s="1"/>
  <c r="J34" i="22" s="1"/>
  <c r="L31" i="22"/>
  <c r="I31" i="22"/>
  <c r="L30" i="22"/>
  <c r="G30" i="22"/>
  <c r="K30" i="22" s="1"/>
  <c r="L28" i="22"/>
  <c r="I28" i="22"/>
  <c r="G27" i="22"/>
  <c r="H27" i="22" s="1"/>
  <c r="J27" i="22" s="1"/>
  <c r="L27" i="22"/>
  <c r="L25" i="22"/>
  <c r="I25" i="22"/>
  <c r="L24" i="22"/>
  <c r="I24" i="22"/>
  <c r="G24" i="22"/>
  <c r="K24" i="22" s="1"/>
  <c r="L21" i="22"/>
  <c r="I21" i="22"/>
  <c r="G21" i="22"/>
  <c r="H21" i="22" s="1"/>
  <c r="J21" i="22" s="1"/>
  <c r="I20" i="22"/>
  <c r="L20" i="22"/>
  <c r="L18" i="22"/>
  <c r="I18" i="22"/>
  <c r="G18" i="22"/>
  <c r="H18" i="22" s="1"/>
  <c r="J18" i="22" s="1"/>
  <c r="I17" i="22"/>
  <c r="L17" i="22"/>
  <c r="L15" i="22"/>
  <c r="I15" i="22"/>
  <c r="G14" i="22"/>
  <c r="H14" i="22" s="1"/>
  <c r="J14" i="22" s="1"/>
  <c r="L14" i="22"/>
  <c r="L12" i="22"/>
  <c r="I12" i="22"/>
  <c r="G11" i="22"/>
  <c r="H11" i="22" s="1"/>
  <c r="J11" i="22" s="1"/>
  <c r="L11" i="22"/>
  <c r="L9" i="22"/>
  <c r="I9" i="22"/>
  <c r="L17" i="23"/>
  <c r="L20" i="23"/>
  <c r="I28" i="23"/>
  <c r="I31" i="23"/>
  <c r="I17" i="23"/>
  <c r="G20" i="23"/>
  <c r="K20" i="23" s="1"/>
  <c r="L23" i="23"/>
  <c r="G31" i="23"/>
  <c r="G34" i="23"/>
  <c r="G18" i="23"/>
  <c r="L26" i="23"/>
  <c r="G21" i="23"/>
  <c r="K21" i="23" s="1"/>
  <c r="L28" i="23"/>
  <c r="L31" i="23"/>
  <c r="I34" i="23"/>
  <c r="L9" i="23"/>
  <c r="I37" i="23"/>
  <c r="L37" i="23"/>
  <c r="L12" i="23"/>
  <c r="L15" i="23"/>
  <c r="I18" i="23"/>
  <c r="L13" i="23"/>
  <c r="L16" i="23"/>
  <c r="L18" i="23"/>
  <c r="I21" i="23"/>
  <c r="L19" i="23"/>
  <c r="G24" i="23"/>
  <c r="K24" i="23" s="1"/>
  <c r="L33" i="23"/>
  <c r="L22" i="23"/>
  <c r="L11" i="23"/>
  <c r="I25" i="23"/>
  <c r="G27" i="23"/>
  <c r="K27" i="23" s="1"/>
  <c r="L30" i="23"/>
  <c r="K37" i="23"/>
  <c r="G14" i="23"/>
  <c r="G30" i="23"/>
  <c r="I14" i="23"/>
  <c r="I30" i="23"/>
  <c r="G36" i="23"/>
  <c r="G23" i="23"/>
  <c r="G10" i="23"/>
  <c r="I20" i="23"/>
  <c r="G26" i="23"/>
  <c r="I36" i="23"/>
  <c r="G13" i="23"/>
  <c r="I23" i="23"/>
  <c r="G29" i="23"/>
  <c r="I10" i="23"/>
  <c r="G16" i="23"/>
  <c r="I26" i="23"/>
  <c r="G32" i="23"/>
  <c r="I13" i="23"/>
  <c r="G19" i="23"/>
  <c r="I29" i="23"/>
  <c r="G35" i="23"/>
  <c r="I16" i="23"/>
  <c r="G22" i="23"/>
  <c r="I32" i="23"/>
  <c r="G38" i="23"/>
  <c r="G9" i="23"/>
  <c r="I19" i="23"/>
  <c r="G25" i="23"/>
  <c r="I35" i="23"/>
  <c r="G12" i="23"/>
  <c r="I22" i="23"/>
  <c r="G28" i="23"/>
  <c r="I38" i="23"/>
  <c r="G15" i="23"/>
  <c r="K34" i="22"/>
  <c r="K37" i="22"/>
  <c r="H37" i="22"/>
  <c r="J37" i="22" s="1"/>
  <c r="K21" i="22"/>
  <c r="I11" i="22"/>
  <c r="G17" i="22"/>
  <c r="I27" i="22"/>
  <c r="G33" i="22"/>
  <c r="I14" i="22"/>
  <c r="G20" i="22"/>
  <c r="I30" i="22"/>
  <c r="G36" i="22"/>
  <c r="K11" i="22"/>
  <c r="G23" i="22"/>
  <c r="I33" i="22"/>
  <c r="G10" i="22"/>
  <c r="G26" i="22"/>
  <c r="I36" i="22"/>
  <c r="G13" i="22"/>
  <c r="I23" i="22"/>
  <c r="G29" i="22"/>
  <c r="I10" i="22"/>
  <c r="G16" i="22"/>
  <c r="I26" i="22"/>
  <c r="G32" i="22"/>
  <c r="I13" i="22"/>
  <c r="G19" i="22"/>
  <c r="I29" i="22"/>
  <c r="G35" i="22"/>
  <c r="I16" i="22"/>
  <c r="G22" i="22"/>
  <c r="I32" i="22"/>
  <c r="G38" i="22"/>
  <c r="G9" i="22"/>
  <c r="I19" i="22"/>
  <c r="G25" i="22"/>
  <c r="I35" i="22"/>
  <c r="G12" i="22"/>
  <c r="I22" i="22"/>
  <c r="G28" i="22"/>
  <c r="I38" i="22"/>
  <c r="G15" i="22"/>
  <c r="G31" i="22"/>
  <c r="K37" i="21"/>
  <c r="H37" i="21"/>
  <c r="J37" i="21" s="1"/>
  <c r="K21" i="21"/>
  <c r="H21" i="21"/>
  <c r="J21" i="21" s="1"/>
  <c r="G14" i="21"/>
  <c r="H27" i="21"/>
  <c r="J27" i="21" s="1"/>
  <c r="G30" i="21"/>
  <c r="I11" i="21"/>
  <c r="G17" i="21"/>
  <c r="I27" i="21"/>
  <c r="G33" i="21"/>
  <c r="I14" i="21"/>
  <c r="G20" i="21"/>
  <c r="I30" i="21"/>
  <c r="G36" i="21"/>
  <c r="G23" i="21"/>
  <c r="I33" i="21"/>
  <c r="G10" i="21"/>
  <c r="I20" i="21"/>
  <c r="G26" i="21"/>
  <c r="I36" i="21"/>
  <c r="G13" i="21"/>
  <c r="I23" i="21"/>
  <c r="G29" i="21"/>
  <c r="I10" i="21"/>
  <c r="G16" i="21"/>
  <c r="I26" i="21"/>
  <c r="G32" i="21"/>
  <c r="I13" i="21"/>
  <c r="G19" i="21"/>
  <c r="I29" i="21"/>
  <c r="G35" i="21"/>
  <c r="I16" i="21"/>
  <c r="G22" i="21"/>
  <c r="I32" i="21"/>
  <c r="G38" i="21"/>
  <c r="G9" i="21"/>
  <c r="I19" i="21"/>
  <c r="G25" i="21"/>
  <c r="I35" i="21"/>
  <c r="G12" i="21"/>
  <c r="I22" i="21"/>
  <c r="G28" i="21"/>
  <c r="I38" i="21"/>
  <c r="G15" i="21"/>
  <c r="G31" i="21"/>
  <c r="I17" i="20"/>
  <c r="G17" i="20"/>
  <c r="K17" i="20" s="1"/>
  <c r="G34" i="20"/>
  <c r="K12" i="20"/>
  <c r="I28" i="20"/>
  <c r="G28" i="20"/>
  <c r="K28" i="20" s="1"/>
  <c r="L35" i="20"/>
  <c r="G21" i="20"/>
  <c r="K21" i="20" s="1"/>
  <c r="L14" i="20"/>
  <c r="I14" i="20"/>
  <c r="L22" i="20"/>
  <c r="G37" i="20"/>
  <c r="K37" i="20" s="1"/>
  <c r="L30" i="20"/>
  <c r="I9" i="20"/>
  <c r="G24" i="20"/>
  <c r="K24" i="20" s="1"/>
  <c r="I31" i="20"/>
  <c r="G11" i="20"/>
  <c r="K11" i="20" s="1"/>
  <c r="G18" i="20"/>
  <c r="H18" i="20" s="1"/>
  <c r="J18" i="20" s="1"/>
  <c r="I33" i="20"/>
  <c r="K14" i="20"/>
  <c r="H14" i="20"/>
  <c r="J14" i="20" s="1"/>
  <c r="K33" i="20"/>
  <c r="H33" i="20"/>
  <c r="J33" i="20" s="1"/>
  <c r="H12" i="20"/>
  <c r="J12" i="20" s="1"/>
  <c r="K30" i="20"/>
  <c r="H30" i="20"/>
  <c r="J30" i="20" s="1"/>
  <c r="H34" i="20"/>
  <c r="J34" i="20" s="1"/>
  <c r="K34" i="20"/>
  <c r="G20" i="20"/>
  <c r="L21" i="20"/>
  <c r="G36" i="20"/>
  <c r="L37" i="20"/>
  <c r="G23" i="20"/>
  <c r="G10" i="20"/>
  <c r="I20" i="20"/>
  <c r="G26" i="20"/>
  <c r="I36" i="20"/>
  <c r="G13" i="20"/>
  <c r="I23" i="20"/>
  <c r="G29" i="20"/>
  <c r="I10" i="20"/>
  <c r="G16" i="20"/>
  <c r="I26" i="20"/>
  <c r="G32" i="20"/>
  <c r="I13" i="20"/>
  <c r="I29" i="20"/>
  <c r="I16" i="20"/>
  <c r="H19" i="20"/>
  <c r="J19" i="20" s="1"/>
  <c r="G22" i="20"/>
  <c r="I32" i="20"/>
  <c r="G38" i="20"/>
  <c r="G9" i="20"/>
  <c r="I19" i="20"/>
  <c r="G25" i="20"/>
  <c r="I35" i="20"/>
  <c r="G15" i="20"/>
  <c r="G31" i="20"/>
  <c r="G8" i="19"/>
  <c r="B65" i="18"/>
  <c r="A35" i="18"/>
  <c r="F28" i="17"/>
  <c r="F29" i="17"/>
  <c r="F17" i="17"/>
  <c r="B26" i="17"/>
  <c r="F30" i="17"/>
  <c r="E18" i="17"/>
  <c r="E27" i="17"/>
  <c r="F31" i="17"/>
  <c r="E9" i="17"/>
  <c r="F18" i="17"/>
  <c r="D29" i="17"/>
  <c r="F32" i="17"/>
  <c r="F9" i="17"/>
  <c r="E19" i="17"/>
  <c r="E29" i="17"/>
  <c r="F33" i="17"/>
  <c r="B10" i="17"/>
  <c r="F19" i="17"/>
  <c r="E30" i="17"/>
  <c r="F34" i="17"/>
  <c r="E11" i="17"/>
  <c r="D20" i="17"/>
  <c r="E32" i="17"/>
  <c r="F35" i="17"/>
  <c r="B9" i="17"/>
  <c r="F13" i="17"/>
  <c r="E16" i="17"/>
  <c r="D19" i="17"/>
  <c r="C22" i="17"/>
  <c r="B25" i="17"/>
  <c r="C28" i="17"/>
  <c r="E31" i="17"/>
  <c r="C36" i="17"/>
  <c r="C9" i="17"/>
  <c r="B12" i="17"/>
  <c r="D22" i="17"/>
  <c r="C25" i="17"/>
  <c r="D28" i="17"/>
  <c r="B33" i="17"/>
  <c r="D36" i="17"/>
  <c r="C37" i="17"/>
  <c r="D9" i="17"/>
  <c r="C12" i="17"/>
  <c r="B15" i="17"/>
  <c r="D25" i="17"/>
  <c r="E28" i="17"/>
  <c r="C33" i="17"/>
  <c r="E36" i="17"/>
  <c r="D12" i="17"/>
  <c r="C15" i="17"/>
  <c r="B18" i="17"/>
  <c r="B30" i="17"/>
  <c r="D33" i="17"/>
  <c r="D15" i="17"/>
  <c r="C18" i="17"/>
  <c r="B21" i="17"/>
  <c r="C30" i="17"/>
  <c r="D18" i="17"/>
  <c r="C21" i="17"/>
  <c r="B24" i="17"/>
  <c r="B27" i="17"/>
  <c r="D30" i="17"/>
  <c r="B35" i="17"/>
  <c r="B38" i="17"/>
  <c r="B11" i="17"/>
  <c r="D21" i="17"/>
  <c r="C24" i="17"/>
  <c r="C27" i="17"/>
  <c r="C35" i="17"/>
  <c r="C38" i="17"/>
  <c r="C11" i="17"/>
  <c r="B14" i="17"/>
  <c r="D24" i="17"/>
  <c r="D27" i="17"/>
  <c r="B32" i="17"/>
  <c r="D35" i="17"/>
  <c r="D38" i="17"/>
  <c r="D11" i="17"/>
  <c r="C14" i="17"/>
  <c r="B17" i="17"/>
  <c r="C32" i="17"/>
  <c r="D14" i="17"/>
  <c r="C17" i="17"/>
  <c r="B20" i="17"/>
  <c r="B29" i="17"/>
  <c r="D32" i="17"/>
  <c r="D17" i="17"/>
  <c r="C20" i="17"/>
  <c r="B23" i="17"/>
  <c r="C29" i="17"/>
  <c r="B37" i="17"/>
  <c r="D23" i="17"/>
  <c r="C26" i="17"/>
  <c r="C34" i="17"/>
  <c r="D37" i="17"/>
  <c r="D10" i="17"/>
  <c r="C13" i="17"/>
  <c r="B16" i="17"/>
  <c r="F20" i="17"/>
  <c r="E23" i="17"/>
  <c r="D26" i="17"/>
  <c r="B31" i="17"/>
  <c r="D34" i="17"/>
  <c r="E37" i="17"/>
  <c r="E10" i="17"/>
  <c r="D13" i="17"/>
  <c r="C16" i="17"/>
  <c r="B19" i="17"/>
  <c r="F23" i="17"/>
  <c r="E26" i="17"/>
  <c r="C31" i="17"/>
  <c r="E34" i="17"/>
  <c r="F37" i="17"/>
  <c r="C10" i="17"/>
  <c r="G8" i="17"/>
  <c r="D16" i="17"/>
  <c r="B22" i="17"/>
  <c r="B28" i="17"/>
  <c r="A18" i="18"/>
  <c r="A13" i="18"/>
  <c r="A15" i="18" s="1"/>
  <c r="A17" i="18" s="1"/>
  <c r="J12" i="14"/>
  <c r="A33" i="10"/>
  <c r="A32" i="10"/>
  <c r="B34" i="10"/>
  <c r="B33" i="10"/>
  <c r="B32" i="10"/>
  <c r="C8" i="7"/>
  <c r="B8" i="6"/>
  <c r="C8" i="6"/>
  <c r="E8" i="6"/>
  <c r="C25" i="16"/>
  <c r="B20" i="16"/>
  <c r="B19" i="16"/>
  <c r="B18" i="16"/>
  <c r="B15" i="16"/>
  <c r="I15" i="15"/>
  <c r="G15" i="15"/>
  <c r="I14" i="15"/>
  <c r="G14" i="15"/>
  <c r="I13" i="15"/>
  <c r="G13" i="15"/>
  <c r="D25" i="16"/>
  <c r="I15" i="14"/>
  <c r="G15" i="14"/>
  <c r="H15" i="14" s="1"/>
  <c r="I14" i="14"/>
  <c r="G14" i="14"/>
  <c r="C28" i="16" s="1"/>
  <c r="I13" i="14"/>
  <c r="G13" i="14"/>
  <c r="C27" i="16" s="1"/>
  <c r="C26" i="16"/>
  <c r="C23" i="16"/>
  <c r="I15" i="13"/>
  <c r="G15" i="13"/>
  <c r="I14" i="13"/>
  <c r="G14" i="13"/>
  <c r="B28" i="16" s="1"/>
  <c r="I13" i="13"/>
  <c r="G13" i="13"/>
  <c r="B26" i="16"/>
  <c r="B24" i="16"/>
  <c r="B23" i="16"/>
  <c r="B27" i="11"/>
  <c r="B34" i="11" s="1"/>
  <c r="C34" i="11" s="1"/>
  <c r="B26" i="11"/>
  <c r="C22" i="11" s="1"/>
  <c r="C24" i="11"/>
  <c r="C23" i="11"/>
  <c r="C21" i="11"/>
  <c r="C20" i="11"/>
  <c r="B46" i="9"/>
  <c r="O44" i="9"/>
  <c r="N44" i="9"/>
  <c r="M46" i="9" s="1"/>
  <c r="M44" i="9"/>
  <c r="H44" i="9"/>
  <c r="G44" i="9"/>
  <c r="F44" i="9"/>
  <c r="F46" i="9" s="1"/>
  <c r="D44" i="9"/>
  <c r="O42" i="9"/>
  <c r="M42" i="9"/>
  <c r="H42" i="9"/>
  <c r="F42" i="9"/>
  <c r="D42" i="9"/>
  <c r="B42" i="9"/>
  <c r="G40" i="9"/>
  <c r="C40" i="9"/>
  <c r="A31" i="9"/>
  <c r="A32" i="9" s="1"/>
  <c r="M30" i="9"/>
  <c r="A30" i="9"/>
  <c r="A17" i="9"/>
  <c r="A19" i="9" s="1"/>
  <c r="A21" i="9" s="1"/>
  <c r="M15" i="9"/>
  <c r="M22" i="9" s="1"/>
  <c r="M14" i="9"/>
  <c r="M13" i="9"/>
  <c r="A13" i="9"/>
  <c r="A14" i="9" s="1"/>
  <c r="A15" i="9" s="1"/>
  <c r="E8" i="7"/>
  <c r="D8" i="7"/>
  <c r="B5" i="7"/>
  <c r="A5" i="7"/>
  <c r="B4" i="7"/>
  <c r="A4" i="7"/>
  <c r="B3" i="7"/>
  <c r="A3" i="7"/>
  <c r="A1" i="7"/>
  <c r="D8" i="6"/>
  <c r="B5" i="6"/>
  <c r="A5" i="6"/>
  <c r="B4" i="6"/>
  <c r="A4" i="6"/>
  <c r="B3" i="6"/>
  <c r="A3" i="6"/>
  <c r="A1" i="6"/>
  <c r="E8" i="5"/>
  <c r="D8" i="5"/>
  <c r="C8" i="5"/>
  <c r="B8" i="5"/>
  <c r="B6" i="5"/>
  <c r="B19" i="4"/>
  <c r="B52" i="4" s="1"/>
  <c r="B14" i="4"/>
  <c r="D114" i="3" a="1"/>
  <c r="D118" i="3" s="1"/>
  <c r="B114" i="3" a="1"/>
  <c r="B118" i="3" s="1"/>
  <c r="D113" i="3"/>
  <c r="B113" i="3"/>
  <c r="B111" i="3"/>
  <c r="B110" i="3"/>
  <c r="H109" i="3"/>
  <c r="G109" i="3"/>
  <c r="C98" i="3"/>
  <c r="C97" i="3"/>
  <c r="C103" i="3" s="1"/>
  <c r="C33" i="3"/>
  <c r="C34" i="3" s="1"/>
  <c r="K32" i="3"/>
  <c r="K31" i="3"/>
  <c r="A16" i="3"/>
  <c r="A17" i="3" s="1"/>
  <c r="A18" i="3" s="1"/>
  <c r="H38" i="2"/>
  <c r="H35" i="2"/>
  <c r="H33" i="2"/>
  <c r="C31" i="2"/>
  <c r="C38" i="2" s="1"/>
  <c r="D38" i="2" s="1"/>
  <c r="C30" i="2"/>
  <c r="D28" i="2" s="1"/>
  <c r="I34" i="5" l="1"/>
  <c r="K10" i="14"/>
  <c r="K9" i="14"/>
  <c r="K11" i="14"/>
  <c r="H13" i="15"/>
  <c r="J13" i="15" s="1"/>
  <c r="K12" i="15"/>
  <c r="H13" i="13"/>
  <c r="K13" i="13" s="1"/>
  <c r="J12" i="13"/>
  <c r="B27" i="16"/>
  <c r="H14" i="13"/>
  <c r="K14" i="13" s="1"/>
  <c r="K9" i="13"/>
  <c r="AE25" i="3"/>
  <c r="AE60" i="3"/>
  <c r="K18" i="26"/>
  <c r="H18" i="26"/>
  <c r="J18" i="26" s="1"/>
  <c r="H27" i="26"/>
  <c r="J27" i="26" s="1"/>
  <c r="K27" i="26"/>
  <c r="K37" i="24"/>
  <c r="H37" i="24"/>
  <c r="J37" i="24" s="1"/>
  <c r="K31" i="27"/>
  <c r="H31" i="27"/>
  <c r="J31" i="27" s="1"/>
  <c r="H29" i="27"/>
  <c r="J29" i="27" s="1"/>
  <c r="K29" i="27"/>
  <c r="K22" i="25"/>
  <c r="H22" i="25"/>
  <c r="J22" i="25" s="1"/>
  <c r="K26" i="28"/>
  <c r="H26" i="28"/>
  <c r="J26" i="28" s="1"/>
  <c r="H28" i="28"/>
  <c r="J28" i="28" s="1"/>
  <c r="K28" i="28"/>
  <c r="K28" i="26"/>
  <c r="H28" i="26"/>
  <c r="J28" i="26" s="1"/>
  <c r="K23" i="27"/>
  <c r="H23" i="27"/>
  <c r="J23" i="27" s="1"/>
  <c r="K28" i="24"/>
  <c r="H28" i="24"/>
  <c r="J28" i="24" s="1"/>
  <c r="K19" i="25"/>
  <c r="H19" i="25"/>
  <c r="J19" i="25" s="1"/>
  <c r="H10" i="25"/>
  <c r="J10" i="25" s="1"/>
  <c r="K10" i="25"/>
  <c r="K20" i="26"/>
  <c r="H20" i="26"/>
  <c r="J20" i="26" s="1"/>
  <c r="K33" i="27"/>
  <c r="H33" i="27"/>
  <c r="J33" i="27" s="1"/>
  <c r="K25" i="27"/>
  <c r="H25" i="27"/>
  <c r="J25" i="27" s="1"/>
  <c r="K12" i="26"/>
  <c r="H12" i="26"/>
  <c r="J12" i="26" s="1"/>
  <c r="K16" i="28"/>
  <c r="H16" i="28"/>
  <c r="J16" i="28" s="1"/>
  <c r="H21" i="27"/>
  <c r="J21" i="27" s="1"/>
  <c r="K21" i="27"/>
  <c r="H14" i="26"/>
  <c r="J14" i="26" s="1"/>
  <c r="K14" i="26"/>
  <c r="H31" i="28"/>
  <c r="J31" i="28" s="1"/>
  <c r="K31" i="28"/>
  <c r="K24" i="28"/>
  <c r="H24" i="28"/>
  <c r="J24" i="28" s="1"/>
  <c r="K13" i="25"/>
  <c r="H13" i="25"/>
  <c r="J13" i="25" s="1"/>
  <c r="K9" i="26"/>
  <c r="H9" i="26"/>
  <c r="J9" i="26" s="1"/>
  <c r="K21" i="28"/>
  <c r="H21" i="28"/>
  <c r="J21" i="28" s="1"/>
  <c r="K15" i="27"/>
  <c r="H15" i="27"/>
  <c r="J15" i="27" s="1"/>
  <c r="K35" i="24"/>
  <c r="H35" i="24"/>
  <c r="J35" i="24" s="1"/>
  <c r="K35" i="28"/>
  <c r="H35" i="28"/>
  <c r="J35" i="28" s="1"/>
  <c r="K17" i="27"/>
  <c r="H17" i="27"/>
  <c r="J17" i="27" s="1"/>
  <c r="K34" i="25"/>
  <c r="H34" i="25"/>
  <c r="J34" i="25" s="1"/>
  <c r="K12" i="24"/>
  <c r="H12" i="24"/>
  <c r="J12" i="24" s="1"/>
  <c r="H11" i="26"/>
  <c r="J11" i="26" s="1"/>
  <c r="K11" i="26"/>
  <c r="K31" i="25"/>
  <c r="H31" i="25"/>
  <c r="J31" i="25" s="1"/>
  <c r="K36" i="28"/>
  <c r="H36" i="28"/>
  <c r="J36" i="28" s="1"/>
  <c r="K33" i="24"/>
  <c r="H33" i="24"/>
  <c r="J33" i="24" s="1"/>
  <c r="K18" i="25"/>
  <c r="H18" i="25"/>
  <c r="J18" i="25" s="1"/>
  <c r="K13" i="28"/>
  <c r="H13" i="28"/>
  <c r="J13" i="28" s="1"/>
  <c r="K35" i="26"/>
  <c r="H35" i="26"/>
  <c r="J35" i="26" s="1"/>
  <c r="K11" i="28"/>
  <c r="H11" i="28"/>
  <c r="J11" i="28" s="1"/>
  <c r="H13" i="27"/>
  <c r="J13" i="27" s="1"/>
  <c r="K13" i="27"/>
  <c r="K37" i="28"/>
  <c r="H37" i="28"/>
  <c r="J37" i="28" s="1"/>
  <c r="K15" i="24"/>
  <c r="H15" i="24"/>
  <c r="J15" i="24" s="1"/>
  <c r="H20" i="28"/>
  <c r="J20" i="28" s="1"/>
  <c r="H12" i="28"/>
  <c r="J12" i="28" s="1"/>
  <c r="H18" i="28"/>
  <c r="J18" i="28" s="1"/>
  <c r="H10" i="28"/>
  <c r="J10" i="28" s="1"/>
  <c r="K9" i="27"/>
  <c r="H9" i="27"/>
  <c r="J9" i="27" s="1"/>
  <c r="K38" i="26"/>
  <c r="H38" i="26"/>
  <c r="J38" i="26" s="1"/>
  <c r="K19" i="24"/>
  <c r="H19" i="24"/>
  <c r="J19" i="24" s="1"/>
  <c r="K31" i="24"/>
  <c r="H31" i="24"/>
  <c r="J31" i="24" s="1"/>
  <c r="K19" i="26"/>
  <c r="H19" i="26"/>
  <c r="J19" i="26" s="1"/>
  <c r="K27" i="28"/>
  <c r="H27" i="28"/>
  <c r="J27" i="28" s="1"/>
  <c r="H36" i="25"/>
  <c r="J36" i="25" s="1"/>
  <c r="K36" i="25"/>
  <c r="K21" i="24"/>
  <c r="H21" i="24"/>
  <c r="J21" i="24" s="1"/>
  <c r="K15" i="26"/>
  <c r="H15" i="26"/>
  <c r="J15" i="26" s="1"/>
  <c r="K36" i="27"/>
  <c r="H36" i="27"/>
  <c r="J36" i="27" s="1"/>
  <c r="K32" i="26"/>
  <c r="H32" i="26"/>
  <c r="J32" i="26" s="1"/>
  <c r="K9" i="24"/>
  <c r="H9" i="24"/>
  <c r="J9" i="24" s="1"/>
  <c r="K29" i="28"/>
  <c r="H29" i="28"/>
  <c r="J29" i="28" s="1"/>
  <c r="H30" i="26"/>
  <c r="J30" i="26" s="1"/>
  <c r="K30" i="26"/>
  <c r="K28" i="25"/>
  <c r="H28" i="25"/>
  <c r="J28" i="25" s="1"/>
  <c r="K28" i="27"/>
  <c r="H28" i="27"/>
  <c r="J28" i="27" s="1"/>
  <c r="K9" i="25"/>
  <c r="H9" i="25"/>
  <c r="J9" i="25" s="1"/>
  <c r="K25" i="25"/>
  <c r="H25" i="25"/>
  <c r="J25" i="25" s="1"/>
  <c r="K23" i="25"/>
  <c r="H23" i="25"/>
  <c r="J23" i="25" s="1"/>
  <c r="K27" i="24"/>
  <c r="H27" i="24"/>
  <c r="J27" i="24" s="1"/>
  <c r="K20" i="27"/>
  <c r="H20" i="27"/>
  <c r="J20" i="27" s="1"/>
  <c r="K34" i="24"/>
  <c r="H34" i="24"/>
  <c r="J34" i="24" s="1"/>
  <c r="H23" i="26"/>
  <c r="J23" i="26" s="1"/>
  <c r="K23" i="26"/>
  <c r="K21" i="25"/>
  <c r="H21" i="25"/>
  <c r="J21" i="25" s="1"/>
  <c r="K23" i="28"/>
  <c r="H23" i="28"/>
  <c r="J23" i="28" s="1"/>
  <c r="K12" i="27"/>
  <c r="H12" i="27"/>
  <c r="J12" i="27" s="1"/>
  <c r="K16" i="26"/>
  <c r="H16" i="26"/>
  <c r="J16" i="26" s="1"/>
  <c r="K22" i="26"/>
  <c r="H22" i="26"/>
  <c r="J22" i="26" s="1"/>
  <c r="K15" i="28"/>
  <c r="H15" i="28"/>
  <c r="J15" i="28" s="1"/>
  <c r="K11" i="24"/>
  <c r="H11" i="24"/>
  <c r="J11" i="24" s="1"/>
  <c r="K18" i="24"/>
  <c r="H18" i="24"/>
  <c r="J18" i="24" s="1"/>
  <c r="K38" i="25"/>
  <c r="H38" i="25"/>
  <c r="J38" i="25" s="1"/>
  <c r="K34" i="27"/>
  <c r="H34" i="27"/>
  <c r="J34" i="27" s="1"/>
  <c r="H37" i="27"/>
  <c r="J37" i="27" s="1"/>
  <c r="K37" i="27"/>
  <c r="K19" i="28"/>
  <c r="H19" i="28"/>
  <c r="J19" i="28" s="1"/>
  <c r="H20" i="25"/>
  <c r="J20" i="25" s="1"/>
  <c r="K20" i="25"/>
  <c r="K34" i="26"/>
  <c r="H34" i="26"/>
  <c r="J34" i="26" s="1"/>
  <c r="K32" i="28"/>
  <c r="H32" i="28"/>
  <c r="J32" i="28" s="1"/>
  <c r="K25" i="26"/>
  <c r="H25" i="26"/>
  <c r="J25" i="26" s="1"/>
  <c r="H29" i="25"/>
  <c r="J29" i="25" s="1"/>
  <c r="K29" i="25"/>
  <c r="K12" i="25"/>
  <c r="H12" i="25"/>
  <c r="J12" i="25" s="1"/>
  <c r="K15" i="25"/>
  <c r="H15" i="25"/>
  <c r="J15" i="25" s="1"/>
  <c r="G38" i="3"/>
  <c r="L38" i="3" s="1"/>
  <c r="B16" i="4"/>
  <c r="D47" i="4" s="1"/>
  <c r="H33" i="23"/>
  <c r="J33" i="23" s="1"/>
  <c r="H21" i="23"/>
  <c r="J21" i="23" s="1"/>
  <c r="H18" i="23"/>
  <c r="J18" i="23" s="1"/>
  <c r="H34" i="23"/>
  <c r="J34" i="23" s="1"/>
  <c r="H11" i="23"/>
  <c r="J11" i="23" s="1"/>
  <c r="H31" i="23"/>
  <c r="J31" i="23" s="1"/>
  <c r="H17" i="23"/>
  <c r="J17" i="23" s="1"/>
  <c r="H20" i="23"/>
  <c r="J20" i="23" s="1"/>
  <c r="H30" i="22"/>
  <c r="J30" i="22" s="1"/>
  <c r="K27" i="22"/>
  <c r="K18" i="22"/>
  <c r="H18" i="21"/>
  <c r="J18" i="21" s="1"/>
  <c r="K18" i="23"/>
  <c r="K18" i="21"/>
  <c r="H21" i="20"/>
  <c r="J21" i="20" s="1"/>
  <c r="H35" i="20"/>
  <c r="J35" i="20" s="1"/>
  <c r="K14" i="22"/>
  <c r="K27" i="20"/>
  <c r="H11" i="21"/>
  <c r="J11" i="21" s="1"/>
  <c r="H27" i="23"/>
  <c r="J27" i="23" s="1"/>
  <c r="H17" i="20"/>
  <c r="J17" i="20" s="1"/>
  <c r="K31" i="23"/>
  <c r="H24" i="22"/>
  <c r="J24" i="22" s="1"/>
  <c r="K34" i="23"/>
  <c r="H24" i="23"/>
  <c r="J24" i="23" s="1"/>
  <c r="K18" i="20"/>
  <c r="K34" i="21"/>
  <c r="H11" i="20"/>
  <c r="J11" i="20" s="1"/>
  <c r="K29" i="23"/>
  <c r="H29" i="23"/>
  <c r="J29" i="23" s="1"/>
  <c r="K16" i="23"/>
  <c r="H16" i="23"/>
  <c r="J16" i="23" s="1"/>
  <c r="K14" i="23"/>
  <c r="H14" i="23"/>
  <c r="J14" i="23" s="1"/>
  <c r="K13" i="23"/>
  <c r="H13" i="23"/>
  <c r="J13" i="23" s="1"/>
  <c r="K25" i="23"/>
  <c r="H25" i="23"/>
  <c r="J25" i="23" s="1"/>
  <c r="K9" i="23"/>
  <c r="H9" i="23"/>
  <c r="J9" i="23" s="1"/>
  <c r="K38" i="23"/>
  <c r="H38" i="23"/>
  <c r="J38" i="23" s="1"/>
  <c r="K26" i="23"/>
  <c r="H26" i="23"/>
  <c r="J26" i="23" s="1"/>
  <c r="K22" i="23"/>
  <c r="H22" i="23"/>
  <c r="J22" i="23" s="1"/>
  <c r="K10" i="23"/>
  <c r="H10" i="23"/>
  <c r="J10" i="23" s="1"/>
  <c r="K23" i="23"/>
  <c r="H23" i="23"/>
  <c r="J23" i="23" s="1"/>
  <c r="K35" i="23"/>
  <c r="H35" i="23"/>
  <c r="J35" i="23" s="1"/>
  <c r="K36" i="23"/>
  <c r="H36" i="23"/>
  <c r="J36" i="23" s="1"/>
  <c r="K19" i="23"/>
  <c r="H19" i="23"/>
  <c r="J19" i="23" s="1"/>
  <c r="H15" i="23"/>
  <c r="J15" i="23" s="1"/>
  <c r="K15" i="23"/>
  <c r="K32" i="23"/>
  <c r="H32" i="23"/>
  <c r="J32" i="23" s="1"/>
  <c r="H30" i="23"/>
  <c r="J30" i="23" s="1"/>
  <c r="K30" i="23"/>
  <c r="H12" i="23"/>
  <c r="J12" i="23" s="1"/>
  <c r="K12" i="23"/>
  <c r="H28" i="23"/>
  <c r="J28" i="23" s="1"/>
  <c r="K28" i="23"/>
  <c r="K13" i="22"/>
  <c r="H13" i="22"/>
  <c r="J13" i="22" s="1"/>
  <c r="K9" i="22"/>
  <c r="H9" i="22"/>
  <c r="J9" i="22" s="1"/>
  <c r="K25" i="22"/>
  <c r="H25" i="22"/>
  <c r="J25" i="22" s="1"/>
  <c r="K38" i="22"/>
  <c r="H38" i="22"/>
  <c r="J38" i="22" s="1"/>
  <c r="K26" i="22"/>
  <c r="H26" i="22"/>
  <c r="J26" i="22" s="1"/>
  <c r="K10" i="22"/>
  <c r="H10" i="22"/>
  <c r="J10" i="22" s="1"/>
  <c r="K22" i="22"/>
  <c r="H22" i="22"/>
  <c r="J22" i="22" s="1"/>
  <c r="K35" i="22"/>
  <c r="H35" i="22"/>
  <c r="J35" i="22" s="1"/>
  <c r="K23" i="22"/>
  <c r="H23" i="22"/>
  <c r="J23" i="22" s="1"/>
  <c r="K17" i="22"/>
  <c r="H17" i="22"/>
  <c r="J17" i="22" s="1"/>
  <c r="H31" i="22"/>
  <c r="J31" i="22" s="1"/>
  <c r="K31" i="22"/>
  <c r="K19" i="22"/>
  <c r="H19" i="22"/>
  <c r="J19" i="22" s="1"/>
  <c r="K36" i="22"/>
  <c r="H36" i="22"/>
  <c r="J36" i="22" s="1"/>
  <c r="H15" i="22"/>
  <c r="J15" i="22" s="1"/>
  <c r="K15" i="22"/>
  <c r="K29" i="22"/>
  <c r="H29" i="22"/>
  <c r="J29" i="22" s="1"/>
  <c r="K32" i="22"/>
  <c r="H32" i="22"/>
  <c r="J32" i="22" s="1"/>
  <c r="K20" i="22"/>
  <c r="H20" i="22"/>
  <c r="J20" i="22" s="1"/>
  <c r="H28" i="22"/>
  <c r="J28" i="22" s="1"/>
  <c r="K28" i="22"/>
  <c r="K16" i="22"/>
  <c r="H16" i="22"/>
  <c r="J16" i="22" s="1"/>
  <c r="K33" i="22"/>
  <c r="H33" i="22"/>
  <c r="J33" i="22" s="1"/>
  <c r="H12" i="22"/>
  <c r="J12" i="22" s="1"/>
  <c r="K12" i="22"/>
  <c r="H28" i="21"/>
  <c r="J28" i="21" s="1"/>
  <c r="K28" i="21"/>
  <c r="K33" i="21"/>
  <c r="H33" i="21"/>
  <c r="J33" i="21" s="1"/>
  <c r="H12" i="21"/>
  <c r="J12" i="21" s="1"/>
  <c r="K12" i="21"/>
  <c r="K17" i="21"/>
  <c r="H17" i="21"/>
  <c r="J17" i="21" s="1"/>
  <c r="K29" i="21"/>
  <c r="H29" i="21"/>
  <c r="J29" i="21" s="1"/>
  <c r="K16" i="21"/>
  <c r="H16" i="21"/>
  <c r="J16" i="21" s="1"/>
  <c r="K25" i="21"/>
  <c r="H25" i="21"/>
  <c r="J25" i="21" s="1"/>
  <c r="K30" i="21"/>
  <c r="H30" i="21"/>
  <c r="J30" i="21" s="1"/>
  <c r="K13" i="21"/>
  <c r="H13" i="21"/>
  <c r="J13" i="21" s="1"/>
  <c r="K9" i="21"/>
  <c r="H9" i="21"/>
  <c r="J9" i="21" s="1"/>
  <c r="K14" i="21"/>
  <c r="H14" i="21"/>
  <c r="J14" i="21" s="1"/>
  <c r="K38" i="21"/>
  <c r="H38" i="21"/>
  <c r="J38" i="21" s="1"/>
  <c r="K26" i="21"/>
  <c r="H26" i="21"/>
  <c r="J26" i="21" s="1"/>
  <c r="K22" i="21"/>
  <c r="H22" i="21"/>
  <c r="J22" i="21" s="1"/>
  <c r="K10" i="21"/>
  <c r="H10" i="21"/>
  <c r="J10" i="21" s="1"/>
  <c r="K35" i="21"/>
  <c r="H35" i="21"/>
  <c r="J35" i="21" s="1"/>
  <c r="K23" i="21"/>
  <c r="H23" i="21"/>
  <c r="J23" i="21" s="1"/>
  <c r="K36" i="21"/>
  <c r="H36" i="21"/>
  <c r="J36" i="21" s="1"/>
  <c r="H31" i="21"/>
  <c r="J31" i="21" s="1"/>
  <c r="K31" i="21"/>
  <c r="K19" i="21"/>
  <c r="H19" i="21"/>
  <c r="J19" i="21" s="1"/>
  <c r="H15" i="21"/>
  <c r="J15" i="21" s="1"/>
  <c r="K15" i="21"/>
  <c r="K20" i="21"/>
  <c r="H20" i="21"/>
  <c r="J20" i="21" s="1"/>
  <c r="K32" i="21"/>
  <c r="H32" i="21"/>
  <c r="J32" i="21" s="1"/>
  <c r="H37" i="20"/>
  <c r="J37" i="20" s="1"/>
  <c r="H28" i="20"/>
  <c r="J28" i="20" s="1"/>
  <c r="H24" i="20"/>
  <c r="J24" i="20" s="1"/>
  <c r="H31" i="20"/>
  <c r="J31" i="20" s="1"/>
  <c r="K31" i="20"/>
  <c r="K29" i="20"/>
  <c r="H29" i="20"/>
  <c r="J29" i="20" s="1"/>
  <c r="K13" i="20"/>
  <c r="H13" i="20"/>
  <c r="J13" i="20" s="1"/>
  <c r="K38" i="20"/>
  <c r="H38" i="20"/>
  <c r="J38" i="20" s="1"/>
  <c r="K26" i="20"/>
  <c r="H26" i="20"/>
  <c r="J26" i="20" s="1"/>
  <c r="K9" i="20"/>
  <c r="H9" i="20"/>
  <c r="J9" i="20" s="1"/>
  <c r="K10" i="20"/>
  <c r="H10" i="20"/>
  <c r="J10" i="20" s="1"/>
  <c r="K22" i="20"/>
  <c r="H22" i="20"/>
  <c r="J22" i="20" s="1"/>
  <c r="K25" i="20"/>
  <c r="H25" i="20"/>
  <c r="J25" i="20" s="1"/>
  <c r="K23" i="20"/>
  <c r="H23" i="20"/>
  <c r="J23" i="20" s="1"/>
  <c r="K36" i="20"/>
  <c r="H36" i="20"/>
  <c r="J36" i="20" s="1"/>
  <c r="K32" i="20"/>
  <c r="H32" i="20"/>
  <c r="J32" i="20" s="1"/>
  <c r="K20" i="20"/>
  <c r="H20" i="20"/>
  <c r="J20" i="20" s="1"/>
  <c r="K16" i="20"/>
  <c r="H16" i="20"/>
  <c r="J16" i="20" s="1"/>
  <c r="H15" i="20"/>
  <c r="J15" i="20" s="1"/>
  <c r="K15" i="20"/>
  <c r="I31" i="19"/>
  <c r="L16" i="19"/>
  <c r="L24" i="19"/>
  <c r="L31" i="19"/>
  <c r="I19" i="19"/>
  <c r="G16" i="19"/>
  <c r="H16" i="19" s="1"/>
  <c r="J16" i="19" s="1"/>
  <c r="I24" i="19"/>
  <c r="I27" i="19"/>
  <c r="L19" i="19"/>
  <c r="L36" i="19"/>
  <c r="G24" i="19"/>
  <c r="H24" i="19" s="1"/>
  <c r="J24" i="19" s="1"/>
  <c r="I11" i="19"/>
  <c r="G11" i="19"/>
  <c r="L11" i="19"/>
  <c r="L10" i="19"/>
  <c r="I10" i="19"/>
  <c r="G10" i="19"/>
  <c r="L35" i="19"/>
  <c r="I35" i="19"/>
  <c r="G35" i="19"/>
  <c r="L15" i="19"/>
  <c r="I15" i="19"/>
  <c r="G15" i="19"/>
  <c r="L25" i="19"/>
  <c r="I25" i="19"/>
  <c r="G25" i="19"/>
  <c r="G37" i="19"/>
  <c r="L37" i="19"/>
  <c r="I37" i="19"/>
  <c r="L30" i="19"/>
  <c r="I30" i="19"/>
  <c r="G30" i="19"/>
  <c r="G14" i="19"/>
  <c r="I14" i="19"/>
  <c r="L14" i="19"/>
  <c r="G19" i="19"/>
  <c r="L33" i="19"/>
  <c r="I33" i="19"/>
  <c r="G33" i="19"/>
  <c r="I32" i="19"/>
  <c r="G32" i="19"/>
  <c r="L32" i="19"/>
  <c r="L28" i="19"/>
  <c r="I28" i="19"/>
  <c r="G28" i="19"/>
  <c r="G23" i="19"/>
  <c r="L23" i="19"/>
  <c r="I23" i="19"/>
  <c r="L18" i="19"/>
  <c r="I18" i="19"/>
  <c r="G18" i="19"/>
  <c r="G31" i="19"/>
  <c r="L9" i="19"/>
  <c r="I9" i="19"/>
  <c r="G9" i="19"/>
  <c r="L22" i="19"/>
  <c r="I22" i="19"/>
  <c r="G22" i="19"/>
  <c r="L13" i="19"/>
  <c r="I13" i="19"/>
  <c r="G13" i="19"/>
  <c r="I21" i="19"/>
  <c r="G21" i="19"/>
  <c r="L21" i="19"/>
  <c r="G36" i="19"/>
  <c r="L38" i="19"/>
  <c r="I38" i="19"/>
  <c r="G38" i="19"/>
  <c r="G34" i="19"/>
  <c r="L34" i="19"/>
  <c r="I34" i="19"/>
  <c r="I17" i="19"/>
  <c r="G17" i="19"/>
  <c r="L17" i="19"/>
  <c r="L27" i="19"/>
  <c r="I36" i="19"/>
  <c r="G20" i="19"/>
  <c r="L20" i="19"/>
  <c r="I20" i="19"/>
  <c r="I16" i="19"/>
  <c r="G26" i="19"/>
  <c r="L26" i="19"/>
  <c r="I26" i="19"/>
  <c r="L12" i="19"/>
  <c r="I12" i="19"/>
  <c r="G12" i="19"/>
  <c r="I29" i="19"/>
  <c r="G29" i="19"/>
  <c r="L29" i="19"/>
  <c r="G27" i="19"/>
  <c r="A19" i="18"/>
  <c r="A20" i="18" s="1"/>
  <c r="A21" i="18"/>
  <c r="A37" i="18"/>
  <c r="A38" i="18" s="1" a="1"/>
  <c r="A38" i="18" s="1"/>
  <c r="A39" i="18" s="1"/>
  <c r="O2" i="18"/>
  <c r="A36" i="18"/>
  <c r="C19" i="4"/>
  <c r="A20" i="3"/>
  <c r="A23" i="3" s="1"/>
  <c r="G13" i="17"/>
  <c r="K13" i="17" s="1"/>
  <c r="G26" i="17"/>
  <c r="K26" i="17" s="1"/>
  <c r="I34" i="17"/>
  <c r="L36" i="17"/>
  <c r="I10" i="17"/>
  <c r="L34" i="17"/>
  <c r="I26" i="17"/>
  <c r="L10" i="17"/>
  <c r="I36" i="17"/>
  <c r="G34" i="17"/>
  <c r="K34" i="17" s="1"/>
  <c r="H26" i="17"/>
  <c r="J26" i="17" s="1"/>
  <c r="L26" i="17"/>
  <c r="L25" i="17"/>
  <c r="I25" i="17"/>
  <c r="G25" i="17"/>
  <c r="L15" i="17"/>
  <c r="I15" i="17"/>
  <c r="G15" i="17"/>
  <c r="I14" i="17"/>
  <c r="G14" i="17"/>
  <c r="L14" i="17"/>
  <c r="L28" i="17"/>
  <c r="I28" i="17"/>
  <c r="G28" i="17"/>
  <c r="L31" i="17"/>
  <c r="I31" i="17"/>
  <c r="G31" i="17"/>
  <c r="I21" i="17"/>
  <c r="L21" i="17"/>
  <c r="G21" i="17"/>
  <c r="L22" i="17"/>
  <c r="I22" i="17"/>
  <c r="G22" i="17"/>
  <c r="I29" i="17"/>
  <c r="G29" i="17"/>
  <c r="L29" i="17"/>
  <c r="G20" i="17"/>
  <c r="L20" i="17"/>
  <c r="I20" i="17"/>
  <c r="L16" i="17"/>
  <c r="I16" i="17"/>
  <c r="G16" i="17"/>
  <c r="L30" i="17"/>
  <c r="I30" i="17"/>
  <c r="G30" i="17"/>
  <c r="L33" i="17"/>
  <c r="I33" i="17"/>
  <c r="G33" i="17"/>
  <c r="G10" i="17"/>
  <c r="I11" i="17"/>
  <c r="L11" i="17"/>
  <c r="G11" i="17"/>
  <c r="L18" i="17"/>
  <c r="I18" i="17"/>
  <c r="G18" i="17"/>
  <c r="L9" i="17"/>
  <c r="I9" i="17"/>
  <c r="G9" i="17"/>
  <c r="I17" i="17"/>
  <c r="G17" i="17"/>
  <c r="L17" i="17"/>
  <c r="L38" i="17"/>
  <c r="I38" i="17"/>
  <c r="G38" i="17"/>
  <c r="L13" i="17"/>
  <c r="G23" i="17"/>
  <c r="L23" i="17"/>
  <c r="I23" i="17"/>
  <c r="L35" i="17"/>
  <c r="G35" i="17"/>
  <c r="I35" i="17"/>
  <c r="I13" i="17"/>
  <c r="L27" i="17"/>
  <c r="I27" i="17"/>
  <c r="G27" i="17"/>
  <c r="L19" i="17"/>
  <c r="I19" i="17"/>
  <c r="G19" i="17"/>
  <c r="L24" i="17"/>
  <c r="I24" i="17"/>
  <c r="G24" i="17"/>
  <c r="L12" i="17"/>
  <c r="I12" i="17"/>
  <c r="G12" i="17"/>
  <c r="G36" i="17"/>
  <c r="G37" i="17"/>
  <c r="L37" i="17"/>
  <c r="I37" i="17"/>
  <c r="I32" i="17"/>
  <c r="G32" i="17"/>
  <c r="L32" i="17"/>
  <c r="O44" i="18"/>
  <c r="O36" i="18"/>
  <c r="O24" i="18"/>
  <c r="O4" i="18"/>
  <c r="O683" i="18"/>
  <c r="O675" i="18"/>
  <c r="O667" i="18"/>
  <c r="O659" i="18"/>
  <c r="O651" i="18"/>
  <c r="O643" i="18"/>
  <c r="O635" i="18"/>
  <c r="O627" i="18"/>
  <c r="O619" i="18"/>
  <c r="O611" i="18"/>
  <c r="O603" i="18"/>
  <c r="O595" i="18"/>
  <c r="O587" i="18"/>
  <c r="O579" i="18"/>
  <c r="O571" i="18"/>
  <c r="O563" i="18"/>
  <c r="O555" i="18"/>
  <c r="O547" i="18"/>
  <c r="O539" i="18"/>
  <c r="O531" i="18"/>
  <c r="O523" i="18"/>
  <c r="O515" i="18"/>
  <c r="O507" i="18"/>
  <c r="O499" i="18"/>
  <c r="O491" i="18"/>
  <c r="O483" i="18"/>
  <c r="O475" i="18"/>
  <c r="O467" i="18"/>
  <c r="O459" i="18"/>
  <c r="O451" i="18"/>
  <c r="O443" i="18"/>
  <c r="O435" i="18"/>
  <c r="O427" i="18"/>
  <c r="O419" i="18"/>
  <c r="O411" i="18"/>
  <c r="O403" i="18"/>
  <c r="O395" i="18"/>
  <c r="O387" i="18"/>
  <c r="O379" i="18"/>
  <c r="O371" i="18"/>
  <c r="O363" i="18"/>
  <c r="O355" i="18"/>
  <c r="O347" i="18"/>
  <c r="O339" i="18"/>
  <c r="O331" i="18"/>
  <c r="O323" i="18"/>
  <c r="O315" i="18"/>
  <c r="O307" i="18"/>
  <c r="O299" i="18"/>
  <c r="O291" i="18"/>
  <c r="O283" i="18"/>
  <c r="O275" i="18"/>
  <c r="O267" i="18"/>
  <c r="O259" i="18"/>
  <c r="O251" i="18"/>
  <c r="O243" i="18"/>
  <c r="O235" i="18"/>
  <c r="O227" i="18"/>
  <c r="O219" i="18"/>
  <c r="O211" i="18"/>
  <c r="O203" i="18"/>
  <c r="O195" i="18"/>
  <c r="O187" i="18"/>
  <c r="O179" i="18"/>
  <c r="O171" i="18"/>
  <c r="O163" i="18"/>
  <c r="O155" i="18"/>
  <c r="O147" i="18"/>
  <c r="O139" i="18"/>
  <c r="O131" i="18"/>
  <c r="O123" i="18"/>
  <c r="O115" i="18"/>
  <c r="O107" i="18"/>
  <c r="O99" i="18"/>
  <c r="O91" i="18"/>
  <c r="O83" i="18"/>
  <c r="O75" i="18"/>
  <c r="O67" i="18"/>
  <c r="O59" i="18"/>
  <c r="O51" i="18"/>
  <c r="O29" i="18"/>
  <c r="O17" i="18"/>
  <c r="O3" i="18"/>
  <c r="O660" i="18"/>
  <c r="O43" i="18"/>
  <c r="O35" i="18"/>
  <c r="O10" i="18"/>
  <c r="O682" i="18"/>
  <c r="O674" i="18"/>
  <c r="O666" i="18"/>
  <c r="O658" i="18"/>
  <c r="O650" i="18"/>
  <c r="O642" i="18"/>
  <c r="O634" i="18"/>
  <c r="O626" i="18"/>
  <c r="O618" i="18"/>
  <c r="O610" i="18"/>
  <c r="O602" i="18"/>
  <c r="O594" i="18"/>
  <c r="O586" i="18"/>
  <c r="O578" i="18"/>
  <c r="O570" i="18"/>
  <c r="O562" i="18"/>
  <c r="O554" i="18"/>
  <c r="O546" i="18"/>
  <c r="O538" i="18"/>
  <c r="O530" i="18"/>
  <c r="O522" i="18"/>
  <c r="O514" i="18"/>
  <c r="O506" i="18"/>
  <c r="O498" i="18"/>
  <c r="O490" i="18"/>
  <c r="O482" i="18"/>
  <c r="O474" i="18"/>
  <c r="O466" i="18"/>
  <c r="O458" i="18"/>
  <c r="O450" i="18"/>
  <c r="O442" i="18"/>
  <c r="O434" i="18"/>
  <c r="O426" i="18"/>
  <c r="O418" i="18"/>
  <c r="O410" i="18"/>
  <c r="O402" i="18"/>
  <c r="O394" i="18"/>
  <c r="O386" i="18"/>
  <c r="O378" i="18"/>
  <c r="O370" i="18"/>
  <c r="O362" i="18"/>
  <c r="O354" i="18"/>
  <c r="O346" i="18"/>
  <c r="O338" i="18"/>
  <c r="O330" i="18"/>
  <c r="O322" i="18"/>
  <c r="O314" i="18"/>
  <c r="O306" i="18"/>
  <c r="O298" i="18"/>
  <c r="O290" i="18"/>
  <c r="O282" i="18"/>
  <c r="O274" i="18"/>
  <c r="O266" i="18"/>
  <c r="O258" i="18"/>
  <c r="O250" i="18"/>
  <c r="O242" i="18"/>
  <c r="O234" i="18"/>
  <c r="O226" i="18"/>
  <c r="O218" i="18"/>
  <c r="O210" i="18"/>
  <c r="O202" i="18"/>
  <c r="O194" i="18"/>
  <c r="O186" i="18"/>
  <c r="O178" i="18"/>
  <c r="O170" i="18"/>
  <c r="O162" i="18"/>
  <c r="O154" i="18"/>
  <c r="O146" i="18"/>
  <c r="O138" i="18"/>
  <c r="O130" i="18"/>
  <c r="O122" i="18"/>
  <c r="O114" i="18"/>
  <c r="O106" i="18"/>
  <c r="O98" i="18"/>
  <c r="O90" i="18"/>
  <c r="O82" i="18"/>
  <c r="O74" i="18"/>
  <c r="O66" i="18"/>
  <c r="O58" i="18"/>
  <c r="O50" i="18"/>
  <c r="O23" i="18"/>
  <c r="O16" i="18"/>
  <c r="O676" i="18"/>
  <c r="O612" i="18"/>
  <c r="O42" i="18"/>
  <c r="O34" i="18"/>
  <c r="O28" i="18"/>
  <c r="O628" i="18"/>
  <c r="O681" i="18"/>
  <c r="O673" i="18"/>
  <c r="O665" i="18"/>
  <c r="O657" i="18"/>
  <c r="O649" i="18"/>
  <c r="O641" i="18"/>
  <c r="O633" i="18"/>
  <c r="O625" i="18"/>
  <c r="O617" i="18"/>
  <c r="O609" i="18"/>
  <c r="O601" i="18"/>
  <c r="O593" i="18"/>
  <c r="O585" i="18"/>
  <c r="O577" i="18"/>
  <c r="O569" i="18"/>
  <c r="O561" i="18"/>
  <c r="O553" i="18"/>
  <c r="O545" i="18"/>
  <c r="O537" i="18"/>
  <c r="O529" i="18"/>
  <c r="O521" i="18"/>
  <c r="O513" i="18"/>
  <c r="O505" i="18"/>
  <c r="O497" i="18"/>
  <c r="O489" i="18"/>
  <c r="O481" i="18"/>
  <c r="O473" i="18"/>
  <c r="O465" i="18"/>
  <c r="O457" i="18"/>
  <c r="O449" i="18"/>
  <c r="O441" i="18"/>
  <c r="O433" i="18"/>
  <c r="O425" i="18"/>
  <c r="O417" i="18"/>
  <c r="O409" i="18"/>
  <c r="O401" i="18"/>
  <c r="O393" i="18"/>
  <c r="O385" i="18"/>
  <c r="O377" i="18"/>
  <c r="O369" i="18"/>
  <c r="O361" i="18"/>
  <c r="O353" i="18"/>
  <c r="O345" i="18"/>
  <c r="O337" i="18"/>
  <c r="O329" i="18"/>
  <c r="O321" i="18"/>
  <c r="O313" i="18"/>
  <c r="O305" i="18"/>
  <c r="O297" i="18"/>
  <c r="O289" i="18"/>
  <c r="O281" i="18"/>
  <c r="O273" i="18"/>
  <c r="O265" i="18"/>
  <c r="O257" i="18"/>
  <c r="O249" i="18"/>
  <c r="O241" i="18"/>
  <c r="O233" i="18"/>
  <c r="O225" i="18"/>
  <c r="O217" i="18"/>
  <c r="O209" i="18"/>
  <c r="O201" i="18"/>
  <c r="O193" i="18"/>
  <c r="O185" i="18"/>
  <c r="O177" i="18"/>
  <c r="O169" i="18"/>
  <c r="O161" i="18"/>
  <c r="O153" i="18"/>
  <c r="O145" i="18"/>
  <c r="O137" i="18"/>
  <c r="O129" i="18"/>
  <c r="O121" i="18"/>
  <c r="O113" i="18"/>
  <c r="O105" i="18"/>
  <c r="O97" i="18"/>
  <c r="O89" i="18"/>
  <c r="O81" i="18"/>
  <c r="O73" i="18"/>
  <c r="O65" i="18"/>
  <c r="O57" i="18"/>
  <c r="O49" i="18"/>
  <c r="O15" i="18"/>
  <c r="O9" i="18"/>
  <c r="O30" i="18"/>
  <c r="O41" i="18"/>
  <c r="O33" i="18"/>
  <c r="O22" i="18"/>
  <c r="O680" i="18"/>
  <c r="O672" i="18"/>
  <c r="O664" i="18"/>
  <c r="O656" i="18"/>
  <c r="O648" i="18"/>
  <c r="O640" i="18"/>
  <c r="O632" i="18"/>
  <c r="O624" i="18"/>
  <c r="O616" i="18"/>
  <c r="O608" i="18"/>
  <c r="O600" i="18"/>
  <c r="O592" i="18"/>
  <c r="O584" i="18"/>
  <c r="O576" i="18"/>
  <c r="O568" i="18"/>
  <c r="O560" i="18"/>
  <c r="O552" i="18"/>
  <c r="O544" i="18"/>
  <c r="O536" i="18"/>
  <c r="O528" i="18"/>
  <c r="O520" i="18"/>
  <c r="O512" i="18"/>
  <c r="O504" i="18"/>
  <c r="O496" i="18"/>
  <c r="O488" i="18"/>
  <c r="O480" i="18"/>
  <c r="O472" i="18"/>
  <c r="O464" i="18"/>
  <c r="O456" i="18"/>
  <c r="O448" i="18"/>
  <c r="O440" i="18"/>
  <c r="O432" i="18"/>
  <c r="O424" i="18"/>
  <c r="O416" i="18"/>
  <c r="O408" i="18"/>
  <c r="O400" i="18"/>
  <c r="O392" i="18"/>
  <c r="O384" i="18"/>
  <c r="O376" i="18"/>
  <c r="O368" i="18"/>
  <c r="O360" i="18"/>
  <c r="O352" i="18"/>
  <c r="O344" i="18"/>
  <c r="O336" i="18"/>
  <c r="O328" i="18"/>
  <c r="O320" i="18"/>
  <c r="O312" i="18"/>
  <c r="O304" i="18"/>
  <c r="O296" i="18"/>
  <c r="O288" i="18"/>
  <c r="O280" i="18"/>
  <c r="O272" i="18"/>
  <c r="O264" i="18"/>
  <c r="O256" i="18"/>
  <c r="O248" i="18"/>
  <c r="O240" i="18"/>
  <c r="O232" i="18"/>
  <c r="O224" i="18"/>
  <c r="O216" i="18"/>
  <c r="O208" i="18"/>
  <c r="O200" i="18"/>
  <c r="O192" i="18"/>
  <c r="O184" i="18"/>
  <c r="O176" i="18"/>
  <c r="O168" i="18"/>
  <c r="O160" i="18"/>
  <c r="O152" i="18"/>
  <c r="O144" i="18"/>
  <c r="O136" i="18"/>
  <c r="O128" i="18"/>
  <c r="O120" i="18"/>
  <c r="O112" i="18"/>
  <c r="O104" i="18"/>
  <c r="O96" i="18"/>
  <c r="O88" i="18"/>
  <c r="O80" i="18"/>
  <c r="O72" i="18"/>
  <c r="O64" i="18"/>
  <c r="O56" i="18"/>
  <c r="O27" i="18"/>
  <c r="O636" i="18"/>
  <c r="O48" i="18"/>
  <c r="O40" i="18"/>
  <c r="O21" i="18"/>
  <c r="O14" i="18"/>
  <c r="O8" i="18"/>
  <c r="O679" i="18"/>
  <c r="O671" i="18"/>
  <c r="O663" i="18"/>
  <c r="O655" i="18"/>
  <c r="O647" i="18"/>
  <c r="O639" i="18"/>
  <c r="O631" i="18"/>
  <c r="O623" i="18"/>
  <c r="O615" i="18"/>
  <c r="O607" i="18"/>
  <c r="O599" i="18"/>
  <c r="O591" i="18"/>
  <c r="O583" i="18"/>
  <c r="O575" i="18"/>
  <c r="O567" i="18"/>
  <c r="O559" i="18"/>
  <c r="O551" i="18"/>
  <c r="O543" i="18"/>
  <c r="O535" i="18"/>
  <c r="O527" i="18"/>
  <c r="O519" i="18"/>
  <c r="O511" i="18"/>
  <c r="O503" i="18"/>
  <c r="O495" i="18"/>
  <c r="O487" i="18"/>
  <c r="O479" i="18"/>
  <c r="O471" i="18"/>
  <c r="O463" i="18"/>
  <c r="O455" i="18"/>
  <c r="O447" i="18"/>
  <c r="O439" i="18"/>
  <c r="O431" i="18"/>
  <c r="O423" i="18"/>
  <c r="O415" i="18"/>
  <c r="O407" i="18"/>
  <c r="O399" i="18"/>
  <c r="O391" i="18"/>
  <c r="O383" i="18"/>
  <c r="O375" i="18"/>
  <c r="O367" i="18"/>
  <c r="O359" i="18"/>
  <c r="O351" i="18"/>
  <c r="O343" i="18"/>
  <c r="O335" i="18"/>
  <c r="O327" i="18"/>
  <c r="O319" i="18"/>
  <c r="O311" i="18"/>
  <c r="O303" i="18"/>
  <c r="O295" i="18"/>
  <c r="O287" i="18"/>
  <c r="O279" i="18"/>
  <c r="O271" i="18"/>
  <c r="O263" i="18"/>
  <c r="O255" i="18"/>
  <c r="O247" i="18"/>
  <c r="O239" i="18"/>
  <c r="O231" i="18"/>
  <c r="O223" i="18"/>
  <c r="O215" i="18"/>
  <c r="O207" i="18"/>
  <c r="O199" i="18"/>
  <c r="O191" i="18"/>
  <c r="O183" i="18"/>
  <c r="O175" i="18"/>
  <c r="O167" i="18"/>
  <c r="O159" i="18"/>
  <c r="O151" i="18"/>
  <c r="O143" i="18"/>
  <c r="O135" i="18"/>
  <c r="O127" i="18"/>
  <c r="O119" i="18"/>
  <c r="O111" i="18"/>
  <c r="O103" i="18"/>
  <c r="O95" i="18"/>
  <c r="O87" i="18"/>
  <c r="O79" i="18"/>
  <c r="O71" i="18"/>
  <c r="O63" i="18"/>
  <c r="O55" i="18"/>
  <c r="O32" i="18"/>
  <c r="O18" i="18"/>
  <c r="O47" i="18"/>
  <c r="O39" i="18"/>
  <c r="O26" i="18"/>
  <c r="O20" i="18"/>
  <c r="O13" i="18"/>
  <c r="O7" i="18"/>
  <c r="O678" i="18"/>
  <c r="O670" i="18"/>
  <c r="O662" i="18"/>
  <c r="O654" i="18"/>
  <c r="O646" i="18"/>
  <c r="O638" i="18"/>
  <c r="O630" i="18"/>
  <c r="O622" i="18"/>
  <c r="O614" i="18"/>
  <c r="O606" i="18"/>
  <c r="O598" i="18"/>
  <c r="O590" i="18"/>
  <c r="O582" i="18"/>
  <c r="O574" i="18"/>
  <c r="O566" i="18"/>
  <c r="O558" i="18"/>
  <c r="O550" i="18"/>
  <c r="O542" i="18"/>
  <c r="O534" i="18"/>
  <c r="O526" i="18"/>
  <c r="O518" i="18"/>
  <c r="O510" i="18"/>
  <c r="O502" i="18"/>
  <c r="O494" i="18"/>
  <c r="O486" i="18"/>
  <c r="O478" i="18"/>
  <c r="O470" i="18"/>
  <c r="O462" i="18"/>
  <c r="O454" i="18"/>
  <c r="O446" i="18"/>
  <c r="O438" i="18"/>
  <c r="O430" i="18"/>
  <c r="O422" i="18"/>
  <c r="O414" i="18"/>
  <c r="O406" i="18"/>
  <c r="O398" i="18"/>
  <c r="O390" i="18"/>
  <c r="O382" i="18"/>
  <c r="O374" i="18"/>
  <c r="O366" i="18"/>
  <c r="O358" i="18"/>
  <c r="O350" i="18"/>
  <c r="O342" i="18"/>
  <c r="O334" i="18"/>
  <c r="O326" i="18"/>
  <c r="O318" i="18"/>
  <c r="O310" i="18"/>
  <c r="O302" i="18"/>
  <c r="O294" i="18"/>
  <c r="O286" i="18"/>
  <c r="O278" i="18"/>
  <c r="O270" i="18"/>
  <c r="O262" i="18"/>
  <c r="O254" i="18"/>
  <c r="O246" i="18"/>
  <c r="O238" i="18"/>
  <c r="O230" i="18"/>
  <c r="O222" i="18"/>
  <c r="O214" i="18"/>
  <c r="O206" i="18"/>
  <c r="O198" i="18"/>
  <c r="O190" i="18"/>
  <c r="O182" i="18"/>
  <c r="O174" i="18"/>
  <c r="O166" i="18"/>
  <c r="O158" i="18"/>
  <c r="O150" i="18"/>
  <c r="O142" i="18"/>
  <c r="O134" i="18"/>
  <c r="O126" i="18"/>
  <c r="O118" i="18"/>
  <c r="O110" i="18"/>
  <c r="O102" i="18"/>
  <c r="O94" i="18"/>
  <c r="O86" i="18"/>
  <c r="O78" i="18"/>
  <c r="O70" i="18"/>
  <c r="O62" i="18"/>
  <c r="O54" i="18"/>
  <c r="O31" i="18"/>
  <c r="O5" i="18"/>
  <c r="O668" i="18"/>
  <c r="O604" i="18"/>
  <c r="O46" i="18"/>
  <c r="O38" i="18"/>
  <c r="O19" i="18"/>
  <c r="O6" i="18"/>
  <c r="O684" i="18"/>
  <c r="O620" i="18"/>
  <c r="O685" i="18"/>
  <c r="O677" i="18"/>
  <c r="O669" i="18"/>
  <c r="O661" i="18"/>
  <c r="O653" i="18"/>
  <c r="O645" i="18"/>
  <c r="O637" i="18"/>
  <c r="O629" i="18"/>
  <c r="O621" i="18"/>
  <c r="O613" i="18"/>
  <c r="O605" i="18"/>
  <c r="O597" i="18"/>
  <c r="O589" i="18"/>
  <c r="O581" i="18"/>
  <c r="O573" i="18"/>
  <c r="O565" i="18"/>
  <c r="O557" i="18"/>
  <c r="O549" i="18"/>
  <c r="O541" i="18"/>
  <c r="O533" i="18"/>
  <c r="O525" i="18"/>
  <c r="O517" i="18"/>
  <c r="O509" i="18"/>
  <c r="O501" i="18"/>
  <c r="O493" i="18"/>
  <c r="O485" i="18"/>
  <c r="O477" i="18"/>
  <c r="O469" i="18"/>
  <c r="O461" i="18"/>
  <c r="O453" i="18"/>
  <c r="O445" i="18"/>
  <c r="O437" i="18"/>
  <c r="O429" i="18"/>
  <c r="O421" i="18"/>
  <c r="O413" i="18"/>
  <c r="O405" i="18"/>
  <c r="O397" i="18"/>
  <c r="O389" i="18"/>
  <c r="O381" i="18"/>
  <c r="O373" i="18"/>
  <c r="O365" i="18"/>
  <c r="O357" i="18"/>
  <c r="O349" i="18"/>
  <c r="O341" i="18"/>
  <c r="O333" i="18"/>
  <c r="O325" i="18"/>
  <c r="O317" i="18"/>
  <c r="O309" i="18"/>
  <c r="O301" i="18"/>
  <c r="O293" i="18"/>
  <c r="O285" i="18"/>
  <c r="O277" i="18"/>
  <c r="O269" i="18"/>
  <c r="O261" i="18"/>
  <c r="O253" i="18"/>
  <c r="O245" i="18"/>
  <c r="O237" i="18"/>
  <c r="O229" i="18"/>
  <c r="O221" i="18"/>
  <c r="O213" i="18"/>
  <c r="O205" i="18"/>
  <c r="O197" i="18"/>
  <c r="O189" i="18"/>
  <c r="O181" i="18"/>
  <c r="O173" i="18"/>
  <c r="O165" i="18"/>
  <c r="O157" i="18"/>
  <c r="O149" i="18"/>
  <c r="O141" i="18"/>
  <c r="O133" i="18"/>
  <c r="O125" i="18"/>
  <c r="O117" i="18"/>
  <c r="O109" i="18"/>
  <c r="O101" i="18"/>
  <c r="O93" i="18"/>
  <c r="O85" i="18"/>
  <c r="O77" i="18"/>
  <c r="O69" i="18"/>
  <c r="O61" i="18"/>
  <c r="O53" i="18"/>
  <c r="O25" i="18"/>
  <c r="O12" i="18"/>
  <c r="O45" i="18"/>
  <c r="O37" i="18"/>
  <c r="O652" i="18"/>
  <c r="O588" i="18"/>
  <c r="O460" i="18"/>
  <c r="O332" i="18"/>
  <c r="O204" i="18"/>
  <c r="O76" i="18"/>
  <c r="O516" i="18"/>
  <c r="O388" i="18"/>
  <c r="O260" i="18"/>
  <c r="O132" i="18"/>
  <c r="O572" i="18"/>
  <c r="O444" i="18"/>
  <c r="O316" i="18"/>
  <c r="O188" i="18"/>
  <c r="O60" i="18"/>
  <c r="O500" i="18"/>
  <c r="O372" i="18"/>
  <c r="O244" i="18"/>
  <c r="O116" i="18"/>
  <c r="O556" i="18"/>
  <c r="O428" i="18"/>
  <c r="O300" i="18"/>
  <c r="O172" i="18"/>
  <c r="O484" i="18"/>
  <c r="O356" i="18"/>
  <c r="O228" i="18"/>
  <c r="O100" i="18"/>
  <c r="O644" i="18"/>
  <c r="O540" i="18"/>
  <c r="O412" i="18"/>
  <c r="O284" i="18"/>
  <c r="O156" i="18"/>
  <c r="O596" i="18"/>
  <c r="O468" i="18"/>
  <c r="O340" i="18"/>
  <c r="O212" i="18"/>
  <c r="O84" i="18"/>
  <c r="O524" i="18"/>
  <c r="O396" i="18"/>
  <c r="O268" i="18"/>
  <c r="O140" i="18"/>
  <c r="O11" i="18"/>
  <c r="O580" i="18"/>
  <c r="O452" i="18"/>
  <c r="O324" i="18"/>
  <c r="O196" i="18"/>
  <c r="O68" i="18"/>
  <c r="O508" i="18"/>
  <c r="O380" i="18"/>
  <c r="O252" i="18"/>
  <c r="O124" i="18"/>
  <c r="O564" i="18"/>
  <c r="O436" i="18"/>
  <c r="O308" i="18"/>
  <c r="O180" i="18"/>
  <c r="O52" i="18"/>
  <c r="O492" i="18"/>
  <c r="O364" i="18"/>
  <c r="O236" i="18"/>
  <c r="O108" i="18"/>
  <c r="O404" i="18"/>
  <c r="O548" i="18"/>
  <c r="O420" i="18"/>
  <c r="O292" i="18"/>
  <c r="O164" i="18"/>
  <c r="O276" i="18"/>
  <c r="O476" i="18"/>
  <c r="O348" i="18"/>
  <c r="O220" i="18"/>
  <c r="O92" i="18"/>
  <c r="O532" i="18"/>
  <c r="O148" i="18"/>
  <c r="D27" i="16"/>
  <c r="H13" i="14"/>
  <c r="K13" i="14" s="1"/>
  <c r="H14" i="14"/>
  <c r="K14" i="14" s="1"/>
  <c r="D26" i="16"/>
  <c r="E26" i="16" s="1"/>
  <c r="I26" i="16" s="1"/>
  <c r="H14" i="15"/>
  <c r="D28" i="16"/>
  <c r="E28" i="16" s="1"/>
  <c r="I28" i="16" s="1"/>
  <c r="K9" i="15"/>
  <c r="H15" i="15"/>
  <c r="K15" i="15" s="1"/>
  <c r="J9" i="13"/>
  <c r="K12" i="13"/>
  <c r="H15" i="13"/>
  <c r="K15" i="13" s="1"/>
  <c r="D27" i="2"/>
  <c r="G8" i="6"/>
  <c r="C35" i="3"/>
  <c r="D26" i="2"/>
  <c r="D25" i="2"/>
  <c r="D24" i="2"/>
  <c r="M32" i="9"/>
  <c r="D114" i="3"/>
  <c r="D115" i="3"/>
  <c r="D116" i="3"/>
  <c r="G8" i="7"/>
  <c r="B114" i="3"/>
  <c r="D117" i="3"/>
  <c r="G8" i="5"/>
  <c r="B115" i="3"/>
  <c r="B116" i="3"/>
  <c r="M17" i="9"/>
  <c r="M19" i="9" s="1"/>
  <c r="M21" i="9" s="1"/>
  <c r="M23" i="9" s="1"/>
  <c r="M24" i="9" s="1"/>
  <c r="B117" i="3"/>
  <c r="B25" i="16"/>
  <c r="E25" i="16" s="1"/>
  <c r="I25" i="16" s="1"/>
  <c r="D23" i="16"/>
  <c r="E23" i="16" s="1"/>
  <c r="I23" i="16" s="1"/>
  <c r="D24" i="16"/>
  <c r="C24" i="16"/>
  <c r="K15" i="14"/>
  <c r="J15" i="14"/>
  <c r="F32" i="8" l="1"/>
  <c r="D46" i="4"/>
  <c r="J12" i="15"/>
  <c r="K13" i="15"/>
  <c r="J14" i="13"/>
  <c r="J14" i="14"/>
  <c r="J9" i="15"/>
  <c r="E27" i="16"/>
  <c r="I27" i="16" s="1"/>
  <c r="J13" i="13"/>
  <c r="M35" i="6"/>
  <c r="M30" i="5"/>
  <c r="A22" i="3"/>
  <c r="K24" i="19"/>
  <c r="K16" i="19"/>
  <c r="K9" i="19"/>
  <c r="H9" i="19"/>
  <c r="J9" i="19" s="1"/>
  <c r="K33" i="19"/>
  <c r="H33" i="19"/>
  <c r="J33" i="19" s="1"/>
  <c r="K34" i="19"/>
  <c r="H34" i="19"/>
  <c r="J34" i="19" s="1"/>
  <c r="K15" i="19"/>
  <c r="H15" i="19"/>
  <c r="J15" i="19" s="1"/>
  <c r="K38" i="19"/>
  <c r="H38" i="19"/>
  <c r="J38" i="19" s="1"/>
  <c r="K31" i="19"/>
  <c r="H31" i="19"/>
  <c r="J31" i="19" s="1"/>
  <c r="K19" i="19"/>
  <c r="H19" i="19"/>
  <c r="J19" i="19" s="1"/>
  <c r="K12" i="19"/>
  <c r="H12" i="19"/>
  <c r="J12" i="19" s="1"/>
  <c r="K18" i="19"/>
  <c r="H18" i="19"/>
  <c r="J18" i="19" s="1"/>
  <c r="K35" i="19"/>
  <c r="H35" i="19"/>
  <c r="J35" i="19" s="1"/>
  <c r="K26" i="19"/>
  <c r="H26" i="19"/>
  <c r="J26" i="19" s="1"/>
  <c r="K36" i="19"/>
  <c r="H36" i="19"/>
  <c r="J36" i="19" s="1"/>
  <c r="H14" i="19"/>
  <c r="J14" i="19" s="1"/>
  <c r="K14" i="19"/>
  <c r="K21" i="19"/>
  <c r="H21" i="19"/>
  <c r="J21" i="19" s="1"/>
  <c r="K10" i="19"/>
  <c r="H10" i="19"/>
  <c r="J10" i="19" s="1"/>
  <c r="K23" i="19"/>
  <c r="H23" i="19"/>
  <c r="J23" i="19" s="1"/>
  <c r="K30" i="19"/>
  <c r="H30" i="19"/>
  <c r="J30" i="19" s="1"/>
  <c r="H20" i="19"/>
  <c r="J20" i="19" s="1"/>
  <c r="K20" i="19"/>
  <c r="K13" i="19"/>
  <c r="H13" i="19"/>
  <c r="J13" i="19" s="1"/>
  <c r="K28" i="19"/>
  <c r="H28" i="19"/>
  <c r="J28" i="19" s="1"/>
  <c r="K11" i="19"/>
  <c r="H11" i="19"/>
  <c r="J11" i="19" s="1"/>
  <c r="K27" i="19"/>
  <c r="H27" i="19"/>
  <c r="J27" i="19" s="1"/>
  <c r="K22" i="19"/>
  <c r="H22" i="19"/>
  <c r="J22" i="19" s="1"/>
  <c r="H17" i="19"/>
  <c r="J17" i="19" s="1"/>
  <c r="K17" i="19"/>
  <c r="K32" i="19"/>
  <c r="H32" i="19"/>
  <c r="J32" i="19" s="1"/>
  <c r="K37" i="19"/>
  <c r="H37" i="19"/>
  <c r="J37" i="19" s="1"/>
  <c r="H29" i="19"/>
  <c r="J29" i="19" s="1"/>
  <c r="K29" i="19"/>
  <c r="K25" i="19"/>
  <c r="H25" i="19"/>
  <c r="J25" i="19" s="1"/>
  <c r="A27" i="18"/>
  <c r="A28" i="18" s="1"/>
  <c r="A40" i="18"/>
  <c r="A41" i="18" s="1"/>
  <c r="A42" i="18" s="1"/>
  <c r="A43" i="18" s="1"/>
  <c r="A45" i="18" s="1"/>
  <c r="H13" i="17"/>
  <c r="J13" i="17" s="1"/>
  <c r="H34" i="17"/>
  <c r="J34" i="17" s="1"/>
  <c r="K36" i="17"/>
  <c r="H36" i="17"/>
  <c r="J36" i="17" s="1"/>
  <c r="K12" i="17"/>
  <c r="H12" i="17"/>
  <c r="J12" i="17" s="1"/>
  <c r="K11" i="17"/>
  <c r="H11" i="17"/>
  <c r="J11" i="17" s="1"/>
  <c r="H14" i="17"/>
  <c r="J14" i="17" s="1"/>
  <c r="K14" i="17"/>
  <c r="H20" i="17"/>
  <c r="J20" i="17" s="1"/>
  <c r="K20" i="17"/>
  <c r="H29" i="17"/>
  <c r="J29" i="17" s="1"/>
  <c r="K29" i="17"/>
  <c r="K23" i="17"/>
  <c r="H23" i="17"/>
  <c r="J23" i="17" s="1"/>
  <c r="K15" i="17"/>
  <c r="H15" i="17"/>
  <c r="J15" i="17" s="1"/>
  <c r="K24" i="17"/>
  <c r="H24" i="17"/>
  <c r="J24" i="17" s="1"/>
  <c r="K10" i="17"/>
  <c r="H10" i="17"/>
  <c r="J10" i="17" s="1"/>
  <c r="K22" i="17"/>
  <c r="H22" i="17"/>
  <c r="J22" i="17" s="1"/>
  <c r="K25" i="17"/>
  <c r="H25" i="17"/>
  <c r="J25" i="17" s="1"/>
  <c r="K38" i="17"/>
  <c r="H38" i="17"/>
  <c r="J38" i="17" s="1"/>
  <c r="K19" i="17"/>
  <c r="H19" i="17"/>
  <c r="J19" i="17" s="1"/>
  <c r="K21" i="17"/>
  <c r="H21" i="17"/>
  <c r="J21" i="17" s="1"/>
  <c r="K30" i="17"/>
  <c r="H30" i="17"/>
  <c r="J30" i="17" s="1"/>
  <c r="H17" i="17"/>
  <c r="J17" i="17" s="1"/>
  <c r="K17" i="17"/>
  <c r="K33" i="17"/>
  <c r="H33" i="17"/>
  <c r="J33" i="17" s="1"/>
  <c r="K27" i="17"/>
  <c r="H27" i="17"/>
  <c r="J27" i="17" s="1"/>
  <c r="K31" i="17"/>
  <c r="H31" i="17"/>
  <c r="J31" i="17" s="1"/>
  <c r="K32" i="17"/>
  <c r="H32" i="17"/>
  <c r="J32" i="17" s="1"/>
  <c r="K9" i="17"/>
  <c r="H9" i="17"/>
  <c r="J9" i="17" s="1"/>
  <c r="K16" i="17"/>
  <c r="H16" i="17"/>
  <c r="J16" i="17" s="1"/>
  <c r="K18" i="17"/>
  <c r="H18" i="17"/>
  <c r="J18" i="17" s="1"/>
  <c r="K28" i="17"/>
  <c r="H28" i="17"/>
  <c r="J28" i="17" s="1"/>
  <c r="K37" i="17"/>
  <c r="H37" i="17"/>
  <c r="J37" i="17" s="1"/>
  <c r="K35" i="17"/>
  <c r="H35" i="17"/>
  <c r="J35" i="17" s="1"/>
  <c r="J13" i="14"/>
  <c r="K14" i="15"/>
  <c r="J14" i="15"/>
  <c r="J15" i="15"/>
  <c r="J11" i="15"/>
  <c r="K11" i="15"/>
  <c r="E24" i="16"/>
  <c r="I24" i="16" s="1"/>
  <c r="J15" i="13"/>
  <c r="G11" i="5"/>
  <c r="L11" i="5" s="1"/>
  <c r="B31" i="8" s="1"/>
  <c r="M18" i="7"/>
  <c r="I23" i="5"/>
  <c r="G34" i="5"/>
  <c r="H34" i="5" s="1"/>
  <c r="J34" i="5" s="1"/>
  <c r="M34" i="5"/>
  <c r="G36" i="7"/>
  <c r="L36" i="7" s="1"/>
  <c r="D6" i="8" s="1"/>
  <c r="M23" i="5"/>
  <c r="M27" i="5"/>
  <c r="M19" i="5"/>
  <c r="M15" i="5"/>
  <c r="M13" i="6"/>
  <c r="I11" i="5"/>
  <c r="M11" i="5"/>
  <c r="G26" i="7"/>
  <c r="G35" i="6"/>
  <c r="I27" i="5"/>
  <c r="G13" i="7"/>
  <c r="H13" i="7" s="1"/>
  <c r="J13" i="7" s="1"/>
  <c r="G23" i="5"/>
  <c r="H23" i="5" s="1"/>
  <c r="J23" i="5" s="1"/>
  <c r="I35" i="6"/>
  <c r="G10" i="7"/>
  <c r="G37" i="5"/>
  <c r="M37" i="5"/>
  <c r="M36" i="7"/>
  <c r="G28" i="7"/>
  <c r="M34" i="7"/>
  <c r="G23" i="7"/>
  <c r="M29" i="6"/>
  <c r="I29" i="6"/>
  <c r="I22" i="6"/>
  <c r="G13" i="6"/>
  <c r="M26" i="7"/>
  <c r="M23" i="7"/>
  <c r="G18" i="7"/>
  <c r="G34" i="7"/>
  <c r="M13" i="7"/>
  <c r="M10" i="7"/>
  <c r="M28" i="7"/>
  <c r="G22" i="6"/>
  <c r="M22" i="6"/>
  <c r="G29" i="6"/>
  <c r="I13" i="6"/>
  <c r="M17" i="6"/>
  <c r="G17" i="6"/>
  <c r="L17" i="6" s="1"/>
  <c r="C25" i="8" s="1"/>
  <c r="I17" i="6"/>
  <c r="M35" i="7"/>
  <c r="G35" i="7"/>
  <c r="L35" i="7" s="1"/>
  <c r="D7" i="8" s="1"/>
  <c r="M11" i="7"/>
  <c r="G11" i="7"/>
  <c r="L11" i="7" s="1"/>
  <c r="D31" i="8" s="1"/>
  <c r="K10" i="13"/>
  <c r="J10" i="13"/>
  <c r="M17" i="7"/>
  <c r="G17" i="7"/>
  <c r="L17" i="7" s="1"/>
  <c r="D25" i="8" s="1"/>
  <c r="M17" i="5"/>
  <c r="G17" i="5"/>
  <c r="L17" i="5" s="1"/>
  <c r="I17" i="5"/>
  <c r="G11" i="6"/>
  <c r="L11" i="6" s="1"/>
  <c r="C31" i="8" s="1"/>
  <c r="M11" i="6"/>
  <c r="I11" i="6"/>
  <c r="G19" i="5"/>
  <c r="L19" i="5" s="1"/>
  <c r="B23" i="8" s="1"/>
  <c r="M29" i="7"/>
  <c r="G29" i="7"/>
  <c r="L29" i="7" s="1"/>
  <c r="D13" i="8" s="1"/>
  <c r="M33" i="7"/>
  <c r="G33" i="7"/>
  <c r="L33" i="7" s="1"/>
  <c r="D9" i="8" s="1"/>
  <c r="I22" i="5"/>
  <c r="G22" i="5"/>
  <c r="L22" i="5" s="1"/>
  <c r="B20" i="8" s="1"/>
  <c r="M22" i="5"/>
  <c r="M33" i="5"/>
  <c r="I33" i="5"/>
  <c r="G33" i="5"/>
  <c r="L33" i="5" s="1"/>
  <c r="B9" i="8" s="1"/>
  <c r="M10" i="6"/>
  <c r="I10" i="6"/>
  <c r="G10" i="6"/>
  <c r="L10" i="6" s="1"/>
  <c r="C32" i="8" s="1"/>
  <c r="I19" i="5"/>
  <c r="I26" i="5"/>
  <c r="G26" i="5"/>
  <c r="L26" i="5" s="1"/>
  <c r="B16" i="8" s="1"/>
  <c r="M26" i="5"/>
  <c r="M31" i="5"/>
  <c r="I31" i="5"/>
  <c r="G31" i="5"/>
  <c r="L31" i="5" s="1"/>
  <c r="B11" i="8" s="1"/>
  <c r="M28" i="5"/>
  <c r="G28" i="5"/>
  <c r="L28" i="5" s="1"/>
  <c r="B14" i="8" s="1"/>
  <c r="I28" i="5"/>
  <c r="M13" i="5"/>
  <c r="G13" i="5"/>
  <c r="L13" i="5" s="1"/>
  <c r="B29" i="8" s="1"/>
  <c r="I13" i="5"/>
  <c r="G16" i="7"/>
  <c r="L16" i="7" s="1"/>
  <c r="D26" i="8" s="1"/>
  <c r="M16" i="7"/>
  <c r="I18" i="5"/>
  <c r="G18" i="5"/>
  <c r="L18" i="5" s="1"/>
  <c r="B24" i="8" s="1"/>
  <c r="M18" i="5"/>
  <c r="M16" i="6"/>
  <c r="I16" i="6"/>
  <c r="G16" i="6"/>
  <c r="L16" i="6" s="1"/>
  <c r="C26" i="8" s="1"/>
  <c r="M21" i="5"/>
  <c r="G21" i="5"/>
  <c r="L21" i="5" s="1"/>
  <c r="B21" i="8" s="1"/>
  <c r="I21" i="5"/>
  <c r="I15" i="6"/>
  <c r="G15" i="6"/>
  <c r="L15" i="6" s="1"/>
  <c r="C27" i="8" s="1"/>
  <c r="M15" i="6"/>
  <c r="J11" i="13"/>
  <c r="K11" i="13"/>
  <c r="M20" i="7"/>
  <c r="G20" i="7"/>
  <c r="L20" i="7" s="1"/>
  <c r="D22" i="8" s="1"/>
  <c r="I14" i="5"/>
  <c r="G14" i="5"/>
  <c r="L14" i="5" s="1"/>
  <c r="B28" i="8" s="1"/>
  <c r="M14" i="5"/>
  <c r="M32" i="6"/>
  <c r="I32" i="6"/>
  <c r="G32" i="6"/>
  <c r="L32" i="6" s="1"/>
  <c r="C10" i="8" s="1"/>
  <c r="G12" i="7"/>
  <c r="L12" i="7" s="1"/>
  <c r="D30" i="8" s="1"/>
  <c r="M12" i="7"/>
  <c r="G32" i="7"/>
  <c r="L32" i="7" s="1"/>
  <c r="D10" i="8" s="1"/>
  <c r="M32" i="7"/>
  <c r="M9" i="5"/>
  <c r="G9" i="5"/>
  <c r="L9" i="5" s="1"/>
  <c r="B33" i="8" s="1"/>
  <c r="I9" i="5"/>
  <c r="I10" i="5"/>
  <c r="G10" i="5"/>
  <c r="L10" i="5" s="1"/>
  <c r="B32" i="8" s="1"/>
  <c r="M10" i="5"/>
  <c r="I38" i="6"/>
  <c r="G38" i="6"/>
  <c r="M38" i="6"/>
  <c r="M9" i="6"/>
  <c r="I9" i="6"/>
  <c r="G9" i="6"/>
  <c r="L9" i="6" s="1"/>
  <c r="C33" i="8" s="1"/>
  <c r="G22" i="7"/>
  <c r="L22" i="7" s="1"/>
  <c r="D20" i="8" s="1"/>
  <c r="M22" i="7"/>
  <c r="I37" i="5"/>
  <c r="G36" i="6"/>
  <c r="L36" i="6" s="1"/>
  <c r="C6" i="8" s="1"/>
  <c r="M36" i="6"/>
  <c r="I36" i="6"/>
  <c r="M25" i="6"/>
  <c r="I25" i="6"/>
  <c r="G25" i="6"/>
  <c r="L25" i="6" s="1"/>
  <c r="C17" i="8" s="1"/>
  <c r="G15" i="5"/>
  <c r="L15" i="5" s="1"/>
  <c r="B27" i="8" s="1"/>
  <c r="M14" i="6"/>
  <c r="I14" i="6"/>
  <c r="G14" i="6"/>
  <c r="L14" i="6" s="1"/>
  <c r="C28" i="8" s="1"/>
  <c r="I15" i="5"/>
  <c r="G30" i="5"/>
  <c r="L30" i="5" s="1"/>
  <c r="B12" i="8" s="1"/>
  <c r="M19" i="7"/>
  <c r="G19" i="7"/>
  <c r="L19" i="7" s="1"/>
  <c r="D23" i="8" s="1"/>
  <c r="M19" i="6"/>
  <c r="I19" i="6"/>
  <c r="G19" i="6"/>
  <c r="L19" i="6" s="1"/>
  <c r="C23" i="8" s="1"/>
  <c r="M33" i="6"/>
  <c r="G33" i="6"/>
  <c r="L33" i="6" s="1"/>
  <c r="C9" i="8" s="1"/>
  <c r="I33" i="6"/>
  <c r="K10" i="15"/>
  <c r="J10" i="15"/>
  <c r="G9" i="7"/>
  <c r="L9" i="7" s="1"/>
  <c r="D33" i="8" s="1"/>
  <c r="M9" i="7"/>
  <c r="I29" i="5"/>
  <c r="G29" i="5"/>
  <c r="L29" i="5" s="1"/>
  <c r="B13" i="8" s="1"/>
  <c r="M29" i="5"/>
  <c r="I31" i="6"/>
  <c r="G31" i="6"/>
  <c r="L31" i="6" s="1"/>
  <c r="C11" i="8" s="1"/>
  <c r="M31" i="6"/>
  <c r="M28" i="6"/>
  <c r="I28" i="6"/>
  <c r="G28" i="6"/>
  <c r="L28" i="6" s="1"/>
  <c r="C14" i="8" s="1"/>
  <c r="I30" i="5"/>
  <c r="M24" i="5"/>
  <c r="I24" i="5"/>
  <c r="G24" i="5"/>
  <c r="L24" i="5" s="1"/>
  <c r="B18" i="8" s="1"/>
  <c r="G38" i="7"/>
  <c r="M38" i="7"/>
  <c r="M12" i="6"/>
  <c r="I12" i="6"/>
  <c r="G12" i="6"/>
  <c r="L12" i="6" s="1"/>
  <c r="C30" i="8" s="1"/>
  <c r="M20" i="5"/>
  <c r="I20" i="5"/>
  <c r="G20" i="5"/>
  <c r="L20" i="5" s="1"/>
  <c r="B22" i="8" s="1"/>
  <c r="G25" i="7"/>
  <c r="L25" i="7" s="1"/>
  <c r="D17" i="8" s="1"/>
  <c r="M25" i="7"/>
  <c r="M30" i="6"/>
  <c r="I30" i="6"/>
  <c r="G30" i="6"/>
  <c r="L30" i="6" s="1"/>
  <c r="C12" i="8" s="1"/>
  <c r="M37" i="6"/>
  <c r="I37" i="6"/>
  <c r="G37" i="6"/>
  <c r="C36" i="3"/>
  <c r="M27" i="7"/>
  <c r="G27" i="7"/>
  <c r="L27" i="7" s="1"/>
  <c r="D15" i="8" s="1"/>
  <c r="M36" i="5"/>
  <c r="I36" i="5"/>
  <c r="G36" i="5"/>
  <c r="L36" i="5" s="1"/>
  <c r="B6" i="8" s="1"/>
  <c r="G14" i="7"/>
  <c r="L14" i="7" s="1"/>
  <c r="D28" i="8" s="1"/>
  <c r="M14" i="7"/>
  <c r="I32" i="5"/>
  <c r="G32" i="5"/>
  <c r="L32" i="5" s="1"/>
  <c r="B10" i="8" s="1"/>
  <c r="M32" i="5"/>
  <c r="M15" i="7"/>
  <c r="G15" i="7"/>
  <c r="L15" i="7" s="1"/>
  <c r="D27" i="8" s="1"/>
  <c r="G27" i="6"/>
  <c r="L27" i="6" s="1"/>
  <c r="C15" i="8" s="1"/>
  <c r="M27" i="6"/>
  <c r="I27" i="6"/>
  <c r="I18" i="6"/>
  <c r="G18" i="6"/>
  <c r="L18" i="6" s="1"/>
  <c r="C24" i="8" s="1"/>
  <c r="M18" i="6"/>
  <c r="M16" i="5"/>
  <c r="I16" i="5"/>
  <c r="G16" i="5"/>
  <c r="L16" i="5" s="1"/>
  <c r="B26" i="8" s="1"/>
  <c r="M30" i="7"/>
  <c r="G30" i="7"/>
  <c r="L30" i="7" s="1"/>
  <c r="D12" i="8" s="1"/>
  <c r="M31" i="7"/>
  <c r="G31" i="7"/>
  <c r="L31" i="7" s="1"/>
  <c r="D11" i="8" s="1"/>
  <c r="M26" i="6"/>
  <c r="I26" i="6"/>
  <c r="G26" i="6"/>
  <c r="L26" i="6" s="1"/>
  <c r="C16" i="8" s="1"/>
  <c r="I34" i="6"/>
  <c r="G34" i="6"/>
  <c r="L34" i="6" s="1"/>
  <c r="C8" i="8" s="1"/>
  <c r="M34" i="6"/>
  <c r="G27" i="5"/>
  <c r="L27" i="5" s="1"/>
  <c r="B15" i="8" s="1"/>
  <c r="M21" i="7"/>
  <c r="G21" i="7"/>
  <c r="L21" i="7" s="1"/>
  <c r="D21" i="8" s="1"/>
  <c r="I21" i="6"/>
  <c r="G21" i="6"/>
  <c r="L21" i="6" s="1"/>
  <c r="C21" i="8" s="1"/>
  <c r="M21" i="6"/>
  <c r="M24" i="7"/>
  <c r="G24" i="7"/>
  <c r="L24" i="7" s="1"/>
  <c r="D18" i="8" s="1"/>
  <c r="M38" i="5"/>
  <c r="G38" i="5"/>
  <c r="I38" i="5"/>
  <c r="M23" i="6"/>
  <c r="I23" i="6"/>
  <c r="G23" i="6"/>
  <c r="L23" i="6" s="1"/>
  <c r="C19" i="8" s="1"/>
  <c r="M12" i="5"/>
  <c r="I12" i="5"/>
  <c r="G12" i="5"/>
  <c r="L12" i="5" s="1"/>
  <c r="B30" i="8" s="1"/>
  <c r="M25" i="5"/>
  <c r="I25" i="5"/>
  <c r="G25" i="5"/>
  <c r="L25" i="5" s="1"/>
  <c r="B17" i="8" s="1"/>
  <c r="G35" i="5"/>
  <c r="L35" i="5" s="1"/>
  <c r="B7" i="8" s="1"/>
  <c r="M35" i="5"/>
  <c r="I35" i="5"/>
  <c r="G37" i="7"/>
  <c r="M37" i="7"/>
  <c r="M20" i="6"/>
  <c r="I20" i="6"/>
  <c r="G20" i="6"/>
  <c r="L20" i="6" s="1"/>
  <c r="C22" i="8" s="1"/>
  <c r="G24" i="6"/>
  <c r="L24" i="6" s="1"/>
  <c r="C18" i="8" s="1"/>
  <c r="M24" i="6"/>
  <c r="I24" i="6"/>
  <c r="E31" i="8" l="1"/>
  <c r="E33" i="8"/>
  <c r="E26" i="8"/>
  <c r="E28" i="8"/>
  <c r="B25" i="8"/>
  <c r="E25" i="8" s="1"/>
  <c r="E27" i="8"/>
  <c r="E30" i="8"/>
  <c r="F31" i="8"/>
  <c r="D45" i="4"/>
  <c r="F30" i="8" s="1"/>
  <c r="H36" i="7"/>
  <c r="J36" i="7" s="1"/>
  <c r="I36" i="7"/>
  <c r="K36" i="7"/>
  <c r="K11" i="5"/>
  <c r="K13" i="7"/>
  <c r="G5" i="8"/>
  <c r="H5" i="8" s="1"/>
  <c r="K37" i="5"/>
  <c r="L37" i="5"/>
  <c r="B5" i="8" s="1"/>
  <c r="L38" i="5"/>
  <c r="B4" i="8" s="1"/>
  <c r="L34" i="5"/>
  <c r="K23" i="5"/>
  <c r="L23" i="5"/>
  <c r="B19" i="8" s="1"/>
  <c r="H11" i="5"/>
  <c r="J11" i="5" s="1"/>
  <c r="K34" i="5"/>
  <c r="L22" i="6"/>
  <c r="C20" i="8" s="1"/>
  <c r="G4" i="8"/>
  <c r="H4" i="8" s="1"/>
  <c r="I28" i="7"/>
  <c r="L28" i="7"/>
  <c r="D14" i="8" s="1"/>
  <c r="L38" i="6"/>
  <c r="C4" i="8" s="1"/>
  <c r="L10" i="7"/>
  <c r="D32" i="8" s="1"/>
  <c r="E32" i="8" s="1"/>
  <c r="K34" i="7"/>
  <c r="L34" i="7"/>
  <c r="D8" i="8" s="1"/>
  <c r="K29" i="6"/>
  <c r="L29" i="6"/>
  <c r="C13" i="8" s="1"/>
  <c r="H18" i="7"/>
  <c r="J18" i="7" s="1"/>
  <c r="L18" i="7"/>
  <c r="D24" i="8" s="1"/>
  <c r="L38" i="7"/>
  <c r="D4" i="8" s="1"/>
  <c r="I13" i="7"/>
  <c r="L13" i="7"/>
  <c r="D29" i="8" s="1"/>
  <c r="K13" i="6"/>
  <c r="L13" i="6"/>
  <c r="C29" i="8" s="1"/>
  <c r="L35" i="6"/>
  <c r="C7" i="8" s="1"/>
  <c r="L26" i="7"/>
  <c r="D16" i="8" s="1"/>
  <c r="L37" i="6"/>
  <c r="C5" i="8" s="1"/>
  <c r="L37" i="7"/>
  <c r="D5" i="8" s="1"/>
  <c r="I23" i="7"/>
  <c r="L23" i="7"/>
  <c r="D19" i="8" s="1"/>
  <c r="H28" i="7"/>
  <c r="J28" i="7" s="1"/>
  <c r="K22" i="6"/>
  <c r="D34" i="3"/>
  <c r="E34" i="3" s="1"/>
  <c r="D33" i="3"/>
  <c r="E33" i="3" s="1"/>
  <c r="D35" i="3"/>
  <c r="E35" i="3" s="1"/>
  <c r="K35" i="6"/>
  <c r="H35" i="6"/>
  <c r="J35" i="6" s="1"/>
  <c r="I26" i="7"/>
  <c r="K26" i="7"/>
  <c r="H26" i="7"/>
  <c r="J26" i="7" s="1"/>
  <c r="G19" i="8"/>
  <c r="H19" i="8" s="1"/>
  <c r="H13" i="6"/>
  <c r="J13" i="6" s="1"/>
  <c r="G31" i="8"/>
  <c r="H31" i="8" s="1"/>
  <c r="H10" i="7"/>
  <c r="J10" i="7" s="1"/>
  <c r="I10" i="7"/>
  <c r="H37" i="5"/>
  <c r="J37" i="5" s="1"/>
  <c r="K10" i="7"/>
  <c r="G15" i="8"/>
  <c r="H15" i="8" s="1"/>
  <c r="G7" i="8"/>
  <c r="H7" i="8" s="1"/>
  <c r="I34" i="7"/>
  <c r="G8" i="8"/>
  <c r="H8" i="8" s="1"/>
  <c r="H23" i="7"/>
  <c r="J23" i="7" s="1"/>
  <c r="H34" i="7"/>
  <c r="J34" i="7" s="1"/>
  <c r="K23" i="7"/>
  <c r="K28" i="7"/>
  <c r="G10" i="8"/>
  <c r="H10" i="8" s="1"/>
  <c r="G17" i="8"/>
  <c r="H17" i="8" s="1"/>
  <c r="H29" i="6"/>
  <c r="J29" i="6" s="1"/>
  <c r="G20" i="8"/>
  <c r="H20" i="8" s="1"/>
  <c r="G6" i="8"/>
  <c r="H6" i="8" s="1"/>
  <c r="G27" i="8"/>
  <c r="H27" i="8" s="1"/>
  <c r="G23" i="8"/>
  <c r="H23" i="8" s="1"/>
  <c r="G13" i="8"/>
  <c r="H13" i="8" s="1"/>
  <c r="G12" i="8"/>
  <c r="H12" i="8" s="1"/>
  <c r="I18" i="7"/>
  <c r="K18" i="7"/>
  <c r="G29" i="8"/>
  <c r="H29" i="8" s="1"/>
  <c r="G30" i="8"/>
  <c r="H30" i="8" s="1"/>
  <c r="H22" i="6"/>
  <c r="J22" i="6" s="1"/>
  <c r="G22" i="8"/>
  <c r="H22" i="8" s="1"/>
  <c r="H9" i="7"/>
  <c r="J9" i="7" s="1"/>
  <c r="I9" i="7"/>
  <c r="K9" i="7"/>
  <c r="H11" i="6"/>
  <c r="J11" i="6" s="1"/>
  <c r="K11" i="6"/>
  <c r="K17" i="6"/>
  <c r="H17" i="6"/>
  <c r="J17" i="6" s="1"/>
  <c r="K27" i="5"/>
  <c r="H27" i="5"/>
  <c r="J27" i="5" s="1"/>
  <c r="K25" i="5"/>
  <c r="H25" i="5"/>
  <c r="J25" i="5" s="1"/>
  <c r="K27" i="7"/>
  <c r="H27" i="7"/>
  <c r="J27" i="7" s="1"/>
  <c r="I27" i="7"/>
  <c r="K28" i="6"/>
  <c r="H28" i="6"/>
  <c r="J28" i="6" s="1"/>
  <c r="K9" i="6"/>
  <c r="H9" i="6"/>
  <c r="J9" i="6" s="1"/>
  <c r="K16" i="6"/>
  <c r="H16" i="6"/>
  <c r="J16" i="6" s="1"/>
  <c r="K28" i="5"/>
  <c r="H28" i="5"/>
  <c r="J28" i="5" s="1"/>
  <c r="K17" i="5"/>
  <c r="H17" i="5"/>
  <c r="J17" i="5" s="1"/>
  <c r="H27" i="6"/>
  <c r="J27" i="6" s="1"/>
  <c r="K27" i="6"/>
  <c r="K15" i="5"/>
  <c r="H15" i="5"/>
  <c r="J15" i="5" s="1"/>
  <c r="G14" i="8"/>
  <c r="H14" i="8" s="1"/>
  <c r="K33" i="5"/>
  <c r="H33" i="5"/>
  <c r="J33" i="5" s="1"/>
  <c r="G25" i="8"/>
  <c r="H25" i="8" s="1"/>
  <c r="H35" i="5"/>
  <c r="J35" i="5" s="1"/>
  <c r="K35" i="5"/>
  <c r="D36" i="3"/>
  <c r="E36" i="3" s="1"/>
  <c r="C37" i="3"/>
  <c r="K33" i="6"/>
  <c r="H33" i="6"/>
  <c r="J33" i="6" s="1"/>
  <c r="K25" i="6"/>
  <c r="H25" i="6"/>
  <c r="J25" i="6" s="1"/>
  <c r="K20" i="7"/>
  <c r="I20" i="7"/>
  <c r="H20" i="7"/>
  <c r="J20" i="7" s="1"/>
  <c r="K31" i="5"/>
  <c r="H31" i="5"/>
  <c r="J31" i="5" s="1"/>
  <c r="K26" i="6"/>
  <c r="H26" i="6"/>
  <c r="J26" i="6" s="1"/>
  <c r="G9" i="8"/>
  <c r="H9" i="8" s="1"/>
  <c r="I12" i="7"/>
  <c r="H12" i="7"/>
  <c r="J12" i="7" s="1"/>
  <c r="K12" i="7"/>
  <c r="K37" i="6"/>
  <c r="H37" i="6"/>
  <c r="J37" i="6" s="1"/>
  <c r="K12" i="6"/>
  <c r="H12" i="6"/>
  <c r="J12" i="6" s="1"/>
  <c r="K31" i="6"/>
  <c r="H31" i="6"/>
  <c r="J31" i="6" s="1"/>
  <c r="K19" i="6"/>
  <c r="H19" i="6"/>
  <c r="J19" i="6" s="1"/>
  <c r="K38" i="6"/>
  <c r="H38" i="6"/>
  <c r="J38" i="6" s="1"/>
  <c r="K32" i="6"/>
  <c r="H32" i="6"/>
  <c r="J32" i="6" s="1"/>
  <c r="G11" i="8"/>
  <c r="H11" i="8" s="1"/>
  <c r="H34" i="6"/>
  <c r="J34" i="6" s="1"/>
  <c r="K34" i="6"/>
  <c r="K12" i="5"/>
  <c r="H12" i="5"/>
  <c r="J12" i="5" s="1"/>
  <c r="K23" i="6"/>
  <c r="H23" i="6"/>
  <c r="J23" i="6" s="1"/>
  <c r="H31" i="7"/>
  <c r="J31" i="7" s="1"/>
  <c r="K31" i="7"/>
  <c r="I31" i="7"/>
  <c r="H32" i="5"/>
  <c r="J32" i="5" s="1"/>
  <c r="K32" i="5"/>
  <c r="G16" i="8"/>
  <c r="H16" i="8" s="1"/>
  <c r="H22" i="5"/>
  <c r="J22" i="5" s="1"/>
  <c r="K22" i="5"/>
  <c r="I17" i="7"/>
  <c r="H17" i="7"/>
  <c r="J17" i="7" s="1"/>
  <c r="K17" i="7"/>
  <c r="H15" i="7"/>
  <c r="J15" i="7" s="1"/>
  <c r="K15" i="7"/>
  <c r="I15" i="7"/>
  <c r="H24" i="6"/>
  <c r="J24" i="6" s="1"/>
  <c r="K24" i="6"/>
  <c r="G32" i="8"/>
  <c r="H32" i="8" s="1"/>
  <c r="K26" i="5"/>
  <c r="H26" i="5"/>
  <c r="J26" i="5" s="1"/>
  <c r="K20" i="6"/>
  <c r="H20" i="6"/>
  <c r="J20" i="6" s="1"/>
  <c r="H21" i="6"/>
  <c r="J21" i="6" s="1"/>
  <c r="K21" i="6"/>
  <c r="K30" i="7"/>
  <c r="I30" i="7"/>
  <c r="H30" i="7"/>
  <c r="J30" i="7" s="1"/>
  <c r="K30" i="6"/>
  <c r="H30" i="6"/>
  <c r="J30" i="6" s="1"/>
  <c r="I19" i="7"/>
  <c r="H19" i="7"/>
  <c r="J19" i="7" s="1"/>
  <c r="K19" i="7"/>
  <c r="H36" i="6"/>
  <c r="J36" i="6" s="1"/>
  <c r="K36" i="6"/>
  <c r="H10" i="5"/>
  <c r="J10" i="5" s="1"/>
  <c r="K10" i="5"/>
  <c r="K15" i="6"/>
  <c r="H15" i="6"/>
  <c r="J15" i="6" s="1"/>
  <c r="G24" i="8"/>
  <c r="H24" i="8" s="1"/>
  <c r="I33" i="7"/>
  <c r="K33" i="7"/>
  <c r="H33" i="7"/>
  <c r="J33" i="7" s="1"/>
  <c r="H18" i="5"/>
  <c r="J18" i="5" s="1"/>
  <c r="K18" i="5"/>
  <c r="K24" i="5"/>
  <c r="H24" i="5"/>
  <c r="J24" i="5" s="1"/>
  <c r="K30" i="5"/>
  <c r="H30" i="5"/>
  <c r="J30" i="5" s="1"/>
  <c r="K29" i="7"/>
  <c r="H29" i="7"/>
  <c r="J29" i="7" s="1"/>
  <c r="I29" i="7"/>
  <c r="K11" i="7"/>
  <c r="I11" i="7"/>
  <c r="H11" i="7"/>
  <c r="J11" i="7" s="1"/>
  <c r="K21" i="7"/>
  <c r="I21" i="7"/>
  <c r="H21" i="7"/>
  <c r="J21" i="7" s="1"/>
  <c r="K9" i="5"/>
  <c r="H9" i="5"/>
  <c r="J9" i="5" s="1"/>
  <c r="K21" i="5"/>
  <c r="H21" i="5"/>
  <c r="J21" i="5" s="1"/>
  <c r="K14" i="7"/>
  <c r="H14" i="7"/>
  <c r="J14" i="7" s="1"/>
  <c r="I14" i="7"/>
  <c r="K38" i="5"/>
  <c r="H38" i="5"/>
  <c r="J38" i="5" s="1"/>
  <c r="K37" i="7"/>
  <c r="I37" i="7"/>
  <c r="H37" i="7"/>
  <c r="J37" i="7" s="1"/>
  <c r="G26" i="8"/>
  <c r="H26" i="8" s="1"/>
  <c r="G18" i="8"/>
  <c r="H18" i="8" s="1"/>
  <c r="H29" i="5"/>
  <c r="J29" i="5" s="1"/>
  <c r="K29" i="5"/>
  <c r="K14" i="6"/>
  <c r="H14" i="6"/>
  <c r="J14" i="6" s="1"/>
  <c r="G33" i="8"/>
  <c r="H33" i="8" s="1"/>
  <c r="G28" i="8"/>
  <c r="H28" i="8" s="1"/>
  <c r="G21" i="8"/>
  <c r="H21" i="8" s="1"/>
  <c r="K16" i="7"/>
  <c r="I16" i="7"/>
  <c r="H16" i="7"/>
  <c r="J16" i="7" s="1"/>
  <c r="K19" i="5"/>
  <c r="H19" i="5"/>
  <c r="J19" i="5" s="1"/>
  <c r="I35" i="7"/>
  <c r="H35" i="7"/>
  <c r="J35" i="7" s="1"/>
  <c r="K35" i="7"/>
  <c r="H25" i="7"/>
  <c r="J25" i="7" s="1"/>
  <c r="I25" i="7"/>
  <c r="K25" i="7"/>
  <c r="K22" i="7"/>
  <c r="I22" i="7"/>
  <c r="H22" i="7"/>
  <c r="J22" i="7" s="1"/>
  <c r="H14" i="5"/>
  <c r="J14" i="5" s="1"/>
  <c r="K14" i="5"/>
  <c r="K38" i="7"/>
  <c r="I38" i="7"/>
  <c r="H38" i="7"/>
  <c r="J38" i="7" s="1"/>
  <c r="K16" i="5"/>
  <c r="H16" i="5"/>
  <c r="J16" i="5" s="1"/>
  <c r="K24" i="7"/>
  <c r="I24" i="7"/>
  <c r="H24" i="7"/>
  <c r="J24" i="7" s="1"/>
  <c r="H18" i="6"/>
  <c r="J18" i="6" s="1"/>
  <c r="K18" i="6"/>
  <c r="K36" i="5"/>
  <c r="H36" i="5"/>
  <c r="J36" i="5" s="1"/>
  <c r="K20" i="5"/>
  <c r="H20" i="5"/>
  <c r="J20" i="5" s="1"/>
  <c r="K32" i="7"/>
  <c r="I32" i="7"/>
  <c r="H32" i="7"/>
  <c r="J32" i="7" s="1"/>
  <c r="K13" i="5"/>
  <c r="H13" i="5"/>
  <c r="J13" i="5" s="1"/>
  <c r="K10" i="6"/>
  <c r="H10" i="6"/>
  <c r="J10" i="6" s="1"/>
  <c r="E29" i="8" l="1"/>
  <c r="B8" i="8"/>
  <c r="E8" i="8" s="1"/>
  <c r="E19" i="8"/>
  <c r="E4" i="8"/>
  <c r="E5" i="8"/>
  <c r="B88" i="3" a="1"/>
  <c r="C88" i="3" s="1"/>
  <c r="F36" i="3"/>
  <c r="H36" i="3" s="1"/>
  <c r="F35" i="3"/>
  <c r="H35" i="3" s="1"/>
  <c r="F33" i="3"/>
  <c r="H33" i="3" s="1"/>
  <c r="F34" i="3"/>
  <c r="H34" i="3" s="1"/>
  <c r="E7" i="8"/>
  <c r="E16" i="8"/>
  <c r="E9" i="8"/>
  <c r="E22" i="8"/>
  <c r="E23" i="8"/>
  <c r="E20" i="8"/>
  <c r="E17" i="8"/>
  <c r="E15" i="8"/>
  <c r="E21" i="8"/>
  <c r="E13" i="8"/>
  <c r="E10" i="8"/>
  <c r="E6" i="8"/>
  <c r="E18" i="8"/>
  <c r="E11" i="8"/>
  <c r="E14" i="8"/>
  <c r="E12" i="8"/>
  <c r="E24" i="8"/>
  <c r="C38" i="3"/>
  <c r="D37" i="3"/>
  <c r="E37" i="3" s="1"/>
  <c r="F37" i="3" s="1"/>
  <c r="B89" i="3" l="1"/>
  <c r="C90" i="3"/>
  <c r="C96" i="3" s="1"/>
  <c r="C91" i="3"/>
  <c r="B92" i="3"/>
  <c r="B90" i="3"/>
  <c r="B91" i="3"/>
  <c r="B88" i="3"/>
  <c r="C110" i="3" s="1" a="1"/>
  <c r="C92" i="3"/>
  <c r="D104" i="3" s="1"/>
  <c r="C89" i="3"/>
  <c r="D110" i="3" s="1" a="1"/>
  <c r="D111" i="3" s="1"/>
  <c r="C95" i="3"/>
  <c r="C99" i="3"/>
  <c r="H37" i="3"/>
  <c r="C39" i="3"/>
  <c r="D38" i="3"/>
  <c r="E38" i="3" s="1"/>
  <c r="F38" i="3" s="1"/>
  <c r="E103" i="3"/>
  <c r="F103" i="3"/>
  <c r="G103" i="3" l="1"/>
  <c r="C105" i="3"/>
  <c r="C104" i="3"/>
  <c r="D105" i="3"/>
  <c r="E104" i="3"/>
  <c r="C110" i="3"/>
  <c r="C111" i="3"/>
  <c r="C114" i="3" s="1" a="1"/>
  <c r="D110" i="3"/>
  <c r="D103" i="3"/>
  <c r="H110" i="3" a="1"/>
  <c r="G110" i="3" a="1"/>
  <c r="E110" i="3" a="1"/>
  <c r="I33" i="3"/>
  <c r="I35" i="3"/>
  <c r="M35" i="3" s="1"/>
  <c r="I36" i="3"/>
  <c r="M36" i="3" s="1"/>
  <c r="D39" i="3"/>
  <c r="E39" i="3" s="1"/>
  <c r="F39" i="3" s="1"/>
  <c r="C40" i="3"/>
  <c r="H38" i="3"/>
  <c r="I37" i="3" l="1"/>
  <c r="M37" i="3" s="1"/>
  <c r="I38" i="3"/>
  <c r="M38" i="3" s="1"/>
  <c r="I34" i="3"/>
  <c r="M34" i="3" s="1"/>
  <c r="D40" i="3"/>
  <c r="E40" i="3" s="1"/>
  <c r="F40" i="3" s="1"/>
  <c r="C41" i="3"/>
  <c r="K36" i="3"/>
  <c r="J36" i="3"/>
  <c r="I39" i="3"/>
  <c r="H39" i="3"/>
  <c r="K35" i="3"/>
  <c r="J35" i="3"/>
  <c r="J33" i="3"/>
  <c r="M33" i="3"/>
  <c r="K33" i="3"/>
  <c r="C114" i="3"/>
  <c r="C118" i="3"/>
  <c r="C115" i="3"/>
  <c r="C117" i="3"/>
  <c r="C116" i="3"/>
  <c r="E111" i="3"/>
  <c r="E110" i="3"/>
  <c r="F110" i="3" s="1" a="1"/>
  <c r="G111" i="3"/>
  <c r="G110" i="3"/>
  <c r="H111" i="3"/>
  <c r="H110" i="3"/>
  <c r="J37" i="3" l="1"/>
  <c r="K37" i="3"/>
  <c r="K34" i="3"/>
  <c r="J34" i="3"/>
  <c r="J38" i="3"/>
  <c r="K38" i="3"/>
  <c r="J39" i="3"/>
  <c r="M39" i="3"/>
  <c r="F111" i="3"/>
  <c r="F110" i="3"/>
  <c r="D41" i="3"/>
  <c r="E41" i="3" s="1"/>
  <c r="F41" i="3" s="1"/>
  <c r="C42" i="3"/>
  <c r="K39" i="3"/>
  <c r="E114" i="3" a="1"/>
  <c r="H40" i="3"/>
  <c r="I40" i="3"/>
  <c r="J40" i="3" l="1"/>
  <c r="M40" i="3"/>
  <c r="E117" i="3"/>
  <c r="E116" i="3"/>
  <c r="E115" i="3"/>
  <c r="E114" i="3"/>
  <c r="E118" i="3"/>
  <c r="C43" i="3"/>
  <c r="D42" i="3"/>
  <c r="E42" i="3" s="1"/>
  <c r="F42" i="3" s="1"/>
  <c r="K40" i="3"/>
  <c r="I41" i="3"/>
  <c r="H41" i="3"/>
  <c r="J41" i="3" l="1"/>
  <c r="M41" i="3"/>
  <c r="I42" i="3"/>
  <c r="M42" i="3" s="1"/>
  <c r="H42" i="3"/>
  <c r="D43" i="3"/>
  <c r="E43" i="3" s="1"/>
  <c r="F43" i="3" s="1"/>
  <c r="C44" i="3"/>
  <c r="K41" i="3"/>
  <c r="H43" i="3" l="1"/>
  <c r="I43" i="3"/>
  <c r="M43" i="3" s="1"/>
  <c r="D44" i="3"/>
  <c r="E44" i="3" s="1"/>
  <c r="F44" i="3" s="1"/>
  <c r="C45" i="3"/>
  <c r="K42" i="3"/>
  <c r="J42" i="3"/>
  <c r="I44" i="3" l="1"/>
  <c r="M44" i="3" s="1"/>
  <c r="H44" i="3"/>
  <c r="C46" i="3"/>
  <c r="D45" i="3"/>
  <c r="E45" i="3" s="1"/>
  <c r="F45" i="3" s="1"/>
  <c r="K43" i="3"/>
  <c r="J43" i="3"/>
  <c r="I45" i="3" l="1"/>
  <c r="M45" i="3" s="1"/>
  <c r="H45" i="3"/>
  <c r="D46" i="3"/>
  <c r="E46" i="3" s="1"/>
  <c r="F46" i="3" s="1"/>
  <c r="C47" i="3"/>
  <c r="D47" i="3" s="1"/>
  <c r="E47" i="3" s="1"/>
  <c r="F47" i="3" s="1"/>
  <c r="K44" i="3"/>
  <c r="J44" i="3"/>
  <c r="I46" i="3" l="1"/>
  <c r="M46" i="3" s="1"/>
  <c r="H46" i="3"/>
  <c r="I47" i="3"/>
  <c r="M47" i="3" s="1"/>
  <c r="H47" i="3"/>
  <c r="J45" i="3"/>
  <c r="K45" i="3"/>
  <c r="K47" i="3" l="1"/>
  <c r="J47" i="3"/>
  <c r="K46" i="3"/>
  <c r="J46" i="3"/>
  <c r="B20" i="4" l="1"/>
  <c r="C52" i="4" s="1"/>
  <c r="D44" i="4" l="1"/>
  <c r="C20" i="4"/>
  <c r="B21" i="4"/>
  <c r="D52" i="4" l="1"/>
  <c r="C21" i="4"/>
  <c r="F29" i="8"/>
  <c r="D43" i="4"/>
  <c r="B22" i="4"/>
  <c r="F28" i="8" l="1"/>
  <c r="D42" i="4"/>
  <c r="E52" i="4"/>
  <c r="C22" i="4"/>
  <c r="B23" i="4"/>
  <c r="F52" i="4" l="1"/>
  <c r="C23" i="4"/>
  <c r="D41" i="4"/>
  <c r="F27" i="8"/>
  <c r="B24" i="4"/>
  <c r="G52" i="4" l="1"/>
  <c r="C24" i="4"/>
  <c r="D40" i="4"/>
  <c r="F26" i="8"/>
  <c r="B25" i="4"/>
  <c r="D39" i="4" l="1"/>
  <c r="F25" i="8"/>
  <c r="H52" i="4"/>
  <c r="B26" i="4"/>
  <c r="C25" i="4"/>
  <c r="C26" i="4" l="1"/>
  <c r="I52" i="4"/>
  <c r="B27" i="4"/>
  <c r="F24" i="8"/>
  <c r="D38" i="4"/>
  <c r="D37" i="4" s="1"/>
  <c r="D36" i="4" s="1"/>
  <c r="D35" i="4" s="1"/>
  <c r="D34" i="4" s="1"/>
  <c r="D33" i="4" s="1"/>
  <c r="D32" i="4" s="1"/>
  <c r="D31" i="4" s="1"/>
  <c r="D30" i="4" s="1"/>
  <c r="D29" i="4" s="1"/>
  <c r="D28" i="4" s="1"/>
  <c r="D27" i="4" s="1"/>
  <c r="D26" i="4" s="1"/>
  <c r="D25" i="4" s="1"/>
  <c r="D24" i="4" s="1"/>
  <c r="D23" i="4" s="1"/>
  <c r="B28" i="4" l="1"/>
  <c r="C27" i="4"/>
  <c r="J52" i="4"/>
  <c r="B29" i="4" l="1"/>
  <c r="C28" i="4"/>
  <c r="K52" i="4"/>
  <c r="B30" i="4" l="1"/>
  <c r="C29" i="4"/>
  <c r="L52" i="4"/>
  <c r="B31" i="4" l="1"/>
  <c r="C30" i="4"/>
  <c r="M52" i="4"/>
  <c r="B32" i="4" l="1"/>
  <c r="C31" i="4"/>
  <c r="N52" i="4"/>
  <c r="B33" i="4" l="1"/>
  <c r="C32" i="4"/>
  <c r="O52" i="4"/>
  <c r="B34" i="4" l="1"/>
  <c r="C33" i="4"/>
  <c r="P52" i="4"/>
  <c r="B35" i="4" l="1"/>
  <c r="C34" i="4"/>
  <c r="Q52" i="4"/>
  <c r="F23" i="8"/>
  <c r="F22" i="8"/>
  <c r="F21" i="8"/>
  <c r="F20" i="8"/>
  <c r="F19" i="8"/>
  <c r="F18" i="8"/>
  <c r="F17" i="8"/>
  <c r="F16" i="8"/>
  <c r="F15" i="8"/>
  <c r="F14" i="8"/>
  <c r="F13" i="8"/>
  <c r="F12" i="8"/>
  <c r="F11" i="8"/>
  <c r="F10" i="8"/>
  <c r="B36" i="4" l="1"/>
  <c r="C35" i="4"/>
  <c r="R52" i="4"/>
  <c r="F8" i="8"/>
  <c r="D22" i="4"/>
  <c r="F9" i="8"/>
  <c r="B37" i="4" l="1"/>
  <c r="C36" i="4"/>
  <c r="S52" i="4"/>
  <c r="F7" i="8"/>
  <c r="D21" i="4"/>
  <c r="B38" i="4" l="1"/>
  <c r="C37" i="4"/>
  <c r="T52" i="4"/>
  <c r="F6" i="8"/>
  <c r="D20" i="4"/>
  <c r="C38" i="4" l="1"/>
  <c r="U52" i="4"/>
  <c r="B39" i="4"/>
  <c r="F5" i="8"/>
  <c r="D19" i="4"/>
  <c r="F4" i="8" s="1"/>
  <c r="M21" i="8"/>
  <c r="M7" i="8"/>
  <c r="M15" i="8"/>
  <c r="M29" i="8"/>
  <c r="M12" i="8"/>
  <c r="M4" i="8"/>
  <c r="M28" i="8"/>
  <c r="M8" i="8"/>
  <c r="M10" i="8"/>
  <c r="M11" i="8"/>
  <c r="M24" i="8"/>
  <c r="M20" i="8"/>
  <c r="M30" i="8"/>
  <c r="M14" i="8"/>
  <c r="M17" i="8"/>
  <c r="M26" i="8"/>
  <c r="M9" i="8"/>
  <c r="M6" i="8"/>
  <c r="M13" i="8"/>
  <c r="M16" i="8"/>
  <c r="M19" i="8"/>
  <c r="M25" i="8"/>
  <c r="M5" i="8"/>
  <c r="M22" i="8"/>
  <c r="M18" i="8"/>
  <c r="M27" i="8"/>
  <c r="M23" i="8"/>
  <c r="C39" i="4" l="1"/>
  <c r="V52" i="4"/>
  <c r="B40" i="4"/>
  <c r="B13" i="10"/>
  <c r="B14" i="10"/>
  <c r="B31" i="10"/>
  <c r="B25" i="10"/>
  <c r="B7" i="10"/>
  <c r="B12" i="10"/>
  <c r="B30" i="10"/>
  <c r="B27" i="10"/>
  <c r="B20" i="10"/>
  <c r="B24" i="10"/>
  <c r="B6" i="10"/>
  <c r="B28" i="10"/>
  <c r="B8" i="10"/>
  <c r="B11" i="10"/>
  <c r="B17" i="10"/>
  <c r="B21" i="10"/>
  <c r="B9" i="10"/>
  <c r="B23" i="10"/>
  <c r="B5" i="10"/>
  <c r="B22" i="10"/>
  <c r="B18" i="10"/>
  <c r="B29" i="10"/>
  <c r="B19" i="10"/>
  <c r="B10" i="10"/>
  <c r="B26" i="10"/>
  <c r="B16" i="10"/>
  <c r="B15" i="10"/>
  <c r="D28" i="10"/>
  <c r="G28" i="10"/>
  <c r="D23" i="10"/>
  <c r="D29" i="10"/>
  <c r="D33" i="10"/>
  <c r="D31" i="10"/>
  <c r="D13" i="10"/>
  <c r="D22" i="10"/>
  <c r="G29" i="10"/>
  <c r="D32" i="10"/>
  <c r="D9" i="10"/>
  <c r="D30" i="10"/>
  <c r="D24" i="10"/>
  <c r="G27" i="10"/>
  <c r="D6" i="10"/>
  <c r="D20" i="10"/>
  <c r="D12" i="10"/>
  <c r="D8" i="10"/>
  <c r="D21" i="10"/>
  <c r="D11" i="10"/>
  <c r="D17" i="10"/>
  <c r="D18" i="10"/>
  <c r="D10" i="10"/>
  <c r="D34" i="10"/>
  <c r="D27" i="10"/>
  <c r="D25" i="10"/>
  <c r="D7" i="10"/>
  <c r="D16" i="10"/>
  <c r="D14" i="10"/>
  <c r="D15" i="10"/>
  <c r="D26" i="10"/>
  <c r="D19" i="10"/>
  <c r="D5" i="10"/>
  <c r="W52" i="4" l="1"/>
  <c r="C40" i="4"/>
  <c r="B41" i="4"/>
  <c r="AC22" i="10"/>
  <c r="AC23" i="10" s="1"/>
  <c r="Q22" i="10"/>
  <c r="Q23" i="10" s="1"/>
  <c r="Y22" i="10"/>
  <c r="Y23" i="10" s="1"/>
  <c r="AH22" i="10"/>
  <c r="AH23" i="10" s="1"/>
  <c r="I22" i="10"/>
  <c r="I23" i="10" s="1"/>
  <c r="K22" i="10"/>
  <c r="K23" i="10" s="1"/>
  <c r="AF22" i="10"/>
  <c r="AF23" i="10" s="1"/>
  <c r="M22" i="10"/>
  <c r="M23" i="10" s="1"/>
  <c r="U22" i="10"/>
  <c r="U23" i="10" s="1"/>
  <c r="S22" i="10"/>
  <c r="S23" i="10" s="1"/>
  <c r="O22" i="10"/>
  <c r="O23" i="10" s="1"/>
  <c r="AD22" i="10"/>
  <c r="AD23" i="10" s="1"/>
  <c r="AE22" i="10"/>
  <c r="AE23" i="10" s="1"/>
  <c r="AB22" i="10"/>
  <c r="AB23" i="10" s="1"/>
  <c r="T22" i="10"/>
  <c r="T23" i="10" s="1"/>
  <c r="W22" i="10"/>
  <c r="W23" i="10" s="1"/>
  <c r="J22" i="10"/>
  <c r="J23" i="10" s="1"/>
  <c r="AJ22" i="10"/>
  <c r="AJ23" i="10" s="1"/>
  <c r="AA22" i="10"/>
  <c r="AA23" i="10" s="1"/>
  <c r="V22" i="10"/>
  <c r="V23" i="10" s="1"/>
  <c r="H22" i="10"/>
  <c r="H23" i="10" s="1"/>
  <c r="P22" i="10"/>
  <c r="P23" i="10" s="1"/>
  <c r="R22" i="10"/>
  <c r="R23" i="10" s="1"/>
  <c r="AI22" i="10"/>
  <c r="AI23" i="10" s="1"/>
  <c r="G22" i="10"/>
  <c r="G23" i="10" s="1"/>
  <c r="AG22" i="10"/>
  <c r="AG23" i="10" s="1"/>
  <c r="L22" i="10"/>
  <c r="L23" i="10" s="1"/>
  <c r="X22" i="10"/>
  <c r="X23" i="10" s="1"/>
  <c r="Z22" i="10"/>
  <c r="Z23" i="10" s="1"/>
  <c r="N22" i="10"/>
  <c r="N23" i="10" s="1"/>
  <c r="X52" i="4" l="1"/>
  <c r="C41" i="4"/>
  <c r="B42" i="4"/>
  <c r="C42" i="4" l="1"/>
  <c r="Y52" i="4"/>
  <c r="B43" i="4"/>
  <c r="C43" i="4" l="1"/>
  <c r="Z52" i="4"/>
  <c r="B44" i="4"/>
  <c r="C44" i="4" l="1"/>
  <c r="AA52" i="4"/>
  <c r="B45" i="4"/>
  <c r="C45" i="4" l="1"/>
  <c r="AB52" i="4"/>
  <c r="B46" i="4"/>
  <c r="B47" i="4" l="1"/>
  <c r="C46" i="4"/>
  <c r="AC52" i="4"/>
  <c r="C47" i="4" l="1"/>
  <c r="AD52" i="4"/>
  <c r="B48" i="4"/>
  <c r="C48" i="4" l="1"/>
  <c r="AE52" i="4"/>
</calcChain>
</file>

<file path=xl/sharedStrings.xml><?xml version="1.0" encoding="utf-8"?>
<sst xmlns="http://schemas.openxmlformats.org/spreadsheetml/2006/main" count="1674" uniqueCount="413">
  <si>
    <t>ISO 11171:2020</t>
  </si>
  <si>
    <t>Requirement</t>
  </si>
  <si>
    <t>Material</t>
  </si>
  <si>
    <t>Reference</t>
  </si>
  <si>
    <t>&gt;1000 particles per bottle at max certified size
Sample Cv per Table C.2</t>
  </si>
  <si>
    <t>SRM2806/RM8631x</t>
  </si>
  <si>
    <t>Clause 6. Sizing Calibration. 3 separate bottles, 5 sub-samples from each.</t>
  </si>
  <si>
    <r>
      <rPr>
        <sz val="10"/>
        <rFont val="Arial"/>
        <family val="2"/>
      </rPr>
      <t>Cv</t>
    </r>
    <r>
      <rPr>
        <vertAlign val="subscript"/>
        <sz val="10"/>
        <rFont val="Arial"/>
        <family val="2"/>
      </rPr>
      <t>4um</t>
    </r>
    <r>
      <rPr>
        <sz val="10"/>
        <rFont val="Arial"/>
        <family val="2"/>
      </rPr>
      <t xml:space="preserve"> &lt; 3%</t>
    </r>
  </si>
  <si>
    <t>RM8632x</t>
  </si>
  <si>
    <r>
      <rPr>
        <sz val="10"/>
        <rFont val="Arial"/>
        <family val="2"/>
      </rPr>
      <t>Annex A – Preliminary Instrument Check
Need traceable measurement of volume "actually measured" during a particle counting run. Test-test Cv</t>
    </r>
    <r>
      <rPr>
        <vertAlign val="subscript"/>
        <sz val="10"/>
        <rFont val="Arial"/>
        <family val="2"/>
      </rPr>
      <t>COUNTS</t>
    </r>
    <r>
      <rPr>
        <sz val="10"/>
        <rFont val="Arial"/>
        <family val="2"/>
      </rPr>
      <t xml:space="preserve"> &lt; 3% over 5 sample runs using RM8632 fine dust is required at threshold of 1.5x threshold noise.</t>
    </r>
  </si>
  <si>
    <r>
      <rPr>
        <sz val="10"/>
        <rFont val="Arial"/>
        <family val="2"/>
      </rPr>
      <t>Δ</t>
    </r>
    <r>
      <rPr>
        <vertAlign val="subscript"/>
        <sz val="10"/>
        <rFont val="Arial"/>
        <family val="2"/>
      </rPr>
      <t>COUNTS_4um</t>
    </r>
    <r>
      <rPr>
        <sz val="10"/>
        <rFont val="Arial"/>
        <family val="2"/>
      </rPr>
      <t xml:space="preserve"> &lt; 5%</t>
    </r>
  </si>
  <si>
    <r>
      <rPr>
        <sz val="10"/>
        <rFont val="Arial"/>
        <family val="2"/>
      </rPr>
      <t xml:space="preserve">Annex B – Coincidence error limit
Analyse </t>
    </r>
    <r>
      <rPr>
        <b/>
        <sz val="10"/>
        <rFont val="Arial"/>
        <family val="2"/>
      </rPr>
      <t>15 different concentrations</t>
    </r>
    <r>
      <rPr>
        <sz val="10"/>
        <rFont val="Arial"/>
        <family val="2"/>
      </rPr>
      <t xml:space="preserve"> 5 times, of 10%...150% of manufacturer recommended coincidence limit. 0-40% regression line of 4um channel used to project results. Error limit when counts cross 95% of this line.</t>
    </r>
  </si>
  <si>
    <r>
      <rPr>
        <sz val="10"/>
        <rFont val="Arial"/>
        <family val="2"/>
      </rPr>
      <t>Cv</t>
    </r>
    <r>
      <rPr>
        <vertAlign val="subscript"/>
        <sz val="10"/>
        <rFont val="Arial"/>
        <family val="2"/>
      </rPr>
      <t>_4um</t>
    </r>
    <r>
      <rPr>
        <sz val="10"/>
        <rFont val="Arial"/>
        <family val="2"/>
      </rPr>
      <t xml:space="preserve"> &lt; 3%</t>
    </r>
  </si>
  <si>
    <r>
      <rPr>
        <sz val="10"/>
        <rFont val="Arial"/>
        <family val="2"/>
      </rPr>
      <t xml:space="preserve">Annex C – flow rate – </t>
    </r>
    <r>
      <rPr>
        <b/>
        <sz val="10"/>
        <rFont val="Arial"/>
        <family val="2"/>
      </rPr>
      <t>if fixed</t>
    </r>
    <r>
      <rPr>
        <sz val="10"/>
        <rFont val="Arial"/>
        <family val="2"/>
      </rPr>
      <t xml:space="preserve"> then just need traceable flow measurement and pass annex A. </t>
    </r>
    <r>
      <rPr>
        <b/>
        <sz val="10"/>
        <rFont val="Arial"/>
        <family val="2"/>
      </rPr>
      <t>Otherwise 8 flow rates</t>
    </r>
    <r>
      <rPr>
        <sz val="10"/>
        <rFont val="Arial"/>
        <family val="2"/>
      </rPr>
      <t xml:space="preserve"> 20..140% are used and the results at each analysed in order to establish a limit.</t>
    </r>
  </si>
  <si>
    <r>
      <rPr>
        <sz val="10"/>
        <rFont val="Arial"/>
        <family val="2"/>
      </rPr>
      <t>Cv</t>
    </r>
    <r>
      <rPr>
        <vertAlign val="subscript"/>
        <sz val="10"/>
        <rFont val="Arial"/>
        <family val="2"/>
      </rPr>
      <t>DIAM_10</t>
    </r>
    <r>
      <rPr>
        <sz val="10"/>
        <rFont val="Arial"/>
        <family val="2"/>
      </rPr>
      <t xml:space="preserve"> &lt; +/-15%
→ Cv</t>
    </r>
    <r>
      <rPr>
        <vertAlign val="subscript"/>
        <sz val="10"/>
        <rFont val="Arial"/>
        <family val="2"/>
      </rPr>
      <t>SIGNAL_10</t>
    </r>
    <r>
      <rPr>
        <sz val="10"/>
        <rFont val="Arial"/>
        <family val="2"/>
      </rPr>
      <t xml:space="preserve"> &lt; +/-32%
</t>
    </r>
  </si>
  <si>
    <t>10um spheres</t>
  </si>
  <si>
    <t xml:space="preserve">Annex D – resolution. Establish threshold corresponding to spheres (equal diff counts for 0.72 and 1.0 relative channel thresholds). Set thresholds corresponding to 0.9, 1.0 and 1.1 times diameter so inferred from cal curve. </t>
  </si>
  <si>
    <t>Counts per Table A.1
Cv &lt; Table C.2
6 sizes 5-15um</t>
  </si>
  <si>
    <t>RM8632x 1mg/l</t>
  </si>
  <si>
    <t>Annex E – particle counting accuracy. Ensure RM8632x counts in permitted range.</t>
  </si>
  <si>
    <t>Analysis using Bottle Samples and RM8632a</t>
  </si>
  <si>
    <t>Volumetric Sampling Accuracy</t>
  </si>
  <si>
    <t>APC Model</t>
  </si>
  <si>
    <t>LPA3-NAVAIR</t>
  </si>
  <si>
    <t>APC S/N</t>
  </si>
  <si>
    <t>11171-00009</t>
  </si>
  <si>
    <t>Sensor Model</t>
  </si>
  <si>
    <t>Sensor S/N</t>
  </si>
  <si>
    <t>Date</t>
  </si>
  <si>
    <t>Operator</t>
  </si>
  <si>
    <t>JMD</t>
  </si>
  <si>
    <t>Threshold Noise</t>
  </si>
  <si>
    <t>4um(c) Coincidence Limit /ml</t>
  </si>
  <si>
    <t>A.1 RM8632 4um count/mg/l</t>
  </si>
  <si>
    <t>RM8632x mg/l at 25% coincidence limit</t>
  </si>
  <si>
    <t>Concentrate mg/l</t>
  </si>
  <si>
    <t>Target quantity of dust in dilution</t>
  </si>
  <si>
    <t>Concentrate to add ml</t>
  </si>
  <si>
    <t>/ml</t>
  </si>
  <si>
    <t>Deviation</t>
  </si>
  <si>
    <t>Portion 1</t>
  </si>
  <si>
    <t>Portion 2</t>
  </si>
  <si>
    <t>Particle Counter</t>
  </si>
  <si>
    <t>Portion 3</t>
  </si>
  <si>
    <t>Portion 4</t>
  </si>
  <si>
    <t>MIL5606 Fluid</t>
  </si>
  <si>
    <t>Portion 5</t>
  </si>
  <si>
    <t>Temperature</t>
  </si>
  <si>
    <t>40'C</t>
  </si>
  <si>
    <t>10ml Weight</t>
  </si>
  <si>
    <t>Mean</t>
  </si>
  <si>
    <t>Sample StdDev</t>
  </si>
  <si>
    <t>Flush</t>
  </si>
  <si>
    <t>ml</t>
  </si>
  <si>
    <t>Sample</t>
  </si>
  <si>
    <t>g</t>
  </si>
  <si>
    <t>Fluid Weight Taken</t>
  </si>
  <si>
    <t>ml taken</t>
  </si>
  <si>
    <r>
      <rPr>
        <sz val="10"/>
        <rFont val="Calibri"/>
        <family val="2"/>
      </rPr>
      <t>CV</t>
    </r>
    <r>
      <rPr>
        <vertAlign val="subscript"/>
        <sz val="10"/>
        <rFont val="Calibri"/>
        <family val="2"/>
      </rPr>
      <t>VOL</t>
    </r>
  </si>
  <si>
    <t>Error</t>
  </si>
  <si>
    <t>NAVAIR</t>
  </si>
  <si>
    <t>portion</t>
  </si>
  <si>
    <t>/ml/mg/l</t>
  </si>
  <si>
    <t>RM8632a 4μm particles</t>
  </si>
  <si>
    <t>l</t>
  </si>
  <si>
    <t>Tank fluid volume</t>
  </si>
  <si>
    <t>Manufacturer recommended coincidence limit</t>
  </si>
  <si>
    <t>10% of coincidence limit</t>
  </si>
  <si>
    <t>mg</t>
  </si>
  <si>
    <t>Amount of RM8632a to add to tank per 10% estimated coincidence limit</t>
  </si>
  <si>
    <t>Coincidence Correction</t>
  </si>
  <si>
    <t>mg/l</t>
  </si>
  <si>
    <t>Required concentration of concentrate if want this per 10ml of concentrate</t>
  </si>
  <si>
    <t>Amount of fluid to use to make up concentrate</t>
  </si>
  <si>
    <t>Amount of RM8632a to add to fluid used to make up concentrate.</t>
  </si>
  <si>
    <t>added</t>
  </si>
  <si>
    <t>Actual concentration</t>
  </si>
  <si>
    <t>corrected volume to add to tank</t>
  </si>
  <si>
    <t>Total</t>
  </si>
  <si>
    <t>Added</t>
  </si>
  <si>
    <t>Tank</t>
  </si>
  <si>
    <t>Expected</t>
  </si>
  <si>
    <t>4μm</t>
  </si>
  <si>
    <t>Ratio</t>
  </si>
  <si>
    <t>Regression</t>
  </si>
  <si>
    <t>Relative</t>
  </si>
  <si>
    <t>corrected</t>
  </si>
  <si>
    <t>Percent</t>
  </si>
  <si>
    <t>Added ml</t>
  </si>
  <si>
    <t>Dust mg</t>
  </si>
  <si>
    <t>Conc mg/l</t>
  </si>
  <si>
    <t>Actual</t>
  </si>
  <si>
    <t>RM8632a</t>
  </si>
  <si>
    <t>Line 0-40%</t>
  </si>
  <si>
    <t>fraction</t>
  </si>
  <si>
    <t>Regression Model</t>
  </si>
  <si>
    <t>Linear</t>
  </si>
  <si>
    <t>LINEST raw output</t>
  </si>
  <si>
    <t>Regression Statistics</t>
  </si>
  <si>
    <t>R^2</t>
  </si>
  <si>
    <t>Standard Error</t>
  </si>
  <si>
    <t>Count of X variables</t>
  </si>
  <si>
    <t>Observations</t>
  </si>
  <si>
    <t>Adjusted R^2</t>
  </si>
  <si>
    <t>Analysis of Variance (ANOVA)</t>
  </si>
  <si>
    <t>df</t>
  </si>
  <si>
    <t>SS</t>
  </si>
  <si>
    <t>MS</t>
  </si>
  <si>
    <t>F</t>
  </si>
  <si>
    <t>Significance F</t>
  </si>
  <si>
    <t>Residual</t>
  </si>
  <si>
    <t>Confidence level</t>
  </si>
  <si>
    <t>Coefficients</t>
  </si>
  <si>
    <t>t-Statistic</t>
  </si>
  <si>
    <t>P-value</t>
  </si>
  <si>
    <t>Predicted Y</t>
  </si>
  <si>
    <t>RM</t>
  </si>
  <si>
    <t>Bottle Sampler</t>
  </si>
  <si>
    <t>Lowest threshold J</t>
  </si>
  <si>
    <t>Highest threshold H</t>
  </si>
  <si>
    <t>Threshold Factor K</t>
  </si>
  <si>
    <t>Threshold#</t>
  </si>
  <si>
    <t>Initial Value</t>
  </si>
  <si>
    <t>INT</t>
  </si>
  <si>
    <t>Reversed</t>
  </si>
  <si>
    <t>1.5x noise</t>
  </si>
  <si>
    <t>~30um</t>
  </si>
  <si>
    <t>Data Preprocessing and Quality Assessment per ISO 11171 Clause 6.6</t>
  </si>
  <si>
    <t>CHECK CALIBRATION THRESHOLDS ENTERED ON PARTICLE COUNTER</t>
  </si>
  <si>
    <t>Serial #</t>
  </si>
  <si>
    <t>Dilution Ratio</t>
  </si>
  <si>
    <t>34D</t>
  </si>
  <si>
    <t>BOTTLE</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</si>
  <si>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</si>
  <si>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</si>
  <si>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</si>
  <si>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</si>
  <si>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</si>
  <si>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</si>
  <si>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</si>
  <si>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</si>
  <si>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</si>
  <si>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</si>
  <si>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</si>
  <si>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</si>
  <si>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</si>
  <si>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</si>
  <si>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</si>
  <si>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</si>
  <si>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</si>
  <si>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</si>
  <si>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</si>
  <si>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</si>
  <si>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</si>
  <si>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</si>
  <si>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</si>
  <si>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</si>
  <si>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</si>
  <si>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</si>
  <si>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</si>
  <si>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</si>
  <si>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</si>
  <si>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</si>
  <si>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</si>
  <si>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</si>
  <si>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</si>
  <si>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</si>
  <si>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</si>
  <si>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</si>
  <si>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</si>
  <si>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</si>
  <si>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</si>
  <si>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</si>
  <si>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</si>
  <si>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</si>
  <si>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</si>
  <si>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</si>
  <si>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</si>
  <si>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</si>
  <si>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</si>
  <si>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</si>
  <si>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</si>
  <si>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</si>
  <si>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</si>
  <si>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</si>
  <si>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</si>
  <si>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</si>
  <si>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t>Threshold Voltage Setting</t>
  </si>
  <si>
    <t>Uncertainty
S</t>
  </si>
  <si>
    <t xml:space="preserve"> Particle Size</t>
  </si>
  <si>
    <t>Interpolated Threshold Voltage Setting</t>
  </si>
  <si>
    <t>Dilution</t>
  </si>
  <si>
    <t>particles per millilitre</t>
  </si>
  <si>
    <t>mV</t>
  </si>
  <si>
    <t>samples</t>
  </si>
  <si>
    <t xml:space="preserve">µm(c) </t>
  </si>
  <si>
    <t>Poly Spheres Concentrate Calculator</t>
  </si>
  <si>
    <t>microns</t>
  </si>
  <si>
    <t>diameter</t>
  </si>
  <si>
    <t>m^3</t>
  </si>
  <si>
    <t>volume of a sphere</t>
  </si>
  <si>
    <t>kg</t>
  </si>
  <si>
    <t>mass of a sphere</t>
  </si>
  <si>
    <t>Number</t>
  </si>
  <si>
    <t>spheres per mg</t>
  </si>
  <si>
    <t>Target concentration per ml</t>
  </si>
  <si>
    <t>spheres to add per liter</t>
  </si>
  <si>
    <t>litres</t>
  </si>
  <si>
    <t>Bottle / Rig volume</t>
  </si>
  <si>
    <t>Total mass of spheres to add</t>
  </si>
  <si>
    <t>Actual mass added</t>
  </si>
  <si>
    <t>N/ml</t>
  </si>
  <si>
    <t>Concentration expected</t>
  </si>
  <si>
    <t>Spheres added</t>
  </si>
  <si>
    <t>Adjusted volume required</t>
  </si>
  <si>
    <t>Extra volume to add</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</si>
  <si>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</si>
  <si>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</si>
  <si>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</si>
  <si>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</si>
  <si>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</si>
  <si>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</si>
  <si>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</si>
  <si>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</si>
  <si>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</si>
  <si>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</si>
  <si>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</si>
  <si>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Cumulative Counts / 100ml</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</si>
  <si>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</si>
  <si>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</si>
  <si>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</si>
  <si>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</si>
  <si>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</si>
  <si>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</si>
  <si>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</si>
  <si>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</si>
  <si>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ROUNDED</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</si>
  <si>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</si>
  <si>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</si>
  <si>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</si>
  <si>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</si>
  <si>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</si>
  <si>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</si>
  <si>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Analysis using Bottle Sampler and RM8632a</t>
  </si>
  <si>
    <t>BS110</t>
  </si>
  <si>
    <t>See Annex A for Sample Preparation Calculations</t>
  </si>
  <si>
    <t>&gt;4μm(c)/100ml</t>
  </si>
  <si>
    <t>Bottle 1</t>
  </si>
  <si>
    <t>Bottle 2</t>
  </si>
  <si>
    <t>Bottle 3</t>
  </si>
  <si>
    <t>Bottle 4</t>
  </si>
  <si>
    <t>Bottle 5</t>
  </si>
  <si>
    <t>#</t>
  </si>
  <si>
    <t>Average</t>
  </si>
  <si>
    <t>LC10 spheres batch DC-10-033</t>
  </si>
  <si>
    <t>10.2±0.4</t>
  </si>
  <si>
    <t>NIST TRACEABLE</t>
  </si>
  <si>
    <t>Peak data value</t>
  </si>
  <si>
    <t>Peak Position</t>
  </si>
  <si>
    <t>half peak value</t>
  </si>
  <si>
    <t>LHS FWHM</t>
  </si>
  <si>
    <t>X value</t>
  </si>
  <si>
    <t>½ FWHM</t>
  </si>
  <si>
    <t>FWHM</t>
  </si>
  <si>
    <t>Std.Dev.</t>
  </si>
  <si>
    <t>Capture Fraction</t>
  </si>
  <si>
    <t>Data Preprocessing and Quality Assessment</t>
  </si>
  <si>
    <t>BOTTLE 1</t>
  </si>
  <si>
    <t>Partistan 34D</t>
  </si>
  <si>
    <t>#00009</t>
  </si>
  <si>
    <t>scanned_volume_ml</t>
  </si>
  <si>
    <t>RM8632x
1mg/l</t>
  </si>
  <si>
    <t>RM8632a mg/l</t>
  </si>
  <si>
    <t>Sample Volume Total</t>
  </si>
  <si>
    <t>Portions</t>
  </si>
  <si>
    <t>Portion Volume V</t>
  </si>
  <si>
    <t>/100ml scanned</t>
  </si>
  <si>
    <t>Total scanned</t>
  </si>
  <si>
    <t>Portion scanned</t>
  </si>
  <si>
    <t>B1 / ml</t>
  </si>
  <si>
    <t>B2 / ml</t>
  </si>
  <si>
    <t>B3 / ml</t>
  </si>
  <si>
    <t>AVERAGE</t>
  </si>
  <si>
    <t>Table A.1</t>
  </si>
  <si>
    <t>A.1 Lower</t>
  </si>
  <si>
    <t>A.1 Upper</t>
  </si>
  <si>
    <t>Median</t>
  </si>
  <si>
    <t>Minimum</t>
  </si>
  <si>
    <t>Maximum</t>
  </si>
  <si>
    <t>ANNEX E – VERIFICATION OF PARTICLE COUNTING ACCURACY</t>
  </si>
  <si>
    <t>Annex A Preliminary Check</t>
  </si>
  <si>
    <t>Clause 6 - Sizing Calibration - Initial Threshold Setting</t>
  </si>
  <si>
    <t>Thresholds to load</t>
  </si>
  <si>
    <t>Annex C - Flow Rate</t>
  </si>
  <si>
    <t>Annex D - Resolution</t>
  </si>
  <si>
    <t>Wanted fluid volume ml</t>
  </si>
  <si>
    <t>Clean fluid to add</t>
  </si>
  <si>
    <t>After 110ml</t>
  </si>
  <si>
    <t>Total Fluid Programmed</t>
  </si>
  <si>
    <t>Final Measured Weight</t>
  </si>
  <si>
    <t>Max/2</t>
  </si>
  <si>
    <t>Firmware</t>
  </si>
  <si>
    <t>Concentration / ml</t>
  </si>
  <si>
    <t>Boxcar_n</t>
  </si>
  <si>
    <t>Flow</t>
  </si>
  <si>
    <t>ml/min</t>
  </si>
  <si>
    <t>Detection Threshold</t>
  </si>
  <si>
    <t>ADU</t>
  </si>
  <si>
    <t>Volume scanned</t>
  </si>
  <si>
    <t>Total Sample</t>
  </si>
  <si>
    <r>
      <rPr>
        <sz val="10"/>
        <color rgb="FF006600"/>
        <rFont val="Arial"/>
        <family val="2"/>
      </rPr>
      <t>Cv</t>
    </r>
    <r>
      <rPr>
        <vertAlign val="subscript"/>
        <sz val="10"/>
        <color rgb="FF006600"/>
        <rFont val="Arial"/>
        <family val="2"/>
      </rPr>
      <t>DIAM_10</t>
    </r>
    <r>
      <rPr>
        <sz val="10"/>
        <color rgb="FF006600"/>
        <rFont val="Arial"/>
        <family val="2"/>
      </rPr>
      <t xml:space="preserve"> &lt; +/-15%
→ Cv</t>
    </r>
    <r>
      <rPr>
        <vertAlign val="subscript"/>
        <sz val="10"/>
        <color rgb="FF006600"/>
        <rFont val="Arial"/>
        <family val="2"/>
      </rPr>
      <t>SIGNAL_10</t>
    </r>
    <r>
      <rPr>
        <sz val="10"/>
        <color rgb="FF006600"/>
        <rFont val="Arial"/>
        <family val="2"/>
      </rPr>
      <t xml:space="preserve"> &lt; +/-32%
</t>
    </r>
  </si>
  <si>
    <t>μm certified mean diamater</t>
  </si>
  <si>
    <r>
      <rPr>
        <sz val="10"/>
        <rFont val="Arial"/>
        <family val="2"/>
      </rPr>
      <t>CV</t>
    </r>
    <r>
      <rPr>
        <vertAlign val="subscript"/>
        <sz val="10"/>
        <rFont val="Arial"/>
        <family val="2"/>
      </rPr>
      <t>SIGNAL</t>
    </r>
    <r>
      <rPr>
        <sz val="10"/>
        <rFont val="Arial"/>
        <family val="2"/>
      </rPr>
      <t xml:space="preserve"> &lt; 30%</t>
    </r>
  </si>
  <si>
    <r>
      <rPr>
        <sz val="10"/>
        <rFont val="Arial"/>
        <family val="2"/>
      </rPr>
      <t>CV</t>
    </r>
    <r>
      <rPr>
        <vertAlign val="subscript"/>
        <sz val="10"/>
        <rFont val="Arial"/>
        <family val="2"/>
      </rPr>
      <t>DIAMETER</t>
    </r>
    <r>
      <rPr>
        <sz val="10"/>
        <rFont val="Arial"/>
        <family val="2"/>
      </rPr>
      <t xml:space="preserve"> &lt; 15%</t>
    </r>
  </si>
  <si>
    <t>Initial Concentration</t>
  </si>
  <si>
    <t>Final Concentration</t>
  </si>
  <si>
    <t>Target Concentration</t>
  </si>
  <si>
    <t>B1</t>
  </si>
  <si>
    <t>B2</t>
  </si>
  <si>
    <t>B3</t>
  </si>
  <si>
    <t>Materials</t>
  </si>
  <si>
    <t>NIST RM8632a Fine Test Dust</t>
  </si>
  <si>
    <t>Mixed with MIL5606 fluid to 100mg/l concentrate</t>
  </si>
  <si>
    <t>Annex B Coincidence</t>
  </si>
  <si>
    <t>Reference Fluid Dilution Calculator</t>
  </si>
  <si>
    <t>Bottle Number</t>
  </si>
  <si>
    <t>Fluid Density</t>
  </si>
  <si>
    <t>Value</t>
  </si>
  <si>
    <t>D1</t>
  </si>
  <si>
    <t>Concentrate / ml</t>
  </si>
  <si>
    <t>Bottle Size / ml</t>
  </si>
  <si>
    <t>Target Concentration / ml</t>
  </si>
  <si>
    <t>Concentrate to Add / g</t>
  </si>
  <si>
    <t>Diluent to add / g</t>
  </si>
  <si>
    <t>Diluent Added / g</t>
  </si>
  <si>
    <t>Final Concentration / ml</t>
  </si>
  <si>
    <t>Spheres Concentration Calculator</t>
  </si>
  <si>
    <t>Concentrate Added / g</t>
  </si>
  <si>
    <t>Ratio Diluent:Concentrate</t>
  </si>
  <si>
    <t>Bottle Capacity / g</t>
  </si>
  <si>
    <t>Expected Final Fluid Volume / ml</t>
  </si>
  <si>
    <t>Total Counted</t>
  </si>
  <si>
    <t>count</t>
  </si>
  <si>
    <t>Total in sample</t>
  </si>
  <si>
    <t>Flow ml/min</t>
  </si>
  <si>
    <t>Capture</t>
  </si>
  <si>
    <t>Count / ml</t>
  </si>
  <si>
    <t>Variation with Flow</t>
  </si>
  <si>
    <t>Volume Actually Measured</t>
  </si>
  <si>
    <t>11171-00001</t>
  </si>
  <si>
    <t>39um Spheres</t>
  </si>
  <si>
    <t>Data Pasted from CSV file</t>
  </si>
  <si>
    <t>BOTTLE 4</t>
  </si>
  <si>
    <t>BOTTLE 5</t>
  </si>
  <si>
    <t>Prepare 5 bottles of 10um PSL spheres of concentration 2000/ml</t>
  </si>
  <si>
    <t>Obtain counts using 10ml flush + 5x10ml portions</t>
  </si>
  <si>
    <t>Import all portion data into following sheet (A - B1)</t>
  </si>
  <si>
    <t>AVERAGE 6um count/ml</t>
  </si>
  <si>
    <t>Expected 6um count/ml</t>
  </si>
  <si>
    <t>Adjust A - B1 to A-B5 sheets deleting outliers as per 6.6</t>
  </si>
  <si>
    <t>Enter expected concentration in cell below i.e. 2000</t>
  </si>
  <si>
    <t>Can also export histogram data for one bottle and perform Annex D</t>
  </si>
  <si>
    <t>Set "Beam Flow Correction"</t>
  </si>
  <si>
    <t>REFERENCE COUNTER</t>
  </si>
  <si>
    <t>REF</t>
  </si>
  <si>
    <t>BS110-HP D2 BS2044</t>
  </si>
  <si>
    <t>Deadtime</t>
  </si>
  <si>
    <t>DISABLED</t>
  </si>
  <si>
    <t>4μm/ml</t>
  </si>
  <si>
    <t>SELECT</t>
  </si>
  <si>
    <t xml:space="preserve">LPA-View Export, portions 1-5 only. Ordering must match main table showing dose added. </t>
  </si>
  <si>
    <t>Quadratic Correction Coefficient</t>
  </si>
  <si>
    <t>Linear Correction Coefficient</t>
  </si>
  <si>
    <t>correction reference scale (/ml)l</t>
  </si>
  <si>
    <t>CH</t>
  </si>
  <si>
    <t>&lt; 11%</t>
  </si>
  <si>
    <t>Dq %</t>
  </si>
  <si>
    <t>added - can use own value here to use premade concentrates</t>
  </si>
  <si>
    <t>INITIAL Thresholds to Load into Instrument</t>
  </si>
  <si>
    <r>
      <t>Mean X̅</t>
    </r>
    <r>
      <rPr>
        <vertAlign val="subscript"/>
        <sz val="11"/>
        <color rgb="FF000000"/>
        <rFont val="Calibri"/>
        <family val="2"/>
      </rPr>
      <t>N</t>
    </r>
    <r>
      <rPr>
        <sz val="11"/>
        <color rgb="FF000000"/>
        <rFont val="Calibri"/>
        <family val="2"/>
      </rPr>
      <t xml:space="preserve"> </t>
    </r>
  </si>
  <si>
    <r>
      <t>X̅</t>
    </r>
    <r>
      <rPr>
        <b/>
        <vertAlign val="subscript"/>
        <sz val="10"/>
        <rFont val="Arial"/>
        <family val="2"/>
      </rPr>
      <t>N</t>
    </r>
  </si>
  <si>
    <t>Undiluted Particle Concentration</t>
  </si>
  <si>
    <t>Diluted</t>
  </si>
  <si>
    <t>SRM2806D</t>
  </si>
  <si>
    <t>RM USED</t>
  </si>
  <si>
    <t>Counted</t>
  </si>
  <si>
    <t>um(c)</t>
  </si>
  <si>
    <t>Captured</t>
  </si>
  <si>
    <t>Ref Fluid to Add / g</t>
  </si>
  <si>
    <t>Ref Fluid Added / g</t>
  </si>
  <si>
    <t>B0</t>
  </si>
  <si>
    <t>BS110-HP BS2044</t>
  </si>
  <si>
    <t>#00001</t>
  </si>
  <si>
    <t>TRANSPOSED COPY</t>
  </si>
  <si>
    <t>Dilution to</t>
  </si>
  <si>
    <t>Expected Counts vs Size</t>
  </si>
  <si>
    <t>Information Only</t>
  </si>
  <si>
    <t>Target concentration mg/l</t>
  </si>
  <si>
    <t>Concentrate Dilution Calculator</t>
  </si>
  <si>
    <t>Concentrate Manufacturing Calculator</t>
  </si>
  <si>
    <t>Target Concentration mg/l</t>
  </si>
  <si>
    <t>Target Final Fluid Volume ml</t>
  </si>
  <si>
    <t>mg required</t>
  </si>
  <si>
    <t>Alt Concentrate Dilution Calculator</t>
  </si>
  <si>
    <t>Diluent volume ml</t>
  </si>
  <si>
    <t>Concentrate to add</t>
  </si>
  <si>
    <t>Concentrate</t>
  </si>
  <si>
    <t>Final fluid volume</t>
  </si>
  <si>
    <t>Target concentration</t>
  </si>
  <si>
    <t>Diluent to add</t>
  </si>
  <si>
    <t>LPA4</t>
  </si>
  <si>
    <t>37D</t>
  </si>
  <si>
    <t>RAW CSV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</si>
</sst>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yyyy\-mm\-dd"/>
    <numFmt numFmtId="165" formatCode="0.000"/>
    <numFmt numFmtId="166" formatCode="0.0"/>
    <numFmt numFmtId="167" formatCode="0.0%"/>
    <numFmt numFmtId="168" formatCode="0.000E+00"/>
    <numFmt numFmtId="169" formatCode="0.0000"/>
    <numFmt numFmtId="170" formatCode="_-* #,##0.000_-;\-* #,##0.000_-;_-* &quot;-&quot;??_-;_-@_-"/>
  </numFmts>
  <fonts count="42" x14ac:knownFonts="1">
    <font>
      <sz val="10"/>
      <name val="Arial"/>
      <family val="2"/>
    </font>
    <font>
      <sz val="11"/>
      <color theme="1"/>
      <name val="Arial"/>
      <family val="2"/>
      <scheme val="minor"/>
    </font>
    <font>
      <b/>
      <sz val="10"/>
      <name val="Arial"/>
      <family val="2"/>
    </font>
    <font>
      <vertAlign val="subscript"/>
      <sz val="10"/>
      <name val="Arial"/>
      <family val="2"/>
    </font>
    <font>
      <sz val="18"/>
      <color rgb="FFC9211E"/>
      <name val="Arial Black"/>
      <family val="2"/>
    </font>
    <font>
      <sz val="10"/>
      <name val="Calibri"/>
      <family val="2"/>
    </font>
    <font>
      <b/>
      <sz val="12"/>
      <name val="Calibri"/>
      <family val="2"/>
    </font>
    <font>
      <b/>
      <sz val="10"/>
      <name val="Calibri"/>
      <family val="2"/>
    </font>
    <font>
      <vertAlign val="subscript"/>
      <sz val="10"/>
      <name val="Calibri"/>
      <family val="2"/>
    </font>
    <font>
      <b/>
      <sz val="32"/>
      <color rgb="FFC9211E"/>
      <name val="Arial"/>
      <family val="2"/>
    </font>
    <font>
      <sz val="32"/>
      <name val="Arial"/>
      <family val="2"/>
    </font>
    <font>
      <b/>
      <sz val="10"/>
      <color rgb="FFFC5C00"/>
      <name val="Arial"/>
      <family val="2"/>
    </font>
    <font>
      <b/>
      <vertAlign val="subscript"/>
      <sz val="10"/>
      <name val="Arial"/>
      <family val="2"/>
    </font>
    <font>
      <i/>
      <sz val="10"/>
      <color rgb="FF808080"/>
      <name val="Arial"/>
      <family val="2"/>
    </font>
    <font>
      <b/>
      <i/>
      <sz val="10"/>
      <color rgb="FF808080"/>
      <name val="Arial"/>
      <family val="2"/>
    </font>
    <font>
      <u/>
      <sz val="11"/>
      <color rgb="FF000000"/>
      <name val="Calibri"/>
      <family val="2"/>
    </font>
    <font>
      <sz val="11"/>
      <color rgb="FF000000"/>
      <name val="Calibri"/>
      <family val="2"/>
    </font>
    <font>
      <vertAlign val="subscript"/>
      <sz val="11"/>
      <color rgb="FF000000"/>
      <name val="Calibri"/>
      <family val="2"/>
    </font>
    <font>
      <b/>
      <u/>
      <sz val="10"/>
      <name val="Arial"/>
      <family val="2"/>
    </font>
    <font>
      <i/>
      <sz val="10"/>
      <name val="Arial"/>
      <family val="2"/>
    </font>
    <font>
      <b/>
      <sz val="32"/>
      <color rgb="FFFC5C00"/>
      <name val="Arial"/>
      <family val="2"/>
    </font>
    <font>
      <sz val="10"/>
      <color rgb="FF006600"/>
      <name val="Arial"/>
      <family val="2"/>
    </font>
    <font>
      <sz val="20"/>
      <color rgb="FFC9211E"/>
      <name val="Arial Black"/>
      <family val="2"/>
    </font>
    <font>
      <sz val="24"/>
      <color rgb="FFC00000"/>
      <name val="Arial Black"/>
      <family val="2"/>
    </font>
    <font>
      <sz val="10"/>
      <name val="Arial"/>
      <family val="2"/>
    </font>
    <font>
      <sz val="11"/>
      <color rgb="FF333333"/>
      <name val="Arial"/>
      <family val="2"/>
    </font>
    <font>
      <vertAlign val="subscript"/>
      <sz val="10"/>
      <color rgb="FF006600"/>
      <name val="Arial"/>
      <family val="2"/>
    </font>
    <font>
      <sz val="10"/>
      <color theme="1"/>
      <name val="Arial"/>
      <family val="2"/>
      <scheme val="minor"/>
    </font>
    <font>
      <sz val="24"/>
      <color rgb="FFC9211E"/>
      <name val="Arial Black"/>
      <family val="2"/>
    </font>
    <font>
      <b/>
      <sz val="11"/>
      <color rgb="FF333333"/>
      <name val="Arial"/>
      <family val="2"/>
    </font>
    <font>
      <sz val="10"/>
      <color rgb="FF333333"/>
      <name val="Arial"/>
      <family val="2"/>
    </font>
    <font>
      <b/>
      <sz val="10"/>
      <color rgb="FF333333"/>
      <name val="Arial"/>
      <family val="2"/>
    </font>
    <font>
      <i/>
      <sz val="10"/>
      <color rgb="FF333333"/>
      <name val="Arial"/>
      <family val="2"/>
    </font>
    <font>
      <b/>
      <sz val="10"/>
      <color rgb="FF006600"/>
      <name val="Arial"/>
      <family val="2"/>
    </font>
    <font>
      <i/>
      <sz val="10"/>
      <name val="Calibri"/>
      <family val="2"/>
    </font>
    <font>
      <b/>
      <i/>
      <sz val="10"/>
      <name val="Arial"/>
      <family val="2"/>
    </font>
    <font>
      <u/>
      <sz val="10"/>
      <name val="Arial"/>
      <family val="2"/>
    </font>
    <font>
      <sz val="12"/>
      <name val="Arial Black"/>
      <family val="2"/>
    </font>
    <font>
      <b/>
      <u/>
      <sz val="10"/>
      <color theme="4" tint="0.39997558519241921"/>
      <name val="Arial"/>
      <family val="2"/>
    </font>
    <font>
      <b/>
      <sz val="20"/>
      <color rgb="FFFF0000"/>
      <name val="Arial"/>
      <family val="2"/>
    </font>
    <font>
      <b/>
      <sz val="10"/>
      <name val="Arial Black"/>
      <family val="2"/>
    </font>
    <font>
      <b/>
      <sz val="11"/>
      <color rgb="FFFA7D00"/>
      <name val="Arial"/>
      <family val="2"/>
      <scheme val="minor"/>
    </font>
  </fonts>
  <fills count="15">
    <fill>
      <patternFill patternType="none"/>
    </fill>
    <fill>
      <patternFill patternType="gray125"/>
    </fill>
    <fill>
      <patternFill patternType="solid">
        <fgColor rgb="FFCCFFCC"/>
        <bgColor rgb="FFCCF4C6"/>
      </patternFill>
    </fill>
    <fill>
      <patternFill patternType="solid">
        <fgColor rgb="FFD3D3D3"/>
        <bgColor rgb="FFD9D9D9"/>
      </patternFill>
    </fill>
    <fill>
      <patternFill patternType="solid">
        <fgColor rgb="FFCCF4C6"/>
        <bgColor rgb="FFCCFFCC"/>
      </patternFill>
    </fill>
    <fill>
      <patternFill patternType="solid">
        <fgColor rgb="FFE0FFFF"/>
        <bgColor rgb="FFFFFFFF"/>
      </patternFill>
    </fill>
    <fill>
      <patternFill patternType="solid">
        <fgColor rgb="FFC0C0C0"/>
        <bgColor rgb="FFB3B3B3"/>
      </patternFill>
    </fill>
    <fill>
      <patternFill patternType="solid">
        <fgColor rgb="FFE7E7E7"/>
        <bgColor rgb="FFDDDDDD"/>
      </patternFill>
    </fill>
    <fill>
      <patternFill patternType="solid">
        <fgColor theme="5" tint="0.79998168889431442"/>
        <bgColor indexed="65"/>
      </patternFill>
    </fill>
    <fill>
      <patternFill patternType="solid">
        <fgColor rgb="FFCCFFCC"/>
        <bgColor rgb="FFE0FFFF"/>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
      <patternFill patternType="solid">
        <fgColor theme="8" tint="0.79998168889431442"/>
        <bgColor rgb="FFCCFFCC"/>
      </patternFill>
    </fill>
    <fill>
      <patternFill patternType="solid">
        <fgColor rgb="FFF2F2F2"/>
      </patternFill>
    </fill>
  </fills>
  <borders count="25">
    <border>
      <left/>
      <right/>
      <top/>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21" fillId="2" borderId="0" applyBorder="0" applyAlignment="0" applyProtection="0"/>
    <xf numFmtId="0" fontId="1" fillId="8" borderId="0" applyNumberFormat="0" applyBorder="0" applyAlignment="0" applyProtection="0"/>
    <xf numFmtId="0" fontId="25" fillId="0" borderId="0"/>
    <xf numFmtId="9" fontId="24" fillId="0" borderId="0" applyFont="0" applyFill="0" applyBorder="0" applyAlignment="0" applyProtection="0"/>
    <xf numFmtId="43" fontId="24" fillId="0" borderId="0" applyFont="0" applyFill="0" applyBorder="0" applyAlignment="0" applyProtection="0"/>
    <xf numFmtId="0" fontId="41" fillId="14" borderId="24" applyNumberFormat="0" applyAlignment="0" applyProtection="0"/>
  </cellStyleXfs>
  <cellXfs count="268">
    <xf numFmtId="0" fontId="0" fillId="0" borderId="0" xfId="0"/>
    <xf numFmtId="0" fontId="16" fillId="6" borderId="13" xfId="0" applyFont="1" applyFill="1" applyBorder="1" applyAlignment="1">
      <alignment horizontal="center"/>
    </xf>
    <xf numFmtId="0" fontId="0" fillId="0" borderId="0" xfId="0" applyAlignment="1">
      <alignment vertical="center" wrapText="1"/>
    </xf>
    <xf numFmtId="0" fontId="0" fillId="5" borderId="0" xfId="0" applyFill="1" applyAlignment="1">
      <alignment vertical="center" wrapText="1"/>
    </xf>
    <xf numFmtId="0" fontId="0" fillId="0" borderId="0" xfId="0" applyAlignment="1">
      <alignment wrapText="1"/>
    </xf>
    <xf numFmtId="0" fontId="2" fillId="0" borderId="0" xfId="0" applyFont="1" applyAlignment="1">
      <alignment vertical="top" wrapText="1"/>
    </xf>
    <xf numFmtId="0" fontId="2" fillId="3" borderId="0" xfId="0" applyFont="1" applyFill="1" applyAlignment="1">
      <alignment wrapText="1"/>
    </xf>
    <xf numFmtId="0" fontId="2" fillId="3" borderId="0" xfId="0" applyFont="1" applyFill="1"/>
    <xf numFmtId="0" fontId="2" fillId="0" borderId="0" xfId="0" applyFont="1"/>
    <xf numFmtId="0" fontId="0" fillId="0" borderId="0" xfId="0" applyAlignment="1">
      <alignment vertical="center"/>
    </xf>
    <xf numFmtId="0" fontId="5" fillId="0" borderId="0" xfId="0" applyFont="1"/>
    <xf numFmtId="0" fontId="6" fillId="0" borderId="0" xfId="0" applyFont="1"/>
    <xf numFmtId="0" fontId="5" fillId="0" borderId="0" xfId="0" applyFont="1" applyAlignment="1">
      <alignment horizontal="right"/>
    </xf>
    <xf numFmtId="164" fontId="5" fillId="0" borderId="0" xfId="0" applyNumberFormat="1" applyFont="1" applyAlignment="1">
      <alignment horizontal="right"/>
    </xf>
    <xf numFmtId="0" fontId="7" fillId="0" borderId="0" xfId="0" applyFont="1" applyAlignment="1">
      <alignment horizontal="right"/>
    </xf>
    <xf numFmtId="2" fontId="0" fillId="0" borderId="0" xfId="0" applyNumberFormat="1" applyAlignment="1">
      <alignment horizontal="right"/>
    </xf>
    <xf numFmtId="2" fontId="5" fillId="0" borderId="0" xfId="0" applyNumberFormat="1" applyFont="1" applyAlignment="1">
      <alignment horizontal="right"/>
    </xf>
    <xf numFmtId="0" fontId="7" fillId="0" borderId="2" xfId="0" applyFont="1" applyBorder="1"/>
    <xf numFmtId="10" fontId="5" fillId="0" borderId="0" xfId="0" applyNumberFormat="1" applyFont="1"/>
    <xf numFmtId="0" fontId="7" fillId="0" borderId="3" xfId="0" applyFont="1" applyBorder="1"/>
    <xf numFmtId="0" fontId="7" fillId="0" borderId="4" xfId="0" applyFont="1" applyBorder="1"/>
    <xf numFmtId="1" fontId="5" fillId="0" borderId="0" xfId="0" applyNumberFormat="1" applyFont="1"/>
    <xf numFmtId="0" fontId="5" fillId="0" borderId="1" xfId="0" applyFont="1" applyBorder="1"/>
    <xf numFmtId="0" fontId="7" fillId="0" borderId="1" xfId="0" applyFont="1" applyBorder="1"/>
    <xf numFmtId="2" fontId="5" fillId="4" borderId="1" xfId="0" applyNumberFormat="1" applyFont="1" applyFill="1" applyBorder="1" applyAlignment="1">
      <alignment horizontal="right"/>
    </xf>
    <xf numFmtId="10" fontId="5" fillId="4" borderId="0" xfId="0" applyNumberFormat="1" applyFont="1" applyFill="1" applyAlignment="1">
      <alignment horizontal="right"/>
    </xf>
    <xf numFmtId="0" fontId="0" fillId="0" borderId="0" xfId="0" applyProtection="1">
      <protection locked="0"/>
    </xf>
    <xf numFmtId="0" fontId="2" fillId="0" borderId="0" xfId="0" applyFont="1" applyProtection="1">
      <protection locked="0"/>
    </xf>
    <xf numFmtId="2" fontId="0" fillId="0" borderId="0" xfId="0" applyNumberFormat="1" applyProtection="1">
      <protection locked="0"/>
    </xf>
    <xf numFmtId="164" fontId="0" fillId="0" borderId="0" xfId="0" applyNumberFormat="1"/>
    <xf numFmtId="164" fontId="5" fillId="0" borderId="0" xfId="0" applyNumberFormat="1" applyFont="1"/>
    <xf numFmtId="1" fontId="2" fillId="0" borderId="0" xfId="0" applyNumberFormat="1" applyFont="1" applyProtection="1">
      <protection locked="0"/>
    </xf>
    <xf numFmtId="0" fontId="0" fillId="5" borderId="0" xfId="0" applyFill="1" applyAlignment="1">
      <alignment vertical="center"/>
    </xf>
    <xf numFmtId="0" fontId="9" fillId="0" borderId="0" xfId="0" applyFont="1"/>
    <xf numFmtId="164" fontId="2" fillId="0" borderId="0" xfId="0" applyNumberFormat="1" applyFont="1"/>
    <xf numFmtId="0" fontId="0" fillId="0" borderId="5" xfId="0" applyBorder="1"/>
    <xf numFmtId="0" fontId="0" fillId="0" borderId="6" xfId="0" applyBorder="1"/>
    <xf numFmtId="0" fontId="0" fillId="0" borderId="7" xfId="0" applyBorder="1" applyAlignment="1">
      <alignment horizontal="right"/>
    </xf>
    <xf numFmtId="0" fontId="0" fillId="0" borderId="8" xfId="0" applyBorder="1"/>
    <xf numFmtId="0" fontId="0" fillId="0" borderId="9" xfId="0" applyBorder="1" applyAlignment="1">
      <alignment horizontal="right"/>
    </xf>
    <xf numFmtId="164" fontId="2" fillId="0" borderId="9" xfId="0" applyNumberFormat="1" applyFont="1" applyBorder="1" applyAlignment="1">
      <alignment horizontal="right"/>
    </xf>
    <xf numFmtId="164" fontId="0" fillId="0" borderId="9" xfId="0" applyNumberFormat="1" applyBorder="1" applyAlignment="1">
      <alignment horizontal="right"/>
    </xf>
    <xf numFmtId="1" fontId="0" fillId="0" borderId="0" xfId="0" applyNumberFormat="1"/>
    <xf numFmtId="166" fontId="0" fillId="0" borderId="0" xfId="0" applyNumberFormat="1"/>
    <xf numFmtId="0" fontId="2" fillId="0" borderId="9" xfId="0" applyFont="1" applyBorder="1" applyAlignment="1">
      <alignment horizontal="right"/>
    </xf>
    <xf numFmtId="0" fontId="0" fillId="0" borderId="9" xfId="0" applyBorder="1"/>
    <xf numFmtId="165" fontId="0" fillId="0" borderId="0" xfId="0" applyNumberFormat="1"/>
    <xf numFmtId="0" fontId="0" fillId="0" borderId="10" xfId="0" applyBorder="1"/>
    <xf numFmtId="0" fontId="0" fillId="0" borderId="11" xfId="0" applyBorder="1"/>
    <xf numFmtId="0" fontId="0" fillId="4" borderId="12" xfId="0" applyFill="1" applyBorder="1"/>
    <xf numFmtId="2" fontId="0" fillId="0" borderId="0" xfId="0" applyNumberFormat="1"/>
    <xf numFmtId="2" fontId="2" fillId="0" borderId="0" xfId="0" applyNumberFormat="1" applyFont="1"/>
    <xf numFmtId="0" fontId="2" fillId="5" borderId="6" xfId="0" applyFont="1" applyFill="1" applyBorder="1" applyAlignment="1">
      <alignment horizontal="right"/>
    </xf>
    <xf numFmtId="0" fontId="2" fillId="5" borderId="11" xfId="0" applyFont="1" applyFill="1" applyBorder="1" applyAlignment="1">
      <alignment horizontal="right"/>
    </xf>
    <xf numFmtId="10" fontId="2" fillId="5" borderId="11" xfId="0" applyNumberFormat="1" applyFont="1" applyFill="1" applyBorder="1" applyAlignment="1">
      <alignment horizontal="right"/>
    </xf>
    <xf numFmtId="0" fontId="0" fillId="5" borderId="0" xfId="0" applyFill="1"/>
    <xf numFmtId="1" fontId="0" fillId="5" borderId="0" xfId="0" applyNumberFormat="1" applyFill="1"/>
    <xf numFmtId="2" fontId="0" fillId="5" borderId="0" xfId="0" applyNumberFormat="1" applyFill="1"/>
    <xf numFmtId="1" fontId="2" fillId="0" borderId="0" xfId="0" applyNumberFormat="1" applyFont="1"/>
    <xf numFmtId="0" fontId="0" fillId="5" borderId="11" xfId="0" applyFill="1" applyBorder="1"/>
    <xf numFmtId="1" fontId="0" fillId="5" borderId="11" xfId="0" applyNumberFormat="1" applyFill="1" applyBorder="1"/>
    <xf numFmtId="2" fontId="0" fillId="5" borderId="11" xfId="0" applyNumberFormat="1" applyFill="1" applyBorder="1"/>
    <xf numFmtId="164" fontId="7" fillId="0" borderId="0" xfId="0" applyNumberFormat="1" applyFont="1" applyAlignment="1">
      <alignment horizontal="left"/>
    </xf>
    <xf numFmtId="164" fontId="0" fillId="0" borderId="0" xfId="0" applyNumberFormat="1" applyAlignment="1">
      <alignment horizontal="right"/>
    </xf>
    <xf numFmtId="164" fontId="5" fillId="0" borderId="0" xfId="0" applyNumberFormat="1" applyFont="1" applyAlignment="1">
      <alignment horizontal="left"/>
    </xf>
    <xf numFmtId="0" fontId="2" fillId="0" borderId="0" xfId="0" applyFont="1" applyAlignment="1">
      <alignment horizontal="right"/>
    </xf>
    <xf numFmtId="0" fontId="7" fillId="0" borderId="0" xfId="0" applyFont="1" applyAlignment="1">
      <alignment horizontal="left"/>
    </xf>
    <xf numFmtId="0" fontId="7" fillId="0" borderId="0" xfId="0" applyFont="1"/>
    <xf numFmtId="0" fontId="0" fillId="0" borderId="0" xfId="0" applyAlignment="1">
      <alignment horizontal="right"/>
    </xf>
    <xf numFmtId="0" fontId="5" fillId="0" borderId="0" xfId="0" applyFont="1" applyAlignment="1">
      <alignment horizontal="left"/>
    </xf>
    <xf numFmtId="0" fontId="0" fillId="0" borderId="0" xfId="0" applyAlignment="1">
      <alignment horizontal="left"/>
    </xf>
    <xf numFmtId="165" fontId="0" fillId="0" borderId="0" xfId="0" applyNumberFormat="1" applyAlignment="1">
      <alignment horizontal="left"/>
    </xf>
    <xf numFmtId="0" fontId="11" fillId="0" borderId="0" xfId="0" applyFont="1"/>
    <xf numFmtId="0" fontId="2" fillId="0" borderId="2" xfId="0" applyFont="1" applyBorder="1"/>
    <xf numFmtId="164" fontId="2" fillId="0" borderId="3" xfId="0" applyNumberFormat="1" applyFont="1" applyBorder="1"/>
    <xf numFmtId="0" fontId="10" fillId="0" borderId="0" xfId="0" applyFont="1"/>
    <xf numFmtId="0" fontId="2" fillId="0" borderId="3" xfId="0" applyFont="1" applyBorder="1" applyAlignment="1">
      <alignment horizontal="right"/>
    </xf>
    <xf numFmtId="0" fontId="2" fillId="0" borderId="4" xfId="0" applyFont="1" applyBorder="1" applyAlignment="1">
      <alignment horizontal="right" wrapText="1"/>
    </xf>
    <xf numFmtId="166" fontId="2" fillId="0" borderId="0" xfId="0" applyNumberFormat="1" applyFont="1" applyAlignment="1">
      <alignment horizontal="right"/>
    </xf>
    <xf numFmtId="167" fontId="0" fillId="0" borderId="0" xfId="0" applyNumberFormat="1"/>
    <xf numFmtId="166" fontId="2" fillId="0" borderId="0" xfId="0" applyNumberFormat="1" applyFont="1"/>
    <xf numFmtId="1" fontId="0" fillId="0" borderId="0" xfId="0" applyNumberFormat="1" applyAlignment="1">
      <alignment horizontal="right"/>
    </xf>
    <xf numFmtId="10" fontId="0" fillId="0" borderId="0" xfId="0" applyNumberFormat="1"/>
    <xf numFmtId="0" fontId="0" fillId="0" borderId="6" xfId="0" applyBorder="1" applyAlignment="1">
      <alignment horizontal="right"/>
    </xf>
    <xf numFmtId="0" fontId="0" fillId="0" borderId="5" xfId="0" applyBorder="1" applyAlignment="1">
      <alignment horizontal="right"/>
    </xf>
    <xf numFmtId="0" fontId="0" fillId="0" borderId="7" xfId="0" applyBorder="1"/>
    <xf numFmtId="0" fontId="0" fillId="0" borderId="10" xfId="0" applyBorder="1" applyAlignment="1">
      <alignment horizontal="right"/>
    </xf>
    <xf numFmtId="0" fontId="0" fillId="0" borderId="11" xfId="0" applyBorder="1" applyAlignment="1">
      <alignment horizontal="right"/>
    </xf>
    <xf numFmtId="0" fontId="0" fillId="0" borderId="12" xfId="0" applyBorder="1" applyAlignment="1">
      <alignment horizontal="right"/>
    </xf>
    <xf numFmtId="0" fontId="0" fillId="0" borderId="12" xfId="0" applyBorder="1"/>
    <xf numFmtId="0" fontId="2" fillId="0" borderId="4" xfId="0" applyFont="1" applyBorder="1" applyAlignment="1">
      <alignment horizontal="right"/>
    </xf>
    <xf numFmtId="0" fontId="13" fillId="0" borderId="0" xfId="0" applyFont="1"/>
    <xf numFmtId="0" fontId="14" fillId="0" borderId="0" xfId="0" applyFont="1" applyAlignment="1">
      <alignment horizontal="right"/>
    </xf>
    <xf numFmtId="0" fontId="14" fillId="0" borderId="0" xfId="0" applyFont="1"/>
    <xf numFmtId="0" fontId="18" fillId="0" borderId="0" xfId="0" applyFont="1" applyAlignment="1">
      <alignment horizontal="right"/>
    </xf>
    <xf numFmtId="3" fontId="0" fillId="0" borderId="0" xfId="0" applyNumberFormat="1"/>
    <xf numFmtId="164" fontId="7" fillId="0" borderId="0" xfId="0" applyNumberFormat="1" applyFont="1" applyAlignment="1">
      <alignment horizontal="right"/>
    </xf>
    <xf numFmtId="0" fontId="0" fillId="0" borderId="5" xfId="0" applyBorder="1" applyProtection="1">
      <protection locked="0"/>
    </xf>
    <xf numFmtId="0" fontId="0" fillId="0" borderId="6" xfId="0" applyBorder="1" applyProtection="1">
      <protection locked="0"/>
    </xf>
    <xf numFmtId="0" fontId="0" fillId="0" borderId="7" xfId="0" applyBorder="1" applyProtection="1">
      <protection locked="0"/>
    </xf>
    <xf numFmtId="0" fontId="2" fillId="0" borderId="5" xfId="0" applyFont="1" applyBorder="1" applyProtection="1">
      <protection locked="0"/>
    </xf>
    <xf numFmtId="168" fontId="0" fillId="0" borderId="8" xfId="0" applyNumberFormat="1" applyBorder="1" applyProtection="1">
      <protection locked="0"/>
    </xf>
    <xf numFmtId="0" fontId="0" fillId="0" borderId="9" xfId="0" applyBorder="1" applyProtection="1">
      <protection locked="0"/>
    </xf>
    <xf numFmtId="0" fontId="2" fillId="0" borderId="8" xfId="0" applyFont="1" applyBorder="1" applyProtection="1">
      <protection locked="0"/>
    </xf>
    <xf numFmtId="2" fontId="0" fillId="0" borderId="8" xfId="0" applyNumberFormat="1" applyBorder="1" applyProtection="1">
      <protection locked="0"/>
    </xf>
    <xf numFmtId="1" fontId="2" fillId="0" borderId="8" xfId="0" applyNumberFormat="1" applyFont="1" applyBorder="1" applyProtection="1">
      <protection locked="0"/>
    </xf>
    <xf numFmtId="166" fontId="0" fillId="0" borderId="8" xfId="0" applyNumberFormat="1" applyBorder="1"/>
    <xf numFmtId="0" fontId="19" fillId="0" borderId="5" xfId="0" applyFont="1" applyBorder="1"/>
    <xf numFmtId="0" fontId="18" fillId="0" borderId="6" xfId="0" applyFont="1" applyBorder="1"/>
    <xf numFmtId="0" fontId="19" fillId="0" borderId="7" xfId="0" applyFont="1" applyBorder="1"/>
    <xf numFmtId="0" fontId="19" fillId="0" borderId="0" xfId="0" applyFont="1"/>
    <xf numFmtId="10" fontId="18" fillId="0" borderId="0" xfId="0" applyNumberFormat="1" applyFont="1"/>
    <xf numFmtId="0" fontId="16" fillId="6" borderId="13" xfId="0" applyFont="1" applyFill="1" applyBorder="1" applyAlignment="1">
      <alignment horizontal="center" vertical="center"/>
    </xf>
    <xf numFmtId="0" fontId="16" fillId="6" borderId="13" xfId="0" applyFont="1" applyFill="1" applyBorder="1" applyAlignment="1">
      <alignment horizontal="center" vertical="center" wrapText="1"/>
    </xf>
    <xf numFmtId="0" fontId="16" fillId="6" borderId="13" xfId="0" applyFont="1" applyFill="1" applyBorder="1" applyAlignment="1">
      <alignment horizontal="center" wrapText="1"/>
    </xf>
    <xf numFmtId="0" fontId="20" fillId="0" borderId="0" xfId="0" applyFont="1" applyAlignment="1">
      <alignment vertical="center"/>
    </xf>
    <xf numFmtId="166" fontId="2" fillId="0" borderId="6" xfId="0" applyNumberFormat="1" applyFont="1" applyBorder="1"/>
    <xf numFmtId="1" fontId="0" fillId="0" borderId="6" xfId="0" applyNumberFormat="1" applyBorder="1" applyAlignment="1">
      <alignment horizontal="right"/>
    </xf>
    <xf numFmtId="167" fontId="0" fillId="0" borderId="6" xfId="0" applyNumberFormat="1" applyBorder="1"/>
    <xf numFmtId="166" fontId="2" fillId="0" borderId="11" xfId="0" applyNumberFormat="1" applyFont="1" applyBorder="1"/>
    <xf numFmtId="1" fontId="0" fillId="0" borderId="11" xfId="0" applyNumberFormat="1" applyBorder="1" applyAlignment="1">
      <alignment horizontal="right"/>
    </xf>
    <xf numFmtId="167" fontId="0" fillId="0" borderId="11" xfId="0" applyNumberFormat="1" applyBorder="1"/>
    <xf numFmtId="10" fontId="2" fillId="0" borderId="0" xfId="0" applyNumberFormat="1" applyFont="1"/>
    <xf numFmtId="164" fontId="2" fillId="0" borderId="0" xfId="0" applyNumberFormat="1" applyFont="1" applyAlignment="1">
      <alignment horizontal="right"/>
    </xf>
    <xf numFmtId="0" fontId="0" fillId="0" borderId="1" xfId="0" applyBorder="1" applyAlignment="1">
      <alignment horizontal="right"/>
    </xf>
    <xf numFmtId="0" fontId="0" fillId="0" borderId="8" xfId="0" applyBorder="1" applyAlignment="1">
      <alignment horizontal="right"/>
    </xf>
    <xf numFmtId="1" fontId="19" fillId="0" borderId="0" xfId="0" applyNumberFormat="1" applyFont="1"/>
    <xf numFmtId="0" fontId="19" fillId="0" borderId="0" xfId="0" applyFont="1" applyAlignment="1">
      <alignment horizontal="right"/>
    </xf>
    <xf numFmtId="1" fontId="19" fillId="0" borderId="11" xfId="0" applyNumberFormat="1" applyFont="1" applyBorder="1"/>
    <xf numFmtId="1" fontId="0" fillId="0" borderId="11" xfId="0" applyNumberFormat="1" applyBorder="1"/>
    <xf numFmtId="0" fontId="19" fillId="0" borderId="11" xfId="0" applyFont="1" applyBorder="1" applyAlignment="1">
      <alignment horizontal="right"/>
    </xf>
    <xf numFmtId="166" fontId="19" fillId="0" borderId="0" xfId="0" applyNumberFormat="1" applyFont="1"/>
    <xf numFmtId="0" fontId="2" fillId="7" borderId="0" xfId="0" applyFont="1" applyFill="1"/>
    <xf numFmtId="0" fontId="22" fillId="0" borderId="0" xfId="0" applyFont="1"/>
    <xf numFmtId="0" fontId="23" fillId="0" borderId="0" xfId="0" applyFont="1" applyAlignment="1">
      <alignment vertical="center"/>
    </xf>
    <xf numFmtId="0" fontId="21" fillId="2" borderId="0" xfId="1"/>
    <xf numFmtId="165" fontId="0" fillId="5" borderId="0" xfId="0" applyNumberFormat="1" applyFill="1" applyAlignment="1">
      <alignment horizontal="right"/>
    </xf>
    <xf numFmtId="0" fontId="1" fillId="8" borderId="0" xfId="2" applyAlignment="1">
      <alignment horizontal="left"/>
    </xf>
    <xf numFmtId="0" fontId="21" fillId="9" borderId="0" xfId="3" applyFont="1" applyFill="1" applyAlignment="1">
      <alignment vertical="center" wrapText="1"/>
    </xf>
    <xf numFmtId="0" fontId="25" fillId="0" borderId="0" xfId="3" applyAlignment="1">
      <alignment vertical="center"/>
    </xf>
    <xf numFmtId="0" fontId="25" fillId="0" borderId="0" xfId="3"/>
    <xf numFmtId="164" fontId="25" fillId="0" borderId="0" xfId="3" applyNumberFormat="1"/>
    <xf numFmtId="0" fontId="25" fillId="0" borderId="0" xfId="3" applyAlignment="1">
      <alignment horizontal="right"/>
    </xf>
    <xf numFmtId="0" fontId="25" fillId="0" borderId="0" xfId="3" applyProtection="1">
      <protection locked="0"/>
    </xf>
    <xf numFmtId="1" fontId="25" fillId="0" borderId="0" xfId="3" applyNumberFormat="1" applyProtection="1">
      <protection locked="0"/>
    </xf>
    <xf numFmtId="10" fontId="25" fillId="0" borderId="0" xfId="3" applyNumberFormat="1"/>
    <xf numFmtId="2" fontId="25" fillId="0" borderId="0" xfId="3" applyNumberFormat="1"/>
    <xf numFmtId="0" fontId="24" fillId="0" borderId="0" xfId="3" applyFont="1"/>
    <xf numFmtId="0" fontId="0" fillId="0" borderId="0" xfId="0" applyAlignment="1">
      <alignment horizontal="right" vertical="center"/>
    </xf>
    <xf numFmtId="0" fontId="27" fillId="8" borderId="0" xfId="2" applyFont="1"/>
    <xf numFmtId="0" fontId="24" fillId="0" borderId="0" xfId="0" applyFont="1"/>
    <xf numFmtId="164" fontId="0" fillId="0" borderId="0" xfId="0" applyNumberFormat="1" applyAlignment="1">
      <alignment horizontal="right" vertical="center"/>
    </xf>
    <xf numFmtId="2" fontId="24" fillId="0" borderId="0" xfId="0" applyNumberFormat="1" applyFont="1"/>
    <xf numFmtId="165" fontId="21" fillId="2" borderId="0" xfId="1" applyNumberFormat="1"/>
    <xf numFmtId="165" fontId="5" fillId="0" borderId="0" xfId="0" applyNumberFormat="1" applyFont="1" applyAlignment="1">
      <alignment horizontal="right"/>
    </xf>
    <xf numFmtId="166" fontId="0" fillId="0" borderId="1" xfId="0" applyNumberFormat="1" applyBorder="1" applyAlignment="1">
      <alignment horizontal="right"/>
    </xf>
    <xf numFmtId="166" fontId="0" fillId="0" borderId="0" xfId="0" applyNumberFormat="1" applyAlignment="1">
      <alignment horizontal="right"/>
    </xf>
    <xf numFmtId="0" fontId="23" fillId="0" borderId="0" xfId="0" applyFont="1"/>
    <xf numFmtId="0" fontId="25" fillId="0" borderId="5" xfId="3" applyBorder="1"/>
    <xf numFmtId="0" fontId="25" fillId="0" borderId="6" xfId="3" applyBorder="1"/>
    <xf numFmtId="0" fontId="29" fillId="0" borderId="7" xfId="3" applyFont="1" applyBorder="1" applyAlignment="1">
      <alignment horizontal="right"/>
    </xf>
    <xf numFmtId="0" fontId="27" fillId="8" borderId="9" xfId="2" applyFont="1" applyBorder="1"/>
    <xf numFmtId="0" fontId="24" fillId="0" borderId="9" xfId="0" applyFont="1" applyBorder="1"/>
    <xf numFmtId="0" fontId="30" fillId="0" borderId="8" xfId="3" applyFont="1" applyBorder="1"/>
    <xf numFmtId="0" fontId="24" fillId="0" borderId="0" xfId="0" applyFont="1" applyAlignment="1">
      <alignment horizontal="right" vertical="center"/>
    </xf>
    <xf numFmtId="0" fontId="24" fillId="0" borderId="0" xfId="0" applyFont="1" applyAlignment="1">
      <alignment horizontal="right"/>
    </xf>
    <xf numFmtId="0" fontId="30" fillId="0" borderId="0" xfId="3" applyFont="1" applyAlignment="1">
      <alignment horizontal="right"/>
    </xf>
    <xf numFmtId="0" fontId="30" fillId="0" borderId="0" xfId="3" applyFont="1"/>
    <xf numFmtId="0" fontId="30" fillId="0" borderId="10" xfId="3" applyFont="1" applyBorder="1"/>
    <xf numFmtId="0" fontId="24" fillId="0" borderId="11" xfId="0" applyFont="1" applyBorder="1" applyAlignment="1">
      <alignment horizontal="right" vertical="center"/>
    </xf>
    <xf numFmtId="165" fontId="21" fillId="2" borderId="12" xfId="1" applyNumberFormat="1" applyBorder="1"/>
    <xf numFmtId="2" fontId="31" fillId="0" borderId="0" xfId="3" applyNumberFormat="1" applyFont="1"/>
    <xf numFmtId="2" fontId="2" fillId="0" borderId="9" xfId="0" applyNumberFormat="1" applyFont="1" applyBorder="1"/>
    <xf numFmtId="2" fontId="27" fillId="8" borderId="9" xfId="2" applyNumberFormat="1" applyFont="1" applyBorder="1"/>
    <xf numFmtId="0" fontId="19" fillId="0" borderId="0" xfId="0" applyFont="1" applyAlignment="1">
      <alignment horizontal="right" vertical="center"/>
    </xf>
    <xf numFmtId="0" fontId="19" fillId="0" borderId="9" xfId="0" applyFont="1" applyBorder="1"/>
    <xf numFmtId="0" fontId="32" fillId="0" borderId="0" xfId="3" applyFont="1" applyAlignment="1">
      <alignment horizontal="right"/>
    </xf>
    <xf numFmtId="0" fontId="32" fillId="0" borderId="0" xfId="3" applyFont="1"/>
    <xf numFmtId="0" fontId="32" fillId="0" borderId="9" xfId="3" applyFont="1" applyBorder="1"/>
    <xf numFmtId="2" fontId="32" fillId="0" borderId="0" xfId="3" applyNumberFormat="1" applyFont="1"/>
    <xf numFmtId="1" fontId="32" fillId="0" borderId="0" xfId="3" applyNumberFormat="1" applyFont="1"/>
    <xf numFmtId="1" fontId="2" fillId="0" borderId="8" xfId="0" applyNumberFormat="1" applyFont="1" applyBorder="1"/>
    <xf numFmtId="167" fontId="25" fillId="0" borderId="0" xfId="4" applyNumberFormat="1" applyFont="1"/>
    <xf numFmtId="169" fontId="0" fillId="0" borderId="8" xfId="0" applyNumberFormat="1" applyBorder="1" applyAlignment="1" applyProtection="1">
      <alignment horizontal="right"/>
      <protection locked="0"/>
    </xf>
    <xf numFmtId="169" fontId="2" fillId="0" borderId="8" xfId="0" applyNumberFormat="1" applyFont="1" applyBorder="1" applyProtection="1">
      <protection locked="0"/>
    </xf>
    <xf numFmtId="0" fontId="2" fillId="0" borderId="3" xfId="0" applyFont="1" applyBorder="1" applyAlignment="1">
      <alignment horizontal="left"/>
    </xf>
    <xf numFmtId="2" fontId="19" fillId="0" borderId="0" xfId="0" applyNumberFormat="1" applyFont="1"/>
    <xf numFmtId="0" fontId="34" fillId="0" borderId="0" xfId="0" applyFont="1"/>
    <xf numFmtId="0" fontId="35" fillId="0" borderId="0" xfId="0" applyFont="1"/>
    <xf numFmtId="165" fontId="33" fillId="2" borderId="0" xfId="1" applyNumberFormat="1" applyFont="1"/>
    <xf numFmtId="1" fontId="21" fillId="2" borderId="0" xfId="1" applyNumberFormat="1"/>
    <xf numFmtId="1" fontId="0" fillId="5" borderId="0" xfId="0" applyNumberFormat="1" applyFill="1" applyAlignment="1">
      <alignment horizontal="left" indent="2"/>
    </xf>
    <xf numFmtId="165" fontId="2" fillId="5" borderId="0" xfId="0" applyNumberFormat="1" applyFont="1" applyFill="1" applyAlignment="1">
      <alignment horizontal="right"/>
    </xf>
    <xf numFmtId="170" fontId="0" fillId="0" borderId="0" xfId="5" applyNumberFormat="1" applyFont="1"/>
    <xf numFmtId="0" fontId="36" fillId="0" borderId="6" xfId="0" applyFont="1" applyBorder="1"/>
    <xf numFmtId="0" fontId="2" fillId="0" borderId="6" xfId="0" applyFont="1" applyBorder="1"/>
    <xf numFmtId="0" fontId="2" fillId="0" borderId="11" xfId="0" applyFont="1" applyBorder="1" applyAlignment="1">
      <alignment horizontal="right"/>
    </xf>
    <xf numFmtId="1" fontId="2" fillId="0" borderId="11" xfId="0" applyNumberFormat="1" applyFont="1" applyBorder="1" applyAlignment="1">
      <alignment horizontal="right"/>
    </xf>
    <xf numFmtId="166" fontId="0" fillId="0" borderId="9" xfId="0" applyNumberFormat="1" applyBorder="1"/>
    <xf numFmtId="1" fontId="2" fillId="0" borderId="11" xfId="0" applyNumberFormat="1" applyFont="1" applyBorder="1"/>
    <xf numFmtId="166" fontId="0" fillId="0" borderId="12" xfId="0" applyNumberFormat="1" applyBorder="1"/>
    <xf numFmtId="1" fontId="19" fillId="5" borderId="0" xfId="0" applyNumberFormat="1" applyFont="1" applyFill="1"/>
    <xf numFmtId="1" fontId="19" fillId="5" borderId="11" xfId="0" applyNumberFormat="1" applyFont="1" applyFill="1" applyBorder="1"/>
    <xf numFmtId="166" fontId="19" fillId="5" borderId="0" xfId="0" applyNumberFormat="1" applyFont="1" applyFill="1"/>
    <xf numFmtId="165" fontId="19" fillId="5" borderId="0" xfId="0" applyNumberFormat="1" applyFont="1" applyFill="1"/>
    <xf numFmtId="0" fontId="19" fillId="5" borderId="0" xfId="0" applyFont="1" applyFill="1"/>
    <xf numFmtId="166" fontId="19" fillId="5" borderId="11" xfId="0" applyNumberFormat="1" applyFont="1" applyFill="1" applyBorder="1"/>
    <xf numFmtId="165" fontId="19" fillId="5" borderId="11" xfId="0" applyNumberFormat="1" applyFont="1" applyFill="1" applyBorder="1"/>
    <xf numFmtId="165" fontId="19" fillId="0" borderId="0" xfId="0" applyNumberFormat="1" applyFont="1"/>
    <xf numFmtId="11" fontId="0" fillId="0" borderId="5" xfId="0" applyNumberFormat="1" applyBorder="1"/>
    <xf numFmtId="166" fontId="0" fillId="0" borderId="6" xfId="0" applyNumberFormat="1" applyBorder="1"/>
    <xf numFmtId="0" fontId="0" fillId="0" borderId="14" xfId="0" applyBorder="1" applyAlignment="1">
      <alignment horizontal="right"/>
    </xf>
    <xf numFmtId="0" fontId="0" fillId="0" borderId="15" xfId="0" applyBorder="1" applyAlignment="1">
      <alignment horizontal="right"/>
    </xf>
    <xf numFmtId="0" fontId="2" fillId="7" borderId="8" xfId="0" applyFont="1" applyFill="1" applyBorder="1"/>
    <xf numFmtId="0" fontId="2" fillId="7" borderId="9" xfId="0" applyFont="1" applyFill="1" applyBorder="1"/>
    <xf numFmtId="0" fontId="37" fillId="0" borderId="0" xfId="0" applyFont="1"/>
    <xf numFmtId="10" fontId="38" fillId="0" borderId="0" xfId="0" applyNumberFormat="1" applyFont="1" applyAlignment="1">
      <alignment horizontal="right"/>
    </xf>
    <xf numFmtId="0" fontId="39" fillId="0" borderId="0" xfId="0" applyFont="1"/>
    <xf numFmtId="0" fontId="0" fillId="10" borderId="13" xfId="0" applyFill="1" applyBorder="1" applyAlignment="1">
      <alignment horizontal="center" vertical="center" wrapText="1"/>
    </xf>
    <xf numFmtId="0" fontId="0" fillId="10" borderId="13" xfId="0" applyFill="1" applyBorder="1" applyAlignment="1">
      <alignment horizontal="center" wrapText="1"/>
    </xf>
    <xf numFmtId="0" fontId="0" fillId="11" borderId="13" xfId="0" applyFill="1" applyBorder="1" applyAlignment="1">
      <alignment horizontal="center" vertical="center"/>
    </xf>
    <xf numFmtId="0" fontId="0" fillId="11" borderId="13" xfId="0" applyFill="1" applyBorder="1" applyAlignment="1">
      <alignment horizontal="center" wrapText="1"/>
    </xf>
    <xf numFmtId="0" fontId="16" fillId="11" borderId="13" xfId="0" applyFont="1" applyFill="1" applyBorder="1" applyAlignment="1">
      <alignment horizontal="center"/>
    </xf>
    <xf numFmtId="0" fontId="0" fillId="0" borderId="13" xfId="0" applyBorder="1"/>
    <xf numFmtId="1" fontId="2" fillId="0" borderId="13" xfId="0" applyNumberFormat="1" applyFont="1" applyBorder="1"/>
    <xf numFmtId="0" fontId="0" fillId="12" borderId="13" xfId="0" applyFill="1" applyBorder="1"/>
    <xf numFmtId="166" fontId="0" fillId="13" borderId="13" xfId="0" applyNumberFormat="1" applyFill="1" applyBorder="1"/>
    <xf numFmtId="166" fontId="0" fillId="13" borderId="4" xfId="0" applyNumberFormat="1" applyFill="1" applyBorder="1"/>
    <xf numFmtId="0" fontId="2" fillId="11" borderId="13" xfId="0" applyFont="1" applyFill="1" applyBorder="1" applyAlignment="1">
      <alignment horizontal="center"/>
    </xf>
    <xf numFmtId="0" fontId="2" fillId="11" borderId="13" xfId="0" applyFont="1" applyFill="1" applyBorder="1" applyAlignment="1">
      <alignment horizontal="center" wrapText="1"/>
    </xf>
    <xf numFmtId="0" fontId="0" fillId="11" borderId="13" xfId="0" applyFill="1" applyBorder="1" applyAlignment="1">
      <alignment horizontal="center"/>
    </xf>
    <xf numFmtId="0" fontId="0" fillId="0" borderId="17" xfId="0" applyBorder="1" applyAlignment="1">
      <alignment horizontal="right"/>
    </xf>
    <xf numFmtId="0" fontId="0" fillId="0" borderId="18" xfId="0" applyBorder="1"/>
    <xf numFmtId="0" fontId="0" fillId="0" borderId="19" xfId="0" applyBorder="1" applyAlignment="1">
      <alignment horizontal="right"/>
    </xf>
    <xf numFmtId="0" fontId="0" fillId="0" borderId="20" xfId="0" applyBorder="1"/>
    <xf numFmtId="0" fontId="2" fillId="0" borderId="19" xfId="0" applyFont="1" applyBorder="1" applyAlignment="1">
      <alignment horizontal="right"/>
    </xf>
    <xf numFmtId="0" fontId="0" fillId="0" borderId="19" xfId="0" applyBorder="1"/>
    <xf numFmtId="0" fontId="0" fillId="0" borderId="21" xfId="0" applyBorder="1"/>
    <xf numFmtId="1" fontId="0" fillId="0" borderId="22" xfId="0" applyNumberFormat="1" applyBorder="1"/>
    <xf numFmtId="0" fontId="0" fillId="0" borderId="23" xfId="0" applyBorder="1"/>
    <xf numFmtId="2" fontId="27" fillId="8" borderId="0" xfId="2" applyNumberFormat="1" applyFont="1"/>
    <xf numFmtId="0" fontId="33" fillId="2" borderId="0" xfId="1" applyFont="1"/>
    <xf numFmtId="14" fontId="0" fillId="0" borderId="0" xfId="0" applyNumberFormat="1"/>
    <xf numFmtId="1" fontId="0" fillId="0" borderId="8" xfId="0" applyNumberFormat="1" applyBorder="1" applyProtection="1">
      <protection locked="0"/>
    </xf>
    <xf numFmtId="0" fontId="2" fillId="0" borderId="8" xfId="0" applyFont="1" applyBorder="1"/>
    <xf numFmtId="1" fontId="0" fillId="0" borderId="0" xfId="4" applyNumberFormat="1" applyFont="1"/>
    <xf numFmtId="1" fontId="2" fillId="0" borderId="0" xfId="4" applyNumberFormat="1" applyFont="1"/>
    <xf numFmtId="0" fontId="40" fillId="0" borderId="16" xfId="0" applyFont="1" applyBorder="1" applyAlignment="1">
      <alignment horizontal="left"/>
    </xf>
    <xf numFmtId="0" fontId="1" fillId="8" borderId="17" xfId="2" applyBorder="1" applyAlignment="1">
      <alignment horizontal="right"/>
    </xf>
    <xf numFmtId="0" fontId="0" fillId="0" borderId="19" xfId="0" applyBorder="1" applyAlignment="1">
      <alignment horizontal="left"/>
    </xf>
    <xf numFmtId="2" fontId="2" fillId="0" borderId="0" xfId="0" applyNumberFormat="1" applyFont="1" applyAlignment="1">
      <alignment horizontal="right"/>
    </xf>
    <xf numFmtId="2" fontId="0" fillId="0" borderId="1" xfId="0" applyNumberFormat="1" applyBorder="1" applyAlignment="1">
      <alignment horizontal="right"/>
    </xf>
    <xf numFmtId="0" fontId="2" fillId="0" borderId="16" xfId="0" applyFont="1" applyBorder="1"/>
    <xf numFmtId="0" fontId="0" fillId="0" borderId="17" xfId="0" applyBorder="1"/>
    <xf numFmtId="0" fontId="1" fillId="8" borderId="0" xfId="2" applyBorder="1" applyAlignment="1">
      <alignment horizontal="right"/>
    </xf>
    <xf numFmtId="2" fontId="1" fillId="8" borderId="0" xfId="2" applyNumberFormat="1" applyBorder="1" applyAlignment="1">
      <alignment horizontal="right"/>
    </xf>
    <xf numFmtId="2" fontId="41" fillId="14" borderId="24" xfId="6" applyNumberFormat="1" applyAlignment="1">
      <alignment horizontal="right"/>
    </xf>
    <xf numFmtId="166" fontId="41" fillId="14" borderId="24" xfId="6" applyNumberFormat="1" applyAlignment="1">
      <alignment horizontal="right"/>
    </xf>
    <xf numFmtId="0" fontId="0" fillId="0" borderId="22" xfId="0" applyBorder="1"/>
    <xf numFmtId="0" fontId="28" fillId="0" borderId="0" xfId="0" applyFont="1" applyAlignment="1">
      <alignment horizontal="left" vertical="center"/>
    </xf>
    <xf numFmtId="0" fontId="10" fillId="0" borderId="0" xfId="0" applyFont="1" applyAlignment="1">
      <alignment horizontal="left" vertical="center"/>
    </xf>
    <xf numFmtId="0" fontId="0" fillId="5" borderId="0" xfId="0" applyFill="1" applyAlignment="1">
      <alignment vertical="center" wrapText="1"/>
    </xf>
    <xf numFmtId="0" fontId="0" fillId="0" borderId="0" xfId="0" applyAlignment="1">
      <alignment vertical="center" wrapText="1"/>
    </xf>
    <xf numFmtId="0" fontId="16" fillId="6" borderId="13" xfId="0" applyFont="1" applyFill="1" applyBorder="1" applyAlignment="1">
      <alignment horizontal="center"/>
    </xf>
    <xf numFmtId="0" fontId="0" fillId="6" borderId="13" xfId="0" applyFill="1" applyBorder="1" applyAlignment="1">
      <alignment wrapText="1"/>
    </xf>
    <xf numFmtId="0" fontId="4" fillId="0" borderId="0" xfId="0" applyFont="1" applyAlignment="1">
      <alignment horizontal="left" vertical="center" wrapText="1"/>
    </xf>
    <xf numFmtId="0" fontId="25" fillId="0" borderId="0" xfId="3" applyAlignment="1">
      <alignment vertical="center"/>
    </xf>
    <xf numFmtId="0" fontId="23" fillId="0" borderId="0" xfId="3" applyFont="1" applyAlignment="1">
      <alignment vertical="center" wrapText="1"/>
    </xf>
  </cellXfs>
  <cellStyles count="7">
    <cellStyle name="20% - Accent2" xfId="2" builtinId="34"/>
    <cellStyle name="Calculation" xfId="6" builtinId="22"/>
    <cellStyle name="Comma" xfId="5" builtinId="3"/>
    <cellStyle name="Good" xfId="1" xr:uid="{00000000-0005-0000-0000-000006000000}"/>
    <cellStyle name="Normal" xfId="0" builtinId="0"/>
    <cellStyle name="Normal 2" xfId="3" xr:uid="{48199EE9-B511-4A7E-91E4-245AB0BD3603}"/>
    <cellStyle name="Percent" xfId="4" builtinId="5"/>
  </cellStyles>
  <dxfs count="4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s>
  <tableStyles count="0" defaultTableStyle="TableStyleMedium2" defaultPivotStyle="PivotStyleLight16"/>
  <colors>
    <indexedColors>
      <rgbColor rgb="FF000000"/>
      <rgbColor rgb="FFFFFFFF"/>
      <rgbColor rgb="FFCC0000"/>
      <rgbColor rgb="FF00FF00"/>
      <rgbColor rgb="FF0000FF"/>
      <rgbColor rgb="FFFFFF00"/>
      <rgbColor rgb="FFFF00FF"/>
      <rgbColor rgb="FF00FFFF"/>
      <rgbColor rgb="FF800000"/>
      <rgbColor rgb="FF006600"/>
      <rgbColor rgb="FF000080"/>
      <rgbColor rgb="FF808000"/>
      <rgbColor rgb="FF800080"/>
      <rgbColor rgb="FF008080"/>
      <rgbColor rgb="FFC0C0C0"/>
      <rgbColor rgb="FF808080"/>
      <rgbColor rgb="FF9999FF"/>
      <rgbColor rgb="FF993366"/>
      <rgbColor rgb="FFE7E7E7"/>
      <rgbColor rgb="FFE0FFFF"/>
      <rgbColor rgb="FF660066"/>
      <rgbColor rgb="FFFF420E"/>
      <rgbColor rgb="FF0066CC"/>
      <rgbColor rgb="FFD3D3D3"/>
      <rgbColor rgb="FF000080"/>
      <rgbColor rgb="FFFF00FF"/>
      <rgbColor rgb="FFFFFF00"/>
      <rgbColor rgb="FF00FFFF"/>
      <rgbColor rgb="FF800080"/>
      <rgbColor rgb="FF800000"/>
      <rgbColor rgb="FF008080"/>
      <rgbColor rgb="FF0000FF"/>
      <rgbColor rgb="FF00CCFF"/>
      <rgbColor rgb="FFCCF4C6"/>
      <rgbColor rgb="FFCCFFCC"/>
      <rgbColor rgb="FFFFFF99"/>
      <rgbColor rgb="FF99CCFF"/>
      <rgbColor rgb="FFDDDDDD"/>
      <rgbColor rgb="FFD9D9D9"/>
      <rgbColor rgb="FFFFCCCC"/>
      <rgbColor rgb="FF3366FF"/>
      <rgbColor rgb="FF33CCCC"/>
      <rgbColor rgb="FF99CC00"/>
      <rgbColor rgb="FFFFD320"/>
      <rgbColor rgb="FFFF9900"/>
      <rgbColor rgb="FFFC5C00"/>
      <rgbColor rgb="FF666699"/>
      <rgbColor rgb="FFB3B3B3"/>
      <rgbColor rgb="FF004586"/>
      <rgbColor rgb="FF579D1C"/>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tx>
            <c:v>Counts</c:v>
          </c:tx>
          <c:spPr>
            <a:ln w="28800">
              <a:solidFill>
                <a:srgbClr val="004586"/>
              </a:solidFill>
              <a:prstDash val="sysDot"/>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B'!$G$32:$G$47</c:f>
              <c:numCache>
                <c:formatCode>0</c:formatCode>
                <c:ptCount val="16"/>
                <c:pt idx="0" formatCode="General">
                  <c:v>1</c:v>
                </c:pt>
                <c:pt idx="1">
                  <c:v>2390.6996093999996</c:v>
                </c:pt>
                <c:pt idx="2">
                  <c:v>4695.9022462000003</c:v>
                </c:pt>
                <c:pt idx="3">
                  <c:v>6657.1354492</c:v>
                </c:pt>
                <c:pt idx="4">
                  <c:v>8702.9433594000002</c:v>
                </c:pt>
                <c:pt idx="5">
                  <c:v>10595.591211200001</c:v>
                </c:pt>
                <c:pt idx="6">
                  <c:v>12469.3638672</c:v>
                </c:pt>
                <c:pt idx="7">
                  <c:v>14291.721093999999</c:v>
                </c:pt>
                <c:pt idx="8">
                  <c:v>15812.914258000001</c:v>
                </c:pt>
                <c:pt idx="9">
                  <c:v>17216.896874999999</c:v>
                </c:pt>
                <c:pt idx="10">
                  <c:v>18637.5695314</c:v>
                </c:pt>
                <c:pt idx="11">
                  <c:v>19836.311718599998</c:v>
                </c:pt>
                <c:pt idx="12">
                  <c:v>21232.237500199997</c:v>
                </c:pt>
                <c:pt idx="13">
                  <c:v>22068.1945314</c:v>
                </c:pt>
                <c:pt idx="14">
                  <c:v>23504.204687199999</c:v>
                </c:pt>
                <c:pt idx="15">
                  <c:v>24328.89453125</c:v>
                </c:pt>
              </c:numCache>
            </c:numRef>
          </c:yVal>
          <c:smooth val="0"/>
          <c:extLst>
            <c:ext xmlns:c16="http://schemas.microsoft.com/office/drawing/2014/chart" uri="{C3380CC4-5D6E-409C-BE32-E72D297353CC}">
              <c16:uniqueId val="{00000000-1FDD-4736-AEC2-21B3CD8468F9}"/>
            </c:ext>
          </c:extLst>
        </c:ser>
        <c:ser>
          <c:idx val="1"/>
          <c:order val="1"/>
          <c:tx>
            <c:v>Corrected</c:v>
          </c:tx>
          <c:spPr>
            <a:ln w="14400">
              <a:solidFill>
                <a:srgbClr val="579D1C"/>
              </a:solidFill>
              <a:round/>
            </a:ln>
          </c:spPr>
          <c:marker>
            <c:symbol val="triangle"/>
            <c:size val="2"/>
            <c:spPr>
              <a:solidFill>
                <a:srgbClr val="579D1C"/>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B'!$L$32:$L$50</c:f>
              <c:numCache>
                <c:formatCode>0</c:formatCode>
                <c:ptCount val="19"/>
                <c:pt idx="0">
                  <c:v>1.0000000005759999</c:v>
                </c:pt>
                <c:pt idx="1">
                  <c:v>2398.5700222663395</c:v>
                </c:pt>
                <c:pt idx="2">
                  <c:v>4755.5480130437827</c:v>
                </c:pt>
                <c:pt idx="3">
                  <c:v>6827.0711643905997</c:v>
                </c:pt>
                <c:pt idx="4">
                  <c:v>9082.6261864607659</c:v>
                </c:pt>
                <c:pt idx="5">
                  <c:v>11280.760781213416</c:v>
                </c:pt>
                <c:pt idx="6">
                  <c:v>13586.112367950431</c:v>
                </c:pt>
                <c:pt idx="7">
                  <c:v>15973.140595703841</c:v>
                </c:pt>
                <c:pt idx="8">
                  <c:v>18090.413450436277</c:v>
                </c:pt>
                <c:pt idx="9">
                  <c:v>20156.489288577817</c:v>
                </c:pt>
                <c:pt idx="10">
                  <c:v>22366.551758892947</c:v>
                </c:pt>
                <c:pt idx="11">
                  <c:v>24332.093847828419</c:v>
                </c:pt>
                <c:pt idx="12">
                  <c:v>26745.51400377302</c:v>
                </c:pt>
                <c:pt idx="13">
                  <c:v>28258.654139981289</c:v>
                </c:pt>
                <c:pt idx="14">
                  <c:v>30983.473887706379</c:v>
                </c:pt>
                <c:pt idx="15">
                  <c:v>32623.383052753186</c:v>
                </c:pt>
              </c:numCache>
            </c:numRef>
          </c:yVal>
          <c:smooth val="0"/>
          <c:extLst>
            <c:ext xmlns:c16="http://schemas.microsoft.com/office/drawing/2014/chart" uri="{C3380CC4-5D6E-409C-BE32-E72D297353CC}">
              <c16:uniqueId val="{00000001-1FDD-4736-AEC2-21B3CD8468F9}"/>
            </c:ext>
          </c:extLst>
        </c:ser>
        <c:ser>
          <c:idx val="2"/>
          <c:order val="2"/>
          <c:tx>
            <c:v>95%</c:v>
          </c:tx>
          <c:spPr>
            <a:ln w="14400">
              <a:solidFill>
                <a:srgbClr val="FFD320"/>
              </a:solidFill>
              <a:round/>
            </a:ln>
          </c:spPr>
          <c:marker>
            <c:symbol val="triangle"/>
            <c:size val="2"/>
            <c:spPr>
              <a:solidFill>
                <a:srgbClr val="FFD320"/>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B'!$K$32:$K$47</c:f>
              <c:numCache>
                <c:formatCode>0</c:formatCode>
                <c:ptCount val="16"/>
                <c:pt idx="0" formatCode="General">
                  <c:v>0.95</c:v>
                </c:pt>
                <c:pt idx="1">
                  <c:v>2109.4878031006865</c:v>
                </c:pt>
                <c:pt idx="2">
                  <c:v>4217.6385686671674</c:v>
                </c:pt>
                <c:pt idx="3">
                  <c:v>6324.4535674602985</c:v>
                </c:pt>
                <c:pt idx="4">
                  <c:v>8429.9340686310843</c:v>
                </c:pt>
                <c:pt idx="5">
                  <c:v>10534.081339723229</c:v>
                </c:pt>
                <c:pt idx="6">
                  <c:v>12636.896646675683</c:v>
                </c:pt>
                <c:pt idx="7">
                  <c:v>14738.381253825175</c:v>
                </c:pt>
                <c:pt idx="8">
                  <c:v>16838.536423908747</c:v>
                </c:pt>
                <c:pt idx="9">
                  <c:v>18937.363418066292</c:v>
                </c:pt>
                <c:pt idx="10">
                  <c:v>21034.863495843063</c:v>
                </c:pt>
                <c:pt idx="11">
                  <c:v>23131.037915192213</c:v>
                </c:pt>
                <c:pt idx="12">
                  <c:v>25225.887932477293</c:v>
                </c:pt>
                <c:pt idx="13">
                  <c:v>27319.41480247477</c:v>
                </c:pt>
                <c:pt idx="14">
                  <c:v>29411.61977837652</c:v>
                </c:pt>
                <c:pt idx="15">
                  <c:v>31502.504111792339</c:v>
                </c:pt>
              </c:numCache>
            </c:numRef>
          </c:yVal>
          <c:smooth val="0"/>
          <c:extLst>
            <c:ext xmlns:c16="http://schemas.microsoft.com/office/drawing/2014/chart" uri="{C3380CC4-5D6E-409C-BE32-E72D297353CC}">
              <c16:uniqueId val="{00000002-1FDD-4736-AEC2-21B3CD8468F9}"/>
            </c:ext>
          </c:extLst>
        </c:ser>
        <c:ser>
          <c:idx val="3"/>
          <c:order val="3"/>
          <c:tx>
            <c:v>0-40% Regression Line</c:v>
          </c:tx>
          <c:spPr>
            <a:ln w="14400">
              <a:solidFill>
                <a:srgbClr val="FF420E"/>
              </a:solidFill>
              <a:round/>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B'!$I$32:$I$47</c:f>
              <c:numCache>
                <c:formatCode>0</c:formatCode>
                <c:ptCount val="16"/>
                <c:pt idx="0" formatCode="General">
                  <c:v>1</c:v>
                </c:pt>
                <c:pt idx="1">
                  <c:v>2220.513476948091</c:v>
                </c:pt>
                <c:pt idx="2">
                  <c:v>4439.61954596544</c:v>
                </c:pt>
                <c:pt idx="3">
                  <c:v>6657.3195446950513</c:v>
                </c:pt>
                <c:pt idx="4">
                  <c:v>8873.614809085353</c:v>
                </c:pt>
                <c:pt idx="5">
                  <c:v>11088.506673392872</c:v>
                </c:pt>
                <c:pt idx="6">
                  <c:v>13301.996470184929</c:v>
                </c:pt>
                <c:pt idx="7">
                  <c:v>15514.08553034229</c:v>
                </c:pt>
                <c:pt idx="8">
                  <c:v>17724.77518306184</c:v>
                </c:pt>
                <c:pt idx="9">
                  <c:v>19934.066755859254</c:v>
                </c:pt>
                <c:pt idx="10">
                  <c:v>22141.961574571647</c:v>
                </c:pt>
                <c:pt idx="11">
                  <c:v>24348.460963360227</c:v>
                </c:pt>
                <c:pt idx="12">
                  <c:v>26553.56624471294</c:v>
                </c:pt>
                <c:pt idx="13">
                  <c:v>28757.278739447127</c:v>
                </c:pt>
                <c:pt idx="14">
                  <c:v>30959.599766712126</c:v>
                </c:pt>
                <c:pt idx="15">
                  <c:v>33160.530643991937</c:v>
                </c:pt>
              </c:numCache>
            </c:numRef>
          </c:yVal>
          <c:smooth val="0"/>
          <c:extLst>
            <c:ext xmlns:c16="http://schemas.microsoft.com/office/drawing/2014/chart" uri="{C3380CC4-5D6E-409C-BE32-E72D297353CC}">
              <c16:uniqueId val="{00000003-1FDD-4736-AEC2-21B3CD8468F9}"/>
            </c:ext>
          </c:extLst>
        </c:ser>
        <c:dLbls>
          <c:showLegendKey val="0"/>
          <c:showVal val="0"/>
          <c:showCatName val="0"/>
          <c:showSerName val="0"/>
          <c:showPercent val="0"/>
          <c:showBubbleSize val="0"/>
        </c:dLbls>
        <c:axId val="4946740"/>
        <c:axId val="67844755"/>
      </c:scatterChart>
      <c:valAx>
        <c:axId val="4946740"/>
        <c:scaling>
          <c:orientation val="minMax"/>
        </c:scaling>
        <c:delete val="0"/>
        <c:axPos val="b"/>
        <c:title>
          <c:tx>
            <c:rich>
              <a:bodyPr rot="0"/>
              <a:lstStyle/>
              <a:p>
                <a:pPr>
                  <a:defRPr sz="900" b="0" strike="noStrike" spc="-1">
                    <a:latin typeface="Arial"/>
                  </a:defRPr>
                </a:pPr>
                <a:r>
                  <a:rPr lang="en-GB" sz="900" b="0" strike="noStrike" spc="-1">
                    <a:latin typeface="Arial"/>
                  </a:rPr>
                  <a:t>RM8632a mg/l</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67844755"/>
        <c:crosses val="autoZero"/>
        <c:crossBetween val="midCat"/>
      </c:valAx>
      <c:valAx>
        <c:axId val="67844755"/>
        <c:scaling>
          <c:orientation val="minMax"/>
        </c:scaling>
        <c:delete val="0"/>
        <c:axPos val="l"/>
        <c:majorGridlines>
          <c:spPr>
            <a:ln w="0">
              <a:solidFill>
                <a:srgbClr val="B3B3B3"/>
              </a:solidFill>
            </a:ln>
          </c:spPr>
        </c:majorGridlines>
        <c:title>
          <c:tx>
            <c:rich>
              <a:bodyPr rot="-5400000"/>
              <a:lstStyle/>
              <a:p>
                <a:pPr>
                  <a:defRPr sz="900" b="0" strike="noStrike" spc="-1">
                    <a:latin typeface="Arial"/>
                  </a:defRPr>
                </a:pPr>
                <a:r>
                  <a:rPr lang="en-GB" sz="900" b="0" strike="noStrike" spc="-1">
                    <a:latin typeface="Arial"/>
                  </a:rPr>
                  <a:t>count / 100ml</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4946740"/>
        <c:crosses val="autoZero"/>
        <c:crossBetween val="midCat"/>
      </c:valAx>
      <c:spPr>
        <a:noFill/>
        <a:ln w="0">
          <a:solidFill>
            <a:srgbClr val="B3B3B3"/>
          </a:solidFill>
        </a:ln>
      </c:spPr>
    </c:plotArea>
    <c:legend>
      <c:legendPos val="r"/>
      <c:layout>
        <c:manualLayout>
          <c:xMode val="edge"/>
          <c:yMode val="edge"/>
          <c:x val="0.69238476953907802"/>
          <c:y val="0.48556430446194199"/>
          <c:w val="0.22525155525865301"/>
          <c:h val="0.13642627468994001"/>
        </c:manualLayout>
      </c:layout>
      <c:overlay val="1"/>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300" b="0" strike="noStrike" spc="-1">
                <a:latin typeface="Arial"/>
              </a:defRPr>
            </a:pPr>
            <a:r>
              <a:rPr lang="en-GB" sz="1300" b="0" strike="noStrike" spc="-1">
                <a:latin typeface="Arial"/>
              </a:rPr>
              <a:t>Fraction of Expected Counts
Based on extrapolating 0-40% linear regression fit</a:t>
            </a:r>
          </a:p>
        </c:rich>
      </c:tx>
      <c:overlay val="0"/>
      <c:spPr>
        <a:noFill/>
        <a:ln w="0">
          <a:noFill/>
        </a:ln>
      </c:spPr>
    </c:title>
    <c:autoTitleDeleted val="0"/>
    <c:plotArea>
      <c:layout/>
      <c:scatterChart>
        <c:scatterStyle val="lineMarker"/>
        <c:varyColors val="0"/>
        <c:ser>
          <c:idx val="0"/>
          <c:order val="0"/>
          <c:tx>
            <c:v>Expected</c:v>
          </c:tx>
          <c:spPr>
            <a:ln w="14400">
              <a:solidFill>
                <a:srgbClr val="004586"/>
              </a:solidFill>
              <a:round/>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Lit>
              <c:formatCode>General</c:formatCode>
              <c:ptCount val="1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numLit>
          </c:yVal>
          <c:smooth val="0"/>
          <c:extLst>
            <c:ext xmlns:c16="http://schemas.microsoft.com/office/drawing/2014/chart" uri="{C3380CC4-5D6E-409C-BE32-E72D297353CC}">
              <c16:uniqueId val="{00000000-1B0D-452F-8008-8FC63C7CF079}"/>
            </c:ext>
          </c:extLst>
        </c:ser>
        <c:ser>
          <c:idx val="1"/>
          <c:order val="1"/>
          <c:tx>
            <c:v>Count Fraction</c:v>
          </c:tx>
          <c:spPr>
            <a:ln w="14400">
              <a:solidFill>
                <a:srgbClr val="FF420E"/>
              </a:solidFill>
              <a:round/>
            </a:ln>
          </c:spPr>
          <c:marker>
            <c:symbol val="diamond"/>
            <c:size val="2"/>
            <c:spPr>
              <a:solidFill>
                <a:srgbClr val="FF420E"/>
              </a:solidFill>
            </c:spPr>
          </c:marker>
          <c:dPt>
            <c:idx val="10"/>
            <c:bubble3D val="0"/>
            <c:extLst>
              <c:ext xmlns:c16="http://schemas.microsoft.com/office/drawing/2014/chart" uri="{C3380CC4-5D6E-409C-BE32-E72D297353CC}">
                <c16:uniqueId val="{00000001-1B0D-452F-8008-8FC63C7CF079}"/>
              </c:ext>
            </c:extLst>
          </c:dPt>
          <c:dLbls>
            <c:dLbl>
              <c:idx val="10"/>
              <c:spPr/>
              <c:txPr>
                <a:bodyPr wrap="none"/>
                <a:lstStyle/>
                <a:p>
                  <a:pPr>
                    <a:defRPr sz="1000" b="0" strike="noStrike" spc="-1">
                      <a:latin typeface="Arial"/>
                    </a:defRPr>
                  </a:pPr>
                  <a:endParaRPr lang="en-US"/>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1B0D-452F-8008-8FC63C7CF079}"/>
                </c:ext>
              </c:extLst>
            </c:dLbl>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Ref>
              <c:f>'Annex B'!$J$32:$J$47</c:f>
              <c:numCache>
                <c:formatCode>0.00</c:formatCode>
                <c:ptCount val="16"/>
                <c:pt idx="0" formatCode="General">
                  <c:v>1</c:v>
                </c:pt>
                <c:pt idx="1">
                  <c:v>1.0766426928810247</c:v>
                </c:pt>
                <c:pt idx="2">
                  <c:v>1.0577262753218257</c:v>
                </c:pt>
                <c:pt idx="3">
                  <c:v>0.99997234690421344</c:v>
                </c:pt>
                <c:pt idx="4">
                  <c:v>0.98076641218293481</c:v>
                </c:pt>
                <c:pt idx="5">
                  <c:v>0.95554717359952224</c:v>
                </c:pt>
                <c:pt idx="6">
                  <c:v>0.93740544099141876</c:v>
                </c:pt>
                <c:pt idx="7">
                  <c:v>0.92120937879634579</c:v>
                </c:pt>
                <c:pt idx="8">
                  <c:v>0.89213623838293576</c:v>
                </c:pt>
                <c:pt idx="9">
                  <c:v>0.86369214500294611</c:v>
                </c:pt>
                <c:pt idx="10">
                  <c:v>0.84173073233059104</c:v>
                </c:pt>
                <c:pt idx="11">
                  <c:v>0.81468441674608716</c:v>
                </c:pt>
                <c:pt idx="12">
                  <c:v>0.79960022335709924</c:v>
                </c:pt>
                <c:pt idx="13">
                  <c:v>0.76739509086888913</c:v>
                </c:pt>
                <c:pt idx="14">
                  <c:v>0.75918955232980123</c:v>
                </c:pt>
                <c:pt idx="15">
                  <c:v>0.73367024166297345</c:v>
                </c:pt>
              </c:numCache>
            </c:numRef>
          </c:yVal>
          <c:smooth val="0"/>
          <c:extLst>
            <c:ext xmlns:c16="http://schemas.microsoft.com/office/drawing/2014/chart" uri="{C3380CC4-5D6E-409C-BE32-E72D297353CC}">
              <c16:uniqueId val="{00000002-1B0D-452F-8008-8FC63C7CF079}"/>
            </c:ext>
          </c:extLst>
        </c:ser>
        <c:ser>
          <c:idx val="2"/>
          <c:order val="2"/>
          <c:tx>
            <c:v>Corrected</c:v>
          </c:tx>
          <c:dPt>
            <c:idx val="8"/>
            <c:marker>
              <c:spPr>
                <a:solidFill>
                  <a:schemeClr val="accent2"/>
                </a:solidFill>
              </c:spPr>
            </c:marker>
            <c:bubble3D val="0"/>
            <c:extLst>
              <c:ext xmlns:c16="http://schemas.microsoft.com/office/drawing/2014/chart" uri="{C3380CC4-5D6E-409C-BE32-E72D297353CC}">
                <c16:uniqueId val="{00000002-2E67-4A3A-A02A-3B5A9D0FCF8B}"/>
              </c:ext>
            </c:extLst>
          </c:dPt>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Ref>
              <c:f>'Annex B'!$M$32:$M$47</c:f>
              <c:numCache>
                <c:formatCode>0.000</c:formatCode>
                <c:ptCount val="16"/>
                <c:pt idx="0">
                  <c:v>1</c:v>
                </c:pt>
                <c:pt idx="1">
                  <c:v>1.080187104094037</c:v>
                </c:pt>
                <c:pt idx="2">
                  <c:v>1.0711611577990836</c:v>
                </c:pt>
                <c:pt idx="3">
                  <c:v>1.0254984935837752</c:v>
                </c:pt>
                <c:pt idx="4">
                  <c:v>1.0235542540297573</c:v>
                </c:pt>
                <c:pt idx="5">
                  <c:v>1.0173381424102725</c:v>
                </c:pt>
                <c:pt idx="6">
                  <c:v>1.0213588913816296</c:v>
                </c:pt>
                <c:pt idx="7">
                  <c:v>1.0295895664919299</c:v>
                </c:pt>
                <c:pt idx="8">
                  <c:v>1.0206286547275278</c:v>
                </c:pt>
                <c:pt idx="9">
                  <c:v>1.0111579104977757</c:v>
                </c:pt>
                <c:pt idx="10">
                  <c:v>1.0101431927593634</c:v>
                </c:pt>
                <c:pt idx="11">
                  <c:v>0.99932779671140459</c:v>
                </c:pt>
                <c:pt idx="12">
                  <c:v>1.0072286998021707</c:v>
                </c:pt>
                <c:pt idx="13">
                  <c:v>0.98266092546573747</c:v>
                </c:pt>
                <c:pt idx="14">
                  <c:v>1.0007711379079236</c:v>
                </c:pt>
                <c:pt idx="15">
                  <c:v>0.98380159844227122</c:v>
                </c:pt>
              </c:numCache>
            </c:numRef>
          </c:yVal>
          <c:smooth val="0"/>
          <c:extLst>
            <c:ext xmlns:c16="http://schemas.microsoft.com/office/drawing/2014/chart" uri="{C3380CC4-5D6E-409C-BE32-E72D297353CC}">
              <c16:uniqueId val="{00000001-2E67-4A3A-A02A-3B5A9D0FCF8B}"/>
            </c:ext>
          </c:extLst>
        </c:ser>
        <c:dLbls>
          <c:showLegendKey val="0"/>
          <c:showVal val="0"/>
          <c:showCatName val="0"/>
          <c:showSerName val="0"/>
          <c:showPercent val="0"/>
          <c:showBubbleSize val="0"/>
        </c:dLbls>
        <c:axId val="27386401"/>
        <c:axId val="94820767"/>
      </c:scatterChart>
      <c:valAx>
        <c:axId val="27386401"/>
        <c:scaling>
          <c:orientation val="minMax"/>
        </c:scaling>
        <c:delete val="0"/>
        <c:axPos val="b"/>
        <c:majorGridlines>
          <c:spPr>
            <a:ln w="0">
              <a:solidFill>
                <a:srgbClr val="B3B3B3"/>
              </a:solidFill>
            </a:ln>
          </c:spPr>
        </c:majorGridlines>
        <c:title>
          <c:tx>
            <c:rich>
              <a:bodyPr rot="0"/>
              <a:lstStyle/>
              <a:p>
                <a:pPr>
                  <a:defRPr sz="900" b="0" strike="noStrike" spc="-1">
                    <a:latin typeface="Arial"/>
                  </a:defRPr>
                </a:pPr>
                <a:r>
                  <a:rPr lang="en-GB" sz="900" b="0" strike="noStrike" spc="-1">
                    <a:latin typeface="Arial"/>
                  </a:rPr>
                  <a:t>Count</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94820767"/>
        <c:crosses val="autoZero"/>
        <c:crossBetween val="between"/>
      </c:valAx>
      <c:valAx>
        <c:axId val="94820767"/>
        <c:scaling>
          <c:orientation val="minMax"/>
          <c:max val="1.2"/>
          <c:min val="0.8"/>
        </c:scaling>
        <c:delete val="0"/>
        <c:axPos val="l"/>
        <c:majorGridlines>
          <c:spPr>
            <a:ln w="0">
              <a:solidFill>
                <a:srgbClr val="B3B3B3"/>
              </a:solidFill>
            </a:ln>
          </c:spPr>
        </c:majorGridlines>
        <c:title>
          <c:tx>
            <c:rich>
              <a:bodyPr rot="-5400000"/>
              <a:lstStyle/>
              <a:p>
                <a:pPr>
                  <a:defRPr sz="900" b="0" strike="noStrike" spc="-1">
                    <a:latin typeface="Arial"/>
                  </a:defRPr>
                </a:pPr>
                <a:r>
                  <a:rPr lang="en-GB" sz="900" b="0" strike="noStrike" spc="-1">
                    <a:latin typeface="Arial"/>
                  </a:rPr>
                  <a:t>Fraction</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7386401"/>
        <c:crosses val="autoZero"/>
        <c:crossBetween val="between"/>
        <c:majorUnit val="0.05"/>
      </c:valAx>
      <c:spPr>
        <a:noFill/>
        <a:ln w="0">
          <a:solidFill>
            <a:srgbClr val="B3B3B3"/>
          </a:solidFill>
        </a:ln>
      </c:spPr>
    </c:plotArea>
    <c:legend>
      <c:legendPos val="r"/>
      <c:layout>
        <c:manualLayout>
          <c:xMode val="edge"/>
          <c:yMode val="edge"/>
          <c:x val="0.68809278097203797"/>
          <c:y val="0.57661263862458201"/>
          <c:w val="0.21220700445864968"/>
          <c:h val="0.15351394723736575"/>
        </c:manualLayout>
      </c:layout>
      <c:overlay val="1"/>
      <c:spPr>
        <a:solidFill>
          <a:srgbClr val="D9D9D9">
            <a:alpha val="50000"/>
          </a:srgbClr>
        </a:solidFill>
        <a:ln w="0">
          <a:solidFill>
            <a:srgbClr val="000000"/>
          </a:solid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56.373774227433159</c:v>
                </c:pt>
                <c:pt idx="1">
                  <c:v>93.378383844046169</c:v>
                </c:pt>
                <c:pt idx="2">
                  <c:v>146.20388070254046</c:v>
                </c:pt>
                <c:pt idx="3">
                  <c:v>209.21288607751393</c:v>
                </c:pt>
                <c:pt idx="4">
                  <c:v>273.51327940883493</c:v>
                </c:pt>
                <c:pt idx="5">
                  <c:v>348.98971315768063</c:v>
                </c:pt>
                <c:pt idx="6">
                  <c:v>439.28325476561304</c:v>
                </c:pt>
                <c:pt idx="7">
                  <c:v>536.93474276608208</c:v>
                </c:pt>
                <c:pt idx="8">
                  <c:v>635.53211445242027</c:v>
                </c:pt>
                <c:pt idx="9">
                  <c:v>741.4037911810334</c:v>
                </c:pt>
                <c:pt idx="10">
                  <c:v>854.86318962192752</c:v>
                </c:pt>
                <c:pt idx="11">
                  <c:v>971.34961616754288</c:v>
                </c:pt>
                <c:pt idx="12">
                  <c:v>1088.6802599175317</c:v>
                </c:pt>
                <c:pt idx="13">
                  <c:v>1206.8995893566339</c:v>
                </c:pt>
                <c:pt idx="14">
                  <c:v>1329.4008916497762</c:v>
                </c:pt>
                <c:pt idx="15">
                  <c:v>1461.1650125488532</c:v>
                </c:pt>
                <c:pt idx="16">
                  <c:v>1612.139624642843</c:v>
                </c:pt>
                <c:pt idx="17">
                  <c:v>1797.7737378078068</c:v>
                </c:pt>
                <c:pt idx="18">
                  <c:v>1991.1778011423148</c:v>
                </c:pt>
                <c:pt idx="19">
                  <c:v>2200.058555676017</c:v>
                </c:pt>
                <c:pt idx="20">
                  <c:v>2450.3878526020053</c:v>
                </c:pt>
                <c:pt idx="21">
                  <c:v>2721.976847191856</c:v>
                </c:pt>
                <c:pt idx="22">
                  <c:v>3002.6569572390699</c:v>
                </c:pt>
                <c:pt idx="23">
                  <c:v>3304.9038617650303</c:v>
                </c:pt>
                <c:pt idx="24">
                  <c:v>3629.2172924134729</c:v>
                </c:pt>
                <c:pt idx="25">
                  <c:v>3986.7456517223354</c:v>
                </c:pt>
                <c:pt idx="26">
                  <c:v>4411.6231647171353</c:v>
                </c:pt>
                <c:pt idx="27">
                  <c:v>17889.525787712497</c:v>
                </c:pt>
                <c:pt idx="28">
                  <c:v>15611.845410610362</c:v>
                </c:pt>
                <c:pt idx="29">
                  <c:v>25000.000000000018</c:v>
                </c:pt>
              </c:numCache>
            </c:numRef>
          </c:yVal>
          <c:smooth val="1"/>
          <c:extLst>
            <c:ext xmlns:c16="http://schemas.microsoft.com/office/drawing/2014/chart" uri="{C3380CC4-5D6E-409C-BE32-E72D297353CC}">
              <c16:uniqueId val="{00000000-CBB9-413C-A033-6E66CAEE39EC}"/>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'Annex D'!$M$1</c:f>
              <c:strCache>
                <c:ptCount val="1"/>
                <c:pt idx="0">
                  <c:v>count</c:v>
                </c:pt>
              </c:strCache>
            </c:strRef>
          </c:tx>
          <c:spPr>
            <a:ln w="28800">
              <a:noFill/>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D'!$M$2:$M$1002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37</c:v>
                </c:pt>
                <c:pt idx="143">
                  <c:v>36</c:v>
                </c:pt>
                <c:pt idx="144">
                  <c:v>38</c:v>
                </c:pt>
                <c:pt idx="145">
                  <c:v>42</c:v>
                </c:pt>
                <c:pt idx="146">
                  <c:v>43</c:v>
                </c:pt>
                <c:pt idx="147">
                  <c:v>32</c:v>
                </c:pt>
                <c:pt idx="148">
                  <c:v>42</c:v>
                </c:pt>
                <c:pt idx="149">
                  <c:v>50</c:v>
                </c:pt>
                <c:pt idx="150">
                  <c:v>49</c:v>
                </c:pt>
                <c:pt idx="151">
                  <c:v>35</c:v>
                </c:pt>
                <c:pt idx="152">
                  <c:v>44</c:v>
                </c:pt>
                <c:pt idx="153">
                  <c:v>36</c:v>
                </c:pt>
                <c:pt idx="154">
                  <c:v>42</c:v>
                </c:pt>
                <c:pt idx="155">
                  <c:v>42</c:v>
                </c:pt>
                <c:pt idx="156">
                  <c:v>42</c:v>
                </c:pt>
                <c:pt idx="157">
                  <c:v>51</c:v>
                </c:pt>
                <c:pt idx="158">
                  <c:v>44</c:v>
                </c:pt>
                <c:pt idx="159">
                  <c:v>59</c:v>
                </c:pt>
                <c:pt idx="160">
                  <c:v>59</c:v>
                </c:pt>
                <c:pt idx="161">
                  <c:v>43</c:v>
                </c:pt>
                <c:pt idx="162">
                  <c:v>44</c:v>
                </c:pt>
                <c:pt idx="163">
                  <c:v>50</c:v>
                </c:pt>
                <c:pt idx="164">
                  <c:v>49</c:v>
                </c:pt>
                <c:pt idx="165">
                  <c:v>62</c:v>
                </c:pt>
                <c:pt idx="166">
                  <c:v>58</c:v>
                </c:pt>
                <c:pt idx="167">
                  <c:v>61</c:v>
                </c:pt>
                <c:pt idx="168">
                  <c:v>69</c:v>
                </c:pt>
                <c:pt idx="169">
                  <c:v>54</c:v>
                </c:pt>
                <c:pt idx="170">
                  <c:v>75</c:v>
                </c:pt>
                <c:pt idx="171">
                  <c:v>75</c:v>
                </c:pt>
                <c:pt idx="172">
                  <c:v>90</c:v>
                </c:pt>
                <c:pt idx="173">
                  <c:v>101</c:v>
                </c:pt>
                <c:pt idx="174">
                  <c:v>111</c:v>
                </c:pt>
                <c:pt idx="175">
                  <c:v>117</c:v>
                </c:pt>
                <c:pt idx="176">
                  <c:v>128</c:v>
                </c:pt>
                <c:pt idx="177">
                  <c:v>120</c:v>
                </c:pt>
                <c:pt idx="178">
                  <c:v>127</c:v>
                </c:pt>
                <c:pt idx="179">
                  <c:v>133</c:v>
                </c:pt>
                <c:pt idx="180">
                  <c:v>157</c:v>
                </c:pt>
                <c:pt idx="181">
                  <c:v>142</c:v>
                </c:pt>
                <c:pt idx="182">
                  <c:v>171</c:v>
                </c:pt>
                <c:pt idx="183">
                  <c:v>184</c:v>
                </c:pt>
                <c:pt idx="184">
                  <c:v>198</c:v>
                </c:pt>
                <c:pt idx="185">
                  <c:v>221</c:v>
                </c:pt>
                <c:pt idx="186">
                  <c:v>220</c:v>
                </c:pt>
                <c:pt idx="187">
                  <c:v>234</c:v>
                </c:pt>
                <c:pt idx="188">
                  <c:v>257</c:v>
                </c:pt>
                <c:pt idx="189">
                  <c:v>258</c:v>
                </c:pt>
                <c:pt idx="190">
                  <c:v>260</c:v>
                </c:pt>
                <c:pt idx="191">
                  <c:v>305</c:v>
                </c:pt>
                <c:pt idx="192">
                  <c:v>333</c:v>
                </c:pt>
                <c:pt idx="193">
                  <c:v>362</c:v>
                </c:pt>
                <c:pt idx="194">
                  <c:v>349</c:v>
                </c:pt>
                <c:pt idx="195">
                  <c:v>420</c:v>
                </c:pt>
                <c:pt idx="196">
                  <c:v>418</c:v>
                </c:pt>
                <c:pt idx="197">
                  <c:v>439</c:v>
                </c:pt>
                <c:pt idx="198">
                  <c:v>469</c:v>
                </c:pt>
                <c:pt idx="199">
                  <c:v>489</c:v>
                </c:pt>
                <c:pt idx="200">
                  <c:v>536</c:v>
                </c:pt>
                <c:pt idx="201">
                  <c:v>566</c:v>
                </c:pt>
                <c:pt idx="202">
                  <c:v>539</c:v>
                </c:pt>
                <c:pt idx="203">
                  <c:v>614</c:v>
                </c:pt>
                <c:pt idx="204">
                  <c:v>600</c:v>
                </c:pt>
                <c:pt idx="205">
                  <c:v>607</c:v>
                </c:pt>
                <c:pt idx="206">
                  <c:v>679</c:v>
                </c:pt>
                <c:pt idx="207">
                  <c:v>654</c:v>
                </c:pt>
                <c:pt idx="208">
                  <c:v>707</c:v>
                </c:pt>
                <c:pt idx="209">
                  <c:v>770</c:v>
                </c:pt>
                <c:pt idx="210">
                  <c:v>732</c:v>
                </c:pt>
                <c:pt idx="211">
                  <c:v>767</c:v>
                </c:pt>
                <c:pt idx="212">
                  <c:v>714</c:v>
                </c:pt>
                <c:pt idx="213">
                  <c:v>741</c:v>
                </c:pt>
                <c:pt idx="214">
                  <c:v>799</c:v>
                </c:pt>
                <c:pt idx="215">
                  <c:v>759</c:v>
                </c:pt>
                <c:pt idx="216">
                  <c:v>757</c:v>
                </c:pt>
                <c:pt idx="217">
                  <c:v>766</c:v>
                </c:pt>
                <c:pt idx="218">
                  <c:v>740</c:v>
                </c:pt>
                <c:pt idx="219">
                  <c:v>764</c:v>
                </c:pt>
                <c:pt idx="220">
                  <c:v>785</c:v>
                </c:pt>
                <c:pt idx="221">
                  <c:v>772</c:v>
                </c:pt>
                <c:pt idx="222">
                  <c:v>758</c:v>
                </c:pt>
                <c:pt idx="223">
                  <c:v>752</c:v>
                </c:pt>
                <c:pt idx="224">
                  <c:v>763</c:v>
                </c:pt>
                <c:pt idx="225">
                  <c:v>722</c:v>
                </c:pt>
                <c:pt idx="226">
                  <c:v>747</c:v>
                </c:pt>
                <c:pt idx="227">
                  <c:v>693</c:v>
                </c:pt>
                <c:pt idx="228">
                  <c:v>754</c:v>
                </c:pt>
                <c:pt idx="229">
                  <c:v>716</c:v>
                </c:pt>
                <c:pt idx="230">
                  <c:v>646</c:v>
                </c:pt>
                <c:pt idx="231">
                  <c:v>638</c:v>
                </c:pt>
                <c:pt idx="232">
                  <c:v>628</c:v>
                </c:pt>
                <c:pt idx="233">
                  <c:v>619</c:v>
                </c:pt>
                <c:pt idx="234">
                  <c:v>570</c:v>
                </c:pt>
                <c:pt idx="235">
                  <c:v>561</c:v>
                </c:pt>
                <c:pt idx="236">
                  <c:v>550</c:v>
                </c:pt>
                <c:pt idx="237">
                  <c:v>506</c:v>
                </c:pt>
                <c:pt idx="238">
                  <c:v>470</c:v>
                </c:pt>
                <c:pt idx="239">
                  <c:v>477</c:v>
                </c:pt>
                <c:pt idx="240">
                  <c:v>461</c:v>
                </c:pt>
                <c:pt idx="241">
                  <c:v>436</c:v>
                </c:pt>
                <c:pt idx="242">
                  <c:v>412</c:v>
                </c:pt>
                <c:pt idx="243">
                  <c:v>445</c:v>
                </c:pt>
                <c:pt idx="244">
                  <c:v>395</c:v>
                </c:pt>
                <c:pt idx="245">
                  <c:v>344</c:v>
                </c:pt>
                <c:pt idx="246">
                  <c:v>346</c:v>
                </c:pt>
                <c:pt idx="247">
                  <c:v>321</c:v>
                </c:pt>
                <c:pt idx="248">
                  <c:v>299</c:v>
                </c:pt>
                <c:pt idx="249">
                  <c:v>272</c:v>
                </c:pt>
                <c:pt idx="250">
                  <c:v>285</c:v>
                </c:pt>
                <c:pt idx="251">
                  <c:v>293</c:v>
                </c:pt>
                <c:pt idx="252">
                  <c:v>283</c:v>
                </c:pt>
                <c:pt idx="253">
                  <c:v>255</c:v>
                </c:pt>
                <c:pt idx="254">
                  <c:v>216</c:v>
                </c:pt>
                <c:pt idx="255">
                  <c:v>208</c:v>
                </c:pt>
                <c:pt idx="256">
                  <c:v>189</c:v>
                </c:pt>
                <c:pt idx="257">
                  <c:v>213</c:v>
                </c:pt>
                <c:pt idx="258">
                  <c:v>187</c:v>
                </c:pt>
                <c:pt idx="259">
                  <c:v>155</c:v>
                </c:pt>
                <c:pt idx="260">
                  <c:v>154</c:v>
                </c:pt>
                <c:pt idx="261">
                  <c:v>132</c:v>
                </c:pt>
                <c:pt idx="262">
                  <c:v>137</c:v>
                </c:pt>
                <c:pt idx="263">
                  <c:v>107</c:v>
                </c:pt>
                <c:pt idx="264">
                  <c:v>120</c:v>
                </c:pt>
                <c:pt idx="265">
                  <c:v>111</c:v>
                </c:pt>
                <c:pt idx="266">
                  <c:v>88</c:v>
                </c:pt>
                <c:pt idx="267">
                  <c:v>93</c:v>
                </c:pt>
                <c:pt idx="268">
                  <c:v>86</c:v>
                </c:pt>
                <c:pt idx="269">
                  <c:v>87</c:v>
                </c:pt>
                <c:pt idx="270">
                  <c:v>71</c:v>
                </c:pt>
                <c:pt idx="271">
                  <c:v>60</c:v>
                </c:pt>
                <c:pt idx="272">
                  <c:v>72</c:v>
                </c:pt>
                <c:pt idx="273">
                  <c:v>55</c:v>
                </c:pt>
                <c:pt idx="274">
                  <c:v>50</c:v>
                </c:pt>
                <c:pt idx="275">
                  <c:v>46</c:v>
                </c:pt>
                <c:pt idx="276">
                  <c:v>44</c:v>
                </c:pt>
                <c:pt idx="277">
                  <c:v>44</c:v>
                </c:pt>
                <c:pt idx="278">
                  <c:v>40</c:v>
                </c:pt>
                <c:pt idx="279">
                  <c:v>30</c:v>
                </c:pt>
                <c:pt idx="280">
                  <c:v>33</c:v>
                </c:pt>
                <c:pt idx="281">
                  <c:v>26</c:v>
                </c:pt>
                <c:pt idx="282">
                  <c:v>21</c:v>
                </c:pt>
                <c:pt idx="283">
                  <c:v>19</c:v>
                </c:pt>
                <c:pt idx="284">
                  <c:v>34</c:v>
                </c:pt>
                <c:pt idx="285">
                  <c:v>27</c:v>
                </c:pt>
                <c:pt idx="286">
                  <c:v>24</c:v>
                </c:pt>
                <c:pt idx="287">
                  <c:v>25</c:v>
                </c:pt>
                <c:pt idx="288">
                  <c:v>15</c:v>
                </c:pt>
                <c:pt idx="289">
                  <c:v>20</c:v>
                </c:pt>
                <c:pt idx="290">
                  <c:v>12</c:v>
                </c:pt>
                <c:pt idx="291">
                  <c:v>15</c:v>
                </c:pt>
                <c:pt idx="292">
                  <c:v>18</c:v>
                </c:pt>
                <c:pt idx="293">
                  <c:v>19</c:v>
                </c:pt>
                <c:pt idx="294">
                  <c:v>16</c:v>
                </c:pt>
                <c:pt idx="295">
                  <c:v>20</c:v>
                </c:pt>
                <c:pt idx="296">
                  <c:v>8</c:v>
                </c:pt>
                <c:pt idx="297">
                  <c:v>15</c:v>
                </c:pt>
                <c:pt idx="298">
                  <c:v>10</c:v>
                </c:pt>
                <c:pt idx="299">
                  <c:v>7</c:v>
                </c:pt>
                <c:pt idx="300">
                  <c:v>7</c:v>
                </c:pt>
                <c:pt idx="301">
                  <c:v>8</c:v>
                </c:pt>
                <c:pt idx="302">
                  <c:v>12</c:v>
                </c:pt>
                <c:pt idx="303">
                  <c:v>9</c:v>
                </c:pt>
                <c:pt idx="304">
                  <c:v>8</c:v>
                </c:pt>
                <c:pt idx="305">
                  <c:v>9</c:v>
                </c:pt>
                <c:pt idx="306">
                  <c:v>11</c:v>
                </c:pt>
                <c:pt idx="307">
                  <c:v>7</c:v>
                </c:pt>
                <c:pt idx="308">
                  <c:v>3</c:v>
                </c:pt>
                <c:pt idx="309">
                  <c:v>7</c:v>
                </c:pt>
                <c:pt idx="310">
                  <c:v>6</c:v>
                </c:pt>
                <c:pt idx="311">
                  <c:v>11</c:v>
                </c:pt>
                <c:pt idx="312">
                  <c:v>13</c:v>
                </c:pt>
                <c:pt idx="313">
                  <c:v>4</c:v>
                </c:pt>
                <c:pt idx="314">
                  <c:v>6</c:v>
                </c:pt>
                <c:pt idx="315">
                  <c:v>11</c:v>
                </c:pt>
                <c:pt idx="316">
                  <c:v>3</c:v>
                </c:pt>
                <c:pt idx="317">
                  <c:v>5</c:v>
                </c:pt>
                <c:pt idx="318">
                  <c:v>2</c:v>
                </c:pt>
                <c:pt idx="319">
                  <c:v>2</c:v>
                </c:pt>
                <c:pt idx="320">
                  <c:v>5</c:v>
                </c:pt>
                <c:pt idx="321">
                  <c:v>9</c:v>
                </c:pt>
                <c:pt idx="322">
                  <c:v>7</c:v>
                </c:pt>
                <c:pt idx="323">
                  <c:v>8</c:v>
                </c:pt>
                <c:pt idx="324">
                  <c:v>4</c:v>
                </c:pt>
                <c:pt idx="325">
                  <c:v>8</c:v>
                </c:pt>
                <c:pt idx="326">
                  <c:v>5</c:v>
                </c:pt>
                <c:pt idx="327">
                  <c:v>6</c:v>
                </c:pt>
                <c:pt idx="328">
                  <c:v>11</c:v>
                </c:pt>
                <c:pt idx="329">
                  <c:v>4</c:v>
                </c:pt>
                <c:pt idx="330">
                  <c:v>3</c:v>
                </c:pt>
                <c:pt idx="331">
                  <c:v>4</c:v>
                </c:pt>
                <c:pt idx="332">
                  <c:v>2</c:v>
                </c:pt>
                <c:pt idx="333">
                  <c:v>7</c:v>
                </c:pt>
                <c:pt idx="334">
                  <c:v>4</c:v>
                </c:pt>
                <c:pt idx="335">
                  <c:v>7</c:v>
                </c:pt>
                <c:pt idx="336">
                  <c:v>4</c:v>
                </c:pt>
                <c:pt idx="337">
                  <c:v>4</c:v>
                </c:pt>
                <c:pt idx="338">
                  <c:v>10</c:v>
                </c:pt>
                <c:pt idx="339">
                  <c:v>4</c:v>
                </c:pt>
                <c:pt idx="340">
                  <c:v>4</c:v>
                </c:pt>
                <c:pt idx="341">
                  <c:v>4</c:v>
                </c:pt>
                <c:pt idx="342">
                  <c:v>4</c:v>
                </c:pt>
                <c:pt idx="343">
                  <c:v>5</c:v>
                </c:pt>
                <c:pt idx="344">
                  <c:v>5</c:v>
                </c:pt>
                <c:pt idx="345">
                  <c:v>4</c:v>
                </c:pt>
                <c:pt idx="346">
                  <c:v>10</c:v>
                </c:pt>
                <c:pt idx="347">
                  <c:v>3</c:v>
                </c:pt>
                <c:pt idx="348">
                  <c:v>4</c:v>
                </c:pt>
                <c:pt idx="349">
                  <c:v>6</c:v>
                </c:pt>
                <c:pt idx="350">
                  <c:v>4</c:v>
                </c:pt>
                <c:pt idx="351">
                  <c:v>2</c:v>
                </c:pt>
                <c:pt idx="352">
                  <c:v>6</c:v>
                </c:pt>
                <c:pt idx="353">
                  <c:v>3</c:v>
                </c:pt>
                <c:pt idx="354">
                  <c:v>6</c:v>
                </c:pt>
                <c:pt idx="355">
                  <c:v>6</c:v>
                </c:pt>
                <c:pt idx="356">
                  <c:v>5</c:v>
                </c:pt>
                <c:pt idx="357">
                  <c:v>8</c:v>
                </c:pt>
                <c:pt idx="358">
                  <c:v>1</c:v>
                </c:pt>
                <c:pt idx="359">
                  <c:v>4</c:v>
                </c:pt>
                <c:pt idx="360">
                  <c:v>2</c:v>
                </c:pt>
                <c:pt idx="361">
                  <c:v>6</c:v>
                </c:pt>
                <c:pt idx="362">
                  <c:v>5</c:v>
                </c:pt>
                <c:pt idx="363">
                  <c:v>10</c:v>
                </c:pt>
                <c:pt idx="364">
                  <c:v>5</c:v>
                </c:pt>
                <c:pt idx="365">
                  <c:v>5</c:v>
                </c:pt>
                <c:pt idx="366">
                  <c:v>4</c:v>
                </c:pt>
                <c:pt idx="367">
                  <c:v>5</c:v>
                </c:pt>
                <c:pt idx="368">
                  <c:v>2</c:v>
                </c:pt>
                <c:pt idx="369">
                  <c:v>3</c:v>
                </c:pt>
                <c:pt idx="370">
                  <c:v>2</c:v>
                </c:pt>
                <c:pt idx="371">
                  <c:v>2</c:v>
                </c:pt>
                <c:pt idx="372">
                  <c:v>5</c:v>
                </c:pt>
                <c:pt idx="373">
                  <c:v>7</c:v>
                </c:pt>
                <c:pt idx="374">
                  <c:v>5</c:v>
                </c:pt>
                <c:pt idx="375">
                  <c:v>9</c:v>
                </c:pt>
                <c:pt idx="376">
                  <c:v>5</c:v>
                </c:pt>
                <c:pt idx="377">
                  <c:v>3</c:v>
                </c:pt>
                <c:pt idx="378">
                  <c:v>5</c:v>
                </c:pt>
                <c:pt idx="379">
                  <c:v>8</c:v>
                </c:pt>
                <c:pt idx="380">
                  <c:v>3</c:v>
                </c:pt>
                <c:pt idx="381">
                  <c:v>5</c:v>
                </c:pt>
                <c:pt idx="382">
                  <c:v>3</c:v>
                </c:pt>
                <c:pt idx="383">
                  <c:v>6</c:v>
                </c:pt>
                <c:pt idx="384">
                  <c:v>6</c:v>
                </c:pt>
                <c:pt idx="385">
                  <c:v>4</c:v>
                </c:pt>
                <c:pt idx="386">
                  <c:v>1</c:v>
                </c:pt>
                <c:pt idx="387">
                  <c:v>3</c:v>
                </c:pt>
                <c:pt idx="388">
                  <c:v>10</c:v>
                </c:pt>
                <c:pt idx="389">
                  <c:v>2</c:v>
                </c:pt>
                <c:pt idx="390">
                  <c:v>2</c:v>
                </c:pt>
                <c:pt idx="391">
                  <c:v>6</c:v>
                </c:pt>
                <c:pt idx="392">
                  <c:v>6</c:v>
                </c:pt>
                <c:pt idx="393">
                  <c:v>1</c:v>
                </c:pt>
                <c:pt idx="394">
                  <c:v>5</c:v>
                </c:pt>
                <c:pt idx="395">
                  <c:v>2</c:v>
                </c:pt>
                <c:pt idx="396">
                  <c:v>8</c:v>
                </c:pt>
                <c:pt idx="397">
                  <c:v>9</c:v>
                </c:pt>
                <c:pt idx="398">
                  <c:v>4</c:v>
                </c:pt>
                <c:pt idx="399">
                  <c:v>7</c:v>
                </c:pt>
                <c:pt idx="400">
                  <c:v>4</c:v>
                </c:pt>
                <c:pt idx="401">
                  <c:v>6</c:v>
                </c:pt>
                <c:pt idx="402">
                  <c:v>1</c:v>
                </c:pt>
                <c:pt idx="403">
                  <c:v>5</c:v>
                </c:pt>
                <c:pt idx="404">
                  <c:v>6</c:v>
                </c:pt>
                <c:pt idx="405">
                  <c:v>5</c:v>
                </c:pt>
                <c:pt idx="406">
                  <c:v>2</c:v>
                </c:pt>
                <c:pt idx="407">
                  <c:v>10</c:v>
                </c:pt>
                <c:pt idx="408">
                  <c:v>4</c:v>
                </c:pt>
                <c:pt idx="409">
                  <c:v>2</c:v>
                </c:pt>
                <c:pt idx="410">
                  <c:v>6</c:v>
                </c:pt>
                <c:pt idx="411">
                  <c:v>1</c:v>
                </c:pt>
                <c:pt idx="412">
                  <c:v>6</c:v>
                </c:pt>
                <c:pt idx="413">
                  <c:v>6</c:v>
                </c:pt>
                <c:pt idx="414">
                  <c:v>4</c:v>
                </c:pt>
                <c:pt idx="415">
                  <c:v>4</c:v>
                </c:pt>
                <c:pt idx="416">
                  <c:v>3</c:v>
                </c:pt>
                <c:pt idx="417">
                  <c:v>3</c:v>
                </c:pt>
                <c:pt idx="418">
                  <c:v>6</c:v>
                </c:pt>
                <c:pt idx="419">
                  <c:v>6</c:v>
                </c:pt>
                <c:pt idx="420">
                  <c:v>4</c:v>
                </c:pt>
                <c:pt idx="421">
                  <c:v>5</c:v>
                </c:pt>
                <c:pt idx="422">
                  <c:v>7</c:v>
                </c:pt>
                <c:pt idx="423">
                  <c:v>5</c:v>
                </c:pt>
                <c:pt idx="424">
                  <c:v>6</c:v>
                </c:pt>
                <c:pt idx="425">
                  <c:v>7</c:v>
                </c:pt>
                <c:pt idx="426">
                  <c:v>5</c:v>
                </c:pt>
                <c:pt idx="427">
                  <c:v>4</c:v>
                </c:pt>
                <c:pt idx="428">
                  <c:v>3</c:v>
                </c:pt>
                <c:pt idx="429">
                  <c:v>5</c:v>
                </c:pt>
                <c:pt idx="430">
                  <c:v>5</c:v>
                </c:pt>
                <c:pt idx="431">
                  <c:v>5</c:v>
                </c:pt>
                <c:pt idx="432">
                  <c:v>2</c:v>
                </c:pt>
                <c:pt idx="433">
                  <c:v>7</c:v>
                </c:pt>
                <c:pt idx="434">
                  <c:v>7</c:v>
                </c:pt>
                <c:pt idx="435">
                  <c:v>8</c:v>
                </c:pt>
                <c:pt idx="436">
                  <c:v>5</c:v>
                </c:pt>
                <c:pt idx="437">
                  <c:v>7</c:v>
                </c:pt>
                <c:pt idx="438">
                  <c:v>5</c:v>
                </c:pt>
                <c:pt idx="439">
                  <c:v>4</c:v>
                </c:pt>
                <c:pt idx="440">
                  <c:v>3</c:v>
                </c:pt>
                <c:pt idx="441">
                  <c:v>6</c:v>
                </c:pt>
                <c:pt idx="442">
                  <c:v>4</c:v>
                </c:pt>
                <c:pt idx="443">
                  <c:v>4</c:v>
                </c:pt>
                <c:pt idx="444">
                  <c:v>3</c:v>
                </c:pt>
                <c:pt idx="445">
                  <c:v>7</c:v>
                </c:pt>
                <c:pt idx="446">
                  <c:v>7</c:v>
                </c:pt>
                <c:pt idx="447">
                  <c:v>1</c:v>
                </c:pt>
                <c:pt idx="448">
                  <c:v>5</c:v>
                </c:pt>
                <c:pt idx="449">
                  <c:v>3</c:v>
                </c:pt>
                <c:pt idx="450">
                  <c:v>9</c:v>
                </c:pt>
                <c:pt idx="451">
                  <c:v>6</c:v>
                </c:pt>
                <c:pt idx="452">
                  <c:v>5</c:v>
                </c:pt>
                <c:pt idx="453">
                  <c:v>4</c:v>
                </c:pt>
                <c:pt idx="454">
                  <c:v>2</c:v>
                </c:pt>
                <c:pt idx="455">
                  <c:v>4</c:v>
                </c:pt>
                <c:pt idx="456">
                  <c:v>0</c:v>
                </c:pt>
                <c:pt idx="457">
                  <c:v>3</c:v>
                </c:pt>
                <c:pt idx="458">
                  <c:v>4</c:v>
                </c:pt>
                <c:pt idx="459">
                  <c:v>4</c:v>
                </c:pt>
                <c:pt idx="460">
                  <c:v>3</c:v>
                </c:pt>
                <c:pt idx="461">
                  <c:v>1</c:v>
                </c:pt>
                <c:pt idx="462">
                  <c:v>2</c:v>
                </c:pt>
                <c:pt idx="463">
                  <c:v>3</c:v>
                </c:pt>
                <c:pt idx="464">
                  <c:v>3</c:v>
                </c:pt>
                <c:pt idx="465">
                  <c:v>3</c:v>
                </c:pt>
                <c:pt idx="466">
                  <c:v>2</c:v>
                </c:pt>
                <c:pt idx="467">
                  <c:v>2</c:v>
                </c:pt>
                <c:pt idx="468">
                  <c:v>1</c:v>
                </c:pt>
                <c:pt idx="469">
                  <c:v>4</c:v>
                </c:pt>
                <c:pt idx="470">
                  <c:v>2</c:v>
                </c:pt>
                <c:pt idx="471">
                  <c:v>2</c:v>
                </c:pt>
                <c:pt idx="472">
                  <c:v>1</c:v>
                </c:pt>
                <c:pt idx="473">
                  <c:v>4</c:v>
                </c:pt>
                <c:pt idx="474">
                  <c:v>4</c:v>
                </c:pt>
                <c:pt idx="475">
                  <c:v>1</c:v>
                </c:pt>
                <c:pt idx="476">
                  <c:v>3</c:v>
                </c:pt>
                <c:pt idx="477">
                  <c:v>1</c:v>
                </c:pt>
                <c:pt idx="478">
                  <c:v>3</c:v>
                </c:pt>
                <c:pt idx="479">
                  <c:v>3</c:v>
                </c:pt>
                <c:pt idx="480">
                  <c:v>3</c:v>
                </c:pt>
                <c:pt idx="481">
                  <c:v>2</c:v>
                </c:pt>
                <c:pt idx="482">
                  <c:v>1</c:v>
                </c:pt>
                <c:pt idx="483">
                  <c:v>1</c:v>
                </c:pt>
                <c:pt idx="484">
                  <c:v>2</c:v>
                </c:pt>
                <c:pt idx="485">
                  <c:v>0</c:v>
                </c:pt>
                <c:pt idx="486">
                  <c:v>3</c:v>
                </c:pt>
                <c:pt idx="487">
                  <c:v>0</c:v>
                </c:pt>
                <c:pt idx="488">
                  <c:v>4</c:v>
                </c:pt>
                <c:pt idx="489">
                  <c:v>4</c:v>
                </c:pt>
                <c:pt idx="490">
                  <c:v>3</c:v>
                </c:pt>
                <c:pt idx="491">
                  <c:v>1</c:v>
                </c:pt>
                <c:pt idx="492">
                  <c:v>2</c:v>
                </c:pt>
                <c:pt idx="493">
                  <c:v>1</c:v>
                </c:pt>
                <c:pt idx="494">
                  <c:v>0</c:v>
                </c:pt>
                <c:pt idx="495">
                  <c:v>0</c:v>
                </c:pt>
                <c:pt idx="496">
                  <c:v>3</c:v>
                </c:pt>
                <c:pt idx="497">
                  <c:v>1</c:v>
                </c:pt>
                <c:pt idx="498">
                  <c:v>1</c:v>
                </c:pt>
                <c:pt idx="499">
                  <c:v>2</c:v>
                </c:pt>
                <c:pt idx="500">
                  <c:v>0</c:v>
                </c:pt>
                <c:pt idx="501">
                  <c:v>2</c:v>
                </c:pt>
                <c:pt idx="502">
                  <c:v>1</c:v>
                </c:pt>
                <c:pt idx="503">
                  <c:v>0</c:v>
                </c:pt>
                <c:pt idx="504">
                  <c:v>0</c:v>
                </c:pt>
                <c:pt idx="505">
                  <c:v>0</c:v>
                </c:pt>
                <c:pt idx="506">
                  <c:v>2</c:v>
                </c:pt>
                <c:pt idx="507">
                  <c:v>1</c:v>
                </c:pt>
                <c:pt idx="508">
                  <c:v>0</c:v>
                </c:pt>
                <c:pt idx="509">
                  <c:v>3</c:v>
                </c:pt>
                <c:pt idx="510">
                  <c:v>0</c:v>
                </c:pt>
                <c:pt idx="511">
                  <c:v>0</c:v>
                </c:pt>
                <c:pt idx="512">
                  <c:v>1</c:v>
                </c:pt>
                <c:pt idx="513">
                  <c:v>2</c:v>
                </c:pt>
                <c:pt idx="514">
                  <c:v>1</c:v>
                </c:pt>
                <c:pt idx="515">
                  <c:v>0</c:v>
                </c:pt>
                <c:pt idx="516">
                  <c:v>0</c:v>
                </c:pt>
                <c:pt idx="517">
                  <c:v>1</c:v>
                </c:pt>
                <c:pt idx="518">
                  <c:v>0</c:v>
                </c:pt>
                <c:pt idx="519">
                  <c:v>2</c:v>
                </c:pt>
                <c:pt idx="520">
                  <c:v>0</c:v>
                </c:pt>
                <c:pt idx="521">
                  <c:v>3</c:v>
                </c:pt>
                <c:pt idx="522">
                  <c:v>1</c:v>
                </c:pt>
                <c:pt idx="523">
                  <c:v>0</c:v>
                </c:pt>
                <c:pt idx="524">
                  <c:v>1</c:v>
                </c:pt>
                <c:pt idx="525">
                  <c:v>1</c:v>
                </c:pt>
                <c:pt idx="526">
                  <c:v>0</c:v>
                </c:pt>
                <c:pt idx="527">
                  <c:v>0</c:v>
                </c:pt>
                <c:pt idx="528">
                  <c:v>0</c:v>
                </c:pt>
                <c:pt idx="529">
                  <c:v>1</c:v>
                </c:pt>
                <c:pt idx="530">
                  <c:v>0</c:v>
                </c:pt>
                <c:pt idx="531">
                  <c:v>0</c:v>
                </c:pt>
                <c:pt idx="532">
                  <c:v>2</c:v>
                </c:pt>
                <c:pt idx="533">
                  <c:v>0</c:v>
                </c:pt>
                <c:pt idx="534">
                  <c:v>0</c:v>
                </c:pt>
                <c:pt idx="535">
                  <c:v>2</c:v>
                </c:pt>
                <c:pt idx="536">
                  <c:v>0</c:v>
                </c:pt>
                <c:pt idx="537">
                  <c:v>1</c:v>
                </c:pt>
                <c:pt idx="538">
                  <c:v>0</c:v>
                </c:pt>
                <c:pt idx="539">
                  <c:v>1</c:v>
                </c:pt>
                <c:pt idx="540">
                  <c:v>0</c:v>
                </c:pt>
                <c:pt idx="541">
                  <c:v>1</c:v>
                </c:pt>
                <c:pt idx="542">
                  <c:v>0</c:v>
                </c:pt>
                <c:pt idx="543">
                  <c:v>0</c:v>
                </c:pt>
                <c:pt idx="544">
                  <c:v>0</c:v>
                </c:pt>
                <c:pt idx="545">
                  <c:v>1</c:v>
                </c:pt>
                <c:pt idx="546">
                  <c:v>1</c:v>
                </c:pt>
                <c:pt idx="547">
                  <c:v>2</c:v>
                </c:pt>
                <c:pt idx="548">
                  <c:v>0</c:v>
                </c:pt>
                <c:pt idx="549">
                  <c:v>0</c:v>
                </c:pt>
                <c:pt idx="550">
                  <c:v>0</c:v>
                </c:pt>
                <c:pt idx="551">
                  <c:v>0</c:v>
                </c:pt>
                <c:pt idx="552">
                  <c:v>0</c:v>
                </c:pt>
                <c:pt idx="553">
                  <c:v>1</c:v>
                </c:pt>
                <c:pt idx="554">
                  <c:v>0</c:v>
                </c:pt>
                <c:pt idx="555">
                  <c:v>0</c:v>
                </c:pt>
                <c:pt idx="556">
                  <c:v>1</c:v>
                </c:pt>
                <c:pt idx="557">
                  <c:v>0</c:v>
                </c:pt>
                <c:pt idx="558">
                  <c:v>3</c:v>
                </c:pt>
                <c:pt idx="559">
                  <c:v>1</c:v>
                </c:pt>
                <c:pt idx="560">
                  <c:v>1</c:v>
                </c:pt>
                <c:pt idx="561">
                  <c:v>1</c:v>
                </c:pt>
                <c:pt idx="562">
                  <c:v>0</c:v>
                </c:pt>
                <c:pt idx="563">
                  <c:v>0</c:v>
                </c:pt>
                <c:pt idx="564">
                  <c:v>0</c:v>
                </c:pt>
                <c:pt idx="565">
                  <c:v>0</c:v>
                </c:pt>
                <c:pt idx="566">
                  <c:v>0</c:v>
                </c:pt>
                <c:pt idx="567">
                  <c:v>1</c:v>
                </c:pt>
                <c:pt idx="568">
                  <c:v>0</c:v>
                </c:pt>
                <c:pt idx="569">
                  <c:v>0</c:v>
                </c:pt>
                <c:pt idx="570">
                  <c:v>0</c:v>
                </c:pt>
                <c:pt idx="571">
                  <c:v>1</c:v>
                </c:pt>
                <c:pt idx="572">
                  <c:v>2</c:v>
                </c:pt>
                <c:pt idx="573">
                  <c:v>0</c:v>
                </c:pt>
                <c:pt idx="574">
                  <c:v>0</c:v>
                </c:pt>
                <c:pt idx="575">
                  <c:v>0</c:v>
                </c:pt>
                <c:pt idx="576">
                  <c:v>0</c:v>
                </c:pt>
                <c:pt idx="577">
                  <c:v>1</c:v>
                </c:pt>
                <c:pt idx="578">
                  <c:v>0</c:v>
                </c:pt>
                <c:pt idx="579">
                  <c:v>0</c:v>
                </c:pt>
                <c:pt idx="580">
                  <c:v>0</c:v>
                </c:pt>
                <c:pt idx="581">
                  <c:v>0</c:v>
                </c:pt>
                <c:pt idx="582">
                  <c:v>1</c:v>
                </c:pt>
                <c:pt idx="583">
                  <c:v>0</c:v>
                </c:pt>
                <c:pt idx="584">
                  <c:v>0</c:v>
                </c:pt>
                <c:pt idx="585">
                  <c:v>1</c:v>
                </c:pt>
                <c:pt idx="586">
                  <c:v>2</c:v>
                </c:pt>
                <c:pt idx="587">
                  <c:v>2</c:v>
                </c:pt>
                <c:pt idx="588">
                  <c:v>0</c:v>
                </c:pt>
                <c:pt idx="589">
                  <c:v>0</c:v>
                </c:pt>
                <c:pt idx="590">
                  <c:v>3</c:v>
                </c:pt>
                <c:pt idx="591">
                  <c:v>1</c:v>
                </c:pt>
                <c:pt idx="592">
                  <c:v>0</c:v>
                </c:pt>
                <c:pt idx="593">
                  <c:v>1</c:v>
                </c:pt>
                <c:pt idx="594">
                  <c:v>0</c:v>
                </c:pt>
                <c:pt idx="595">
                  <c:v>0</c:v>
                </c:pt>
                <c:pt idx="596">
                  <c:v>1</c:v>
                </c:pt>
                <c:pt idx="597">
                  <c:v>1</c:v>
                </c:pt>
                <c:pt idx="598">
                  <c:v>0</c:v>
                </c:pt>
                <c:pt idx="599">
                  <c:v>0</c:v>
                </c:pt>
                <c:pt idx="600">
                  <c:v>0</c:v>
                </c:pt>
                <c:pt idx="601">
                  <c:v>0</c:v>
                </c:pt>
                <c:pt idx="602">
                  <c:v>0</c:v>
                </c:pt>
                <c:pt idx="603">
                  <c:v>1</c:v>
                </c:pt>
                <c:pt idx="604">
                  <c:v>1</c:v>
                </c:pt>
                <c:pt idx="605">
                  <c:v>0</c:v>
                </c:pt>
                <c:pt idx="606">
                  <c:v>1</c:v>
                </c:pt>
                <c:pt idx="607">
                  <c:v>1</c:v>
                </c:pt>
                <c:pt idx="608">
                  <c:v>0</c:v>
                </c:pt>
                <c:pt idx="609">
                  <c:v>1</c:v>
                </c:pt>
                <c:pt idx="610">
                  <c:v>0</c:v>
                </c:pt>
                <c:pt idx="611">
                  <c:v>2</c:v>
                </c:pt>
                <c:pt idx="612">
                  <c:v>0</c:v>
                </c:pt>
                <c:pt idx="613">
                  <c:v>0</c:v>
                </c:pt>
                <c:pt idx="614">
                  <c:v>0</c:v>
                </c:pt>
                <c:pt idx="615">
                  <c:v>0</c:v>
                </c:pt>
                <c:pt idx="616">
                  <c:v>0</c:v>
                </c:pt>
                <c:pt idx="617">
                  <c:v>1</c:v>
                </c:pt>
                <c:pt idx="618">
                  <c:v>0</c:v>
                </c:pt>
                <c:pt idx="619">
                  <c:v>0</c:v>
                </c:pt>
                <c:pt idx="620">
                  <c:v>0</c:v>
                </c:pt>
                <c:pt idx="621">
                  <c:v>0</c:v>
                </c:pt>
                <c:pt idx="622">
                  <c:v>1</c:v>
                </c:pt>
                <c:pt idx="623">
                  <c:v>0</c:v>
                </c:pt>
                <c:pt idx="624">
                  <c:v>1</c:v>
                </c:pt>
                <c:pt idx="625">
                  <c:v>0</c:v>
                </c:pt>
                <c:pt idx="626">
                  <c:v>0</c:v>
                </c:pt>
                <c:pt idx="627">
                  <c:v>0</c:v>
                </c:pt>
                <c:pt idx="628">
                  <c:v>0</c:v>
                </c:pt>
                <c:pt idx="629">
                  <c:v>0</c:v>
                </c:pt>
                <c:pt idx="630">
                  <c:v>1</c:v>
                </c:pt>
                <c:pt idx="631">
                  <c:v>0</c:v>
                </c:pt>
                <c:pt idx="632">
                  <c:v>0</c:v>
                </c:pt>
                <c:pt idx="633">
                  <c:v>0</c:v>
                </c:pt>
                <c:pt idx="634">
                  <c:v>0</c:v>
                </c:pt>
                <c:pt idx="635">
                  <c:v>1</c:v>
                </c:pt>
                <c:pt idx="636">
                  <c:v>0</c:v>
                </c:pt>
                <c:pt idx="637">
                  <c:v>0</c:v>
                </c:pt>
                <c:pt idx="638">
                  <c:v>1</c:v>
                </c:pt>
                <c:pt idx="639">
                  <c:v>0</c:v>
                </c:pt>
                <c:pt idx="640">
                  <c:v>0</c:v>
                </c:pt>
                <c:pt idx="641">
                  <c:v>0</c:v>
                </c:pt>
                <c:pt idx="642">
                  <c:v>0</c:v>
                </c:pt>
                <c:pt idx="643">
                  <c:v>0</c:v>
                </c:pt>
                <c:pt idx="644">
                  <c:v>0</c:v>
                </c:pt>
                <c:pt idx="645">
                  <c:v>0</c:v>
                </c:pt>
                <c:pt idx="646">
                  <c:v>0</c:v>
                </c:pt>
                <c:pt idx="647">
                  <c:v>0</c:v>
                </c:pt>
                <c:pt idx="648">
                  <c:v>0</c:v>
                </c:pt>
                <c:pt idx="649">
                  <c:v>0</c:v>
                </c:pt>
                <c:pt idx="650">
                  <c:v>0</c:v>
                </c:pt>
                <c:pt idx="651">
                  <c:v>1</c:v>
                </c:pt>
                <c:pt idx="652">
                  <c:v>0</c:v>
                </c:pt>
                <c:pt idx="653">
                  <c:v>0</c:v>
                </c:pt>
                <c:pt idx="654">
                  <c:v>0</c:v>
                </c:pt>
                <c:pt idx="655">
                  <c:v>0</c:v>
                </c:pt>
                <c:pt idx="656">
                  <c:v>0</c:v>
                </c:pt>
                <c:pt idx="657">
                  <c:v>1</c:v>
                </c:pt>
                <c:pt idx="658">
                  <c:v>0</c:v>
                </c:pt>
                <c:pt idx="659">
                  <c:v>1</c:v>
                </c:pt>
                <c:pt idx="660">
                  <c:v>0</c:v>
                </c:pt>
                <c:pt idx="661">
                  <c:v>0</c:v>
                </c:pt>
                <c:pt idx="662">
                  <c:v>1</c:v>
                </c:pt>
                <c:pt idx="663">
                  <c:v>1</c:v>
                </c:pt>
                <c:pt idx="664">
                  <c:v>0</c:v>
                </c:pt>
                <c:pt idx="665">
                  <c:v>0</c:v>
                </c:pt>
                <c:pt idx="666">
                  <c:v>0</c:v>
                </c:pt>
                <c:pt idx="667">
                  <c:v>0</c:v>
                </c:pt>
                <c:pt idx="668">
                  <c:v>1</c:v>
                </c:pt>
                <c:pt idx="669">
                  <c:v>0</c:v>
                </c:pt>
                <c:pt idx="670">
                  <c:v>0</c:v>
                </c:pt>
                <c:pt idx="671">
                  <c:v>0</c:v>
                </c:pt>
                <c:pt idx="672">
                  <c:v>1</c:v>
                </c:pt>
                <c:pt idx="673">
                  <c:v>0</c:v>
                </c:pt>
                <c:pt idx="674">
                  <c:v>0</c:v>
                </c:pt>
                <c:pt idx="675">
                  <c:v>0</c:v>
                </c:pt>
                <c:pt idx="676">
                  <c:v>1</c:v>
                </c:pt>
                <c:pt idx="677">
                  <c:v>0</c:v>
                </c:pt>
                <c:pt idx="678">
                  <c:v>0</c:v>
                </c:pt>
                <c:pt idx="679">
                  <c:v>0</c:v>
                </c:pt>
                <c:pt idx="680">
                  <c:v>0</c:v>
                </c:pt>
                <c:pt idx="681">
                  <c:v>0</c:v>
                </c:pt>
                <c:pt idx="682">
                  <c:v>0</c:v>
                </c:pt>
                <c:pt idx="683">
                  <c:v>0</c:v>
                </c:pt>
                <c:pt idx="684">
                  <c:v>0</c:v>
                </c:pt>
                <c:pt idx="685">
                  <c:v>0</c:v>
                </c:pt>
                <c:pt idx="686">
                  <c:v>0</c:v>
                </c:pt>
                <c:pt idx="687">
                  <c:v>0</c:v>
                </c:pt>
                <c:pt idx="688">
                  <c:v>0</c:v>
                </c:pt>
                <c:pt idx="689">
                  <c:v>2</c:v>
                </c:pt>
                <c:pt idx="690">
                  <c:v>0</c:v>
                </c:pt>
                <c:pt idx="691">
                  <c:v>1</c:v>
                </c:pt>
                <c:pt idx="692">
                  <c:v>0</c:v>
                </c:pt>
                <c:pt idx="693">
                  <c:v>0</c:v>
                </c:pt>
                <c:pt idx="694">
                  <c:v>1</c:v>
                </c:pt>
                <c:pt idx="695">
                  <c:v>0</c:v>
                </c:pt>
                <c:pt idx="696">
                  <c:v>0</c:v>
                </c:pt>
                <c:pt idx="697">
                  <c:v>0</c:v>
                </c:pt>
                <c:pt idx="698">
                  <c:v>0</c:v>
                </c:pt>
                <c:pt idx="699">
                  <c:v>0</c:v>
                </c:pt>
                <c:pt idx="700">
                  <c:v>0</c:v>
                </c:pt>
                <c:pt idx="701">
                  <c:v>1</c:v>
                </c:pt>
                <c:pt idx="702">
                  <c:v>1</c:v>
                </c:pt>
                <c:pt idx="703">
                  <c:v>0</c:v>
                </c:pt>
                <c:pt idx="704">
                  <c:v>0</c:v>
                </c:pt>
                <c:pt idx="705">
                  <c:v>0</c:v>
                </c:pt>
                <c:pt idx="706">
                  <c:v>0</c:v>
                </c:pt>
                <c:pt idx="707">
                  <c:v>1</c:v>
                </c:pt>
                <c:pt idx="708">
                  <c:v>0</c:v>
                </c:pt>
                <c:pt idx="709">
                  <c:v>0</c:v>
                </c:pt>
                <c:pt idx="710">
                  <c:v>0</c:v>
                </c:pt>
                <c:pt idx="711">
                  <c:v>0</c:v>
                </c:pt>
                <c:pt idx="712">
                  <c:v>0</c:v>
                </c:pt>
                <c:pt idx="713">
                  <c:v>0</c:v>
                </c:pt>
                <c:pt idx="714">
                  <c:v>0</c:v>
                </c:pt>
                <c:pt idx="715">
                  <c:v>1</c:v>
                </c:pt>
                <c:pt idx="716">
                  <c:v>0</c:v>
                </c:pt>
                <c:pt idx="717">
                  <c:v>0</c:v>
                </c:pt>
                <c:pt idx="718">
                  <c:v>0</c:v>
                </c:pt>
                <c:pt idx="719">
                  <c:v>0</c:v>
                </c:pt>
                <c:pt idx="720">
                  <c:v>0</c:v>
                </c:pt>
                <c:pt idx="721">
                  <c:v>0</c:v>
                </c:pt>
                <c:pt idx="722">
                  <c:v>0</c:v>
                </c:pt>
                <c:pt idx="723">
                  <c:v>0</c:v>
                </c:pt>
                <c:pt idx="724">
                  <c:v>0</c:v>
                </c:pt>
                <c:pt idx="725">
                  <c:v>0</c:v>
                </c:pt>
                <c:pt idx="726">
                  <c:v>1</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1</c:v>
                </c:pt>
                <c:pt idx="745">
                  <c:v>0</c:v>
                </c:pt>
                <c:pt idx="746">
                  <c:v>0</c:v>
                </c:pt>
                <c:pt idx="747">
                  <c:v>0</c:v>
                </c:pt>
                <c:pt idx="748">
                  <c:v>0</c:v>
                </c:pt>
                <c:pt idx="749">
                  <c:v>1</c:v>
                </c:pt>
                <c:pt idx="750">
                  <c:v>0</c:v>
                </c:pt>
                <c:pt idx="751">
                  <c:v>0</c:v>
                </c:pt>
                <c:pt idx="752">
                  <c:v>0</c:v>
                </c:pt>
                <c:pt idx="753">
                  <c:v>1</c:v>
                </c:pt>
                <c:pt idx="754">
                  <c:v>0</c:v>
                </c:pt>
                <c:pt idx="755">
                  <c:v>0</c:v>
                </c:pt>
                <c:pt idx="756">
                  <c:v>0</c:v>
                </c:pt>
                <c:pt idx="757">
                  <c:v>0</c:v>
                </c:pt>
                <c:pt idx="758">
                  <c:v>0</c:v>
                </c:pt>
                <c:pt idx="759">
                  <c:v>1</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1</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1</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1</c:v>
                </c:pt>
                <c:pt idx="833">
                  <c:v>0</c:v>
                </c:pt>
                <c:pt idx="834">
                  <c:v>0</c:v>
                </c:pt>
                <c:pt idx="835">
                  <c:v>0</c:v>
                </c:pt>
                <c:pt idx="836">
                  <c:v>0</c:v>
                </c:pt>
                <c:pt idx="837">
                  <c:v>0</c:v>
                </c:pt>
                <c:pt idx="838">
                  <c:v>0</c:v>
                </c:pt>
                <c:pt idx="839">
                  <c:v>0</c:v>
                </c:pt>
                <c:pt idx="840">
                  <c:v>0</c:v>
                </c:pt>
                <c:pt idx="841">
                  <c:v>0</c:v>
                </c:pt>
                <c:pt idx="842">
                  <c:v>1</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1</c:v>
                </c:pt>
                <c:pt idx="859">
                  <c:v>0</c:v>
                </c:pt>
                <c:pt idx="860">
                  <c:v>0</c:v>
                </c:pt>
                <c:pt idx="861">
                  <c:v>0</c:v>
                </c:pt>
                <c:pt idx="862">
                  <c:v>0</c:v>
                </c:pt>
                <c:pt idx="863">
                  <c:v>0</c:v>
                </c:pt>
                <c:pt idx="864">
                  <c:v>0</c:v>
                </c:pt>
                <c:pt idx="865">
                  <c:v>0</c:v>
                </c:pt>
                <c:pt idx="866">
                  <c:v>0</c:v>
                </c:pt>
                <c:pt idx="867">
                  <c:v>1</c:v>
                </c:pt>
                <c:pt idx="868">
                  <c:v>0</c:v>
                </c:pt>
                <c:pt idx="869">
                  <c:v>0</c:v>
                </c:pt>
                <c:pt idx="870">
                  <c:v>0</c:v>
                </c:pt>
                <c:pt idx="871">
                  <c:v>0</c:v>
                </c:pt>
                <c:pt idx="872">
                  <c:v>1</c:v>
                </c:pt>
                <c:pt idx="873">
                  <c:v>0</c:v>
                </c:pt>
                <c:pt idx="874">
                  <c:v>1</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1</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1</c:v>
                </c:pt>
                <c:pt idx="913">
                  <c:v>0</c:v>
                </c:pt>
                <c:pt idx="914">
                  <c:v>0</c:v>
                </c:pt>
                <c:pt idx="915">
                  <c:v>0</c:v>
                </c:pt>
                <c:pt idx="916">
                  <c:v>0</c:v>
                </c:pt>
                <c:pt idx="917">
                  <c:v>0</c:v>
                </c:pt>
                <c:pt idx="918">
                  <c:v>0</c:v>
                </c:pt>
                <c:pt idx="919">
                  <c:v>0</c:v>
                </c:pt>
                <c:pt idx="920">
                  <c:v>0</c:v>
                </c:pt>
                <c:pt idx="921">
                  <c:v>0</c:v>
                </c:pt>
                <c:pt idx="922">
                  <c:v>0</c:v>
                </c:pt>
                <c:pt idx="923">
                  <c:v>0</c:v>
                </c:pt>
                <c:pt idx="924">
                  <c:v>1</c:v>
                </c:pt>
                <c:pt idx="925">
                  <c:v>0</c:v>
                </c:pt>
                <c:pt idx="926">
                  <c:v>1</c:v>
                </c:pt>
                <c:pt idx="927">
                  <c:v>0</c:v>
                </c:pt>
                <c:pt idx="928">
                  <c:v>0</c:v>
                </c:pt>
                <c:pt idx="929">
                  <c:v>0</c:v>
                </c:pt>
                <c:pt idx="930">
                  <c:v>0</c:v>
                </c:pt>
                <c:pt idx="931">
                  <c:v>1</c:v>
                </c:pt>
                <c:pt idx="932">
                  <c:v>0</c:v>
                </c:pt>
                <c:pt idx="933">
                  <c:v>0</c:v>
                </c:pt>
                <c:pt idx="934">
                  <c:v>0</c:v>
                </c:pt>
                <c:pt idx="935">
                  <c:v>0</c:v>
                </c:pt>
                <c:pt idx="936">
                  <c:v>0</c:v>
                </c:pt>
                <c:pt idx="937">
                  <c:v>0</c:v>
                </c:pt>
                <c:pt idx="938">
                  <c:v>0</c:v>
                </c:pt>
                <c:pt idx="939">
                  <c:v>0</c:v>
                </c:pt>
                <c:pt idx="940">
                  <c:v>1</c:v>
                </c:pt>
                <c:pt idx="941">
                  <c:v>0</c:v>
                </c:pt>
                <c:pt idx="942">
                  <c:v>0</c:v>
                </c:pt>
                <c:pt idx="943">
                  <c:v>0</c:v>
                </c:pt>
                <c:pt idx="944">
                  <c:v>0</c:v>
                </c:pt>
                <c:pt idx="945">
                  <c:v>0</c:v>
                </c:pt>
                <c:pt idx="946">
                  <c:v>0</c:v>
                </c:pt>
                <c:pt idx="947">
                  <c:v>0</c:v>
                </c:pt>
                <c:pt idx="948">
                  <c:v>0</c:v>
                </c:pt>
                <c:pt idx="949">
                  <c:v>0</c:v>
                </c:pt>
                <c:pt idx="950">
                  <c:v>0</c:v>
                </c:pt>
                <c:pt idx="951">
                  <c:v>0</c:v>
                </c:pt>
                <c:pt idx="952">
                  <c:v>0</c:v>
                </c:pt>
                <c:pt idx="953">
                  <c:v>1</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1</c:v>
                </c:pt>
                <c:pt idx="968">
                  <c:v>0</c:v>
                </c:pt>
                <c:pt idx="969">
                  <c:v>0</c:v>
                </c:pt>
                <c:pt idx="970">
                  <c:v>0</c:v>
                </c:pt>
                <c:pt idx="971">
                  <c:v>0</c:v>
                </c:pt>
                <c:pt idx="972">
                  <c:v>0</c:v>
                </c:pt>
                <c:pt idx="973">
                  <c:v>0</c:v>
                </c:pt>
                <c:pt idx="974">
                  <c:v>0</c:v>
                </c:pt>
                <c:pt idx="975">
                  <c:v>0</c:v>
                </c:pt>
                <c:pt idx="976">
                  <c:v>0</c:v>
                </c:pt>
                <c:pt idx="977">
                  <c:v>0</c:v>
                </c:pt>
                <c:pt idx="978">
                  <c:v>0</c:v>
                </c:pt>
                <c:pt idx="979">
                  <c:v>0</c:v>
                </c:pt>
                <c:pt idx="980">
                  <c:v>1</c:v>
                </c:pt>
                <c:pt idx="981">
                  <c:v>0</c:v>
                </c:pt>
                <c:pt idx="982">
                  <c:v>0</c:v>
                </c:pt>
                <c:pt idx="983">
                  <c:v>0</c:v>
                </c:pt>
                <c:pt idx="984">
                  <c:v>0</c:v>
                </c:pt>
                <c:pt idx="985">
                  <c:v>0</c:v>
                </c:pt>
                <c:pt idx="986">
                  <c:v>0</c:v>
                </c:pt>
                <c:pt idx="987">
                  <c:v>0</c:v>
                </c:pt>
                <c:pt idx="988">
                  <c:v>0</c:v>
                </c:pt>
                <c:pt idx="989">
                  <c:v>0</c:v>
                </c:pt>
                <c:pt idx="990">
                  <c:v>1</c:v>
                </c:pt>
                <c:pt idx="991">
                  <c:v>0</c:v>
                </c:pt>
                <c:pt idx="992">
                  <c:v>0</c:v>
                </c:pt>
                <c:pt idx="993">
                  <c:v>0</c:v>
                </c:pt>
                <c:pt idx="994">
                  <c:v>0</c:v>
                </c:pt>
                <c:pt idx="995">
                  <c:v>0</c:v>
                </c:pt>
                <c:pt idx="996">
                  <c:v>0</c:v>
                </c:pt>
                <c:pt idx="997">
                  <c:v>0</c:v>
                </c:pt>
                <c:pt idx="998">
                  <c:v>0</c:v>
                </c:pt>
                <c:pt idx="999">
                  <c:v>0</c:v>
                </c:pt>
              </c:numCache>
            </c:numRef>
          </c:yVal>
          <c:smooth val="0"/>
          <c:extLst>
            <c:ext xmlns:c16="http://schemas.microsoft.com/office/drawing/2014/chart" uri="{C3380CC4-5D6E-409C-BE32-E72D297353CC}">
              <c16:uniqueId val="{00000000-7550-4B73-821B-4AF85250A4BE}"/>
            </c:ext>
          </c:extLst>
        </c:ser>
        <c:ser>
          <c:idx val="1"/>
          <c:order val="1"/>
          <c:tx>
            <c:strRef>
              <c:f>'Annex D'!$N$1</c:f>
              <c:strCache>
                <c:ptCount val="1"/>
                <c:pt idx="0">
                  <c:v>Average</c:v>
                </c:pt>
              </c:strCache>
            </c:strRef>
          </c:tx>
          <c:spPr>
            <a:ln w="28800">
              <a:noFill/>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D'!$N$2:$N$1002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4.625</c:v>
                </c:pt>
                <c:pt idx="139">
                  <c:v>9.125</c:v>
                </c:pt>
                <c:pt idx="140">
                  <c:v>13.875</c:v>
                </c:pt>
                <c:pt idx="141">
                  <c:v>19.125</c:v>
                </c:pt>
                <c:pt idx="142">
                  <c:v>24.5</c:v>
                </c:pt>
                <c:pt idx="143">
                  <c:v>28.5</c:v>
                </c:pt>
                <c:pt idx="144">
                  <c:v>33.75</c:v>
                </c:pt>
                <c:pt idx="145">
                  <c:v>40</c:v>
                </c:pt>
                <c:pt idx="146">
                  <c:v>41.5</c:v>
                </c:pt>
                <c:pt idx="147">
                  <c:v>41.375</c:v>
                </c:pt>
                <c:pt idx="148">
                  <c:v>42.125</c:v>
                </c:pt>
                <c:pt idx="149">
                  <c:v>41.375</c:v>
                </c:pt>
                <c:pt idx="150">
                  <c:v>41.25</c:v>
                </c:pt>
                <c:pt idx="151">
                  <c:v>42.5</c:v>
                </c:pt>
                <c:pt idx="152">
                  <c:v>42.5</c:v>
                </c:pt>
                <c:pt idx="153">
                  <c:v>42.625</c:v>
                </c:pt>
                <c:pt idx="154">
                  <c:v>42</c:v>
                </c:pt>
                <c:pt idx="155">
                  <c:v>45</c:v>
                </c:pt>
                <c:pt idx="156">
                  <c:v>46.875</c:v>
                </c:pt>
                <c:pt idx="157">
                  <c:v>47.75</c:v>
                </c:pt>
                <c:pt idx="158">
                  <c:v>48</c:v>
                </c:pt>
                <c:pt idx="159">
                  <c:v>49</c:v>
                </c:pt>
                <c:pt idx="160">
                  <c:v>49.875</c:v>
                </c:pt>
                <c:pt idx="161">
                  <c:v>51.25</c:v>
                </c:pt>
                <c:pt idx="162">
                  <c:v>53</c:v>
                </c:pt>
                <c:pt idx="163">
                  <c:v>53.25</c:v>
                </c:pt>
                <c:pt idx="164">
                  <c:v>54.5</c:v>
                </c:pt>
                <c:pt idx="165">
                  <c:v>55.875</c:v>
                </c:pt>
                <c:pt idx="166">
                  <c:v>59.75</c:v>
                </c:pt>
                <c:pt idx="167">
                  <c:v>62.875</c:v>
                </c:pt>
                <c:pt idx="168">
                  <c:v>68</c:v>
                </c:pt>
                <c:pt idx="169">
                  <c:v>72.875</c:v>
                </c:pt>
                <c:pt idx="170">
                  <c:v>79.5</c:v>
                </c:pt>
                <c:pt idx="171">
                  <c:v>86.5</c:v>
                </c:pt>
                <c:pt idx="172">
                  <c:v>93.875</c:v>
                </c:pt>
                <c:pt idx="173">
                  <c:v>102.125</c:v>
                </c:pt>
                <c:pt idx="174">
                  <c:v>108.625</c:v>
                </c:pt>
                <c:pt idx="175">
                  <c:v>115.875</c:v>
                </c:pt>
                <c:pt idx="176">
                  <c:v>124.25</c:v>
                </c:pt>
                <c:pt idx="177">
                  <c:v>129.375</c:v>
                </c:pt>
                <c:pt idx="178">
                  <c:v>136.875</c:v>
                </c:pt>
                <c:pt idx="179">
                  <c:v>145.25</c:v>
                </c:pt>
                <c:pt idx="180">
                  <c:v>154</c:v>
                </c:pt>
                <c:pt idx="181">
                  <c:v>166.625</c:v>
                </c:pt>
                <c:pt idx="182">
                  <c:v>178.25</c:v>
                </c:pt>
                <c:pt idx="183">
                  <c:v>190.875</c:v>
                </c:pt>
                <c:pt idx="184">
                  <c:v>203.375</c:v>
                </c:pt>
                <c:pt idx="185">
                  <c:v>217.875</c:v>
                </c:pt>
                <c:pt idx="186">
                  <c:v>229</c:v>
                </c:pt>
                <c:pt idx="187">
                  <c:v>244.125</c:v>
                </c:pt>
                <c:pt idx="188">
                  <c:v>261</c:v>
                </c:pt>
                <c:pt idx="189">
                  <c:v>278.625</c:v>
                </c:pt>
                <c:pt idx="190">
                  <c:v>294.75</c:v>
                </c:pt>
                <c:pt idx="191">
                  <c:v>318</c:v>
                </c:pt>
                <c:pt idx="192">
                  <c:v>338.125</c:v>
                </c:pt>
                <c:pt idx="193">
                  <c:v>360.75</c:v>
                </c:pt>
                <c:pt idx="194">
                  <c:v>386.875</c:v>
                </c:pt>
                <c:pt idx="195">
                  <c:v>409.875</c:v>
                </c:pt>
                <c:pt idx="196">
                  <c:v>435.25</c:v>
                </c:pt>
                <c:pt idx="197">
                  <c:v>460.75</c:v>
                </c:pt>
                <c:pt idx="198">
                  <c:v>484.5</c:v>
                </c:pt>
                <c:pt idx="199">
                  <c:v>508.75</c:v>
                </c:pt>
                <c:pt idx="200">
                  <c:v>531.5</c:v>
                </c:pt>
                <c:pt idx="201">
                  <c:v>552.5</c:v>
                </c:pt>
                <c:pt idx="202">
                  <c:v>578.75</c:v>
                </c:pt>
                <c:pt idx="203">
                  <c:v>599.375</c:v>
                </c:pt>
                <c:pt idx="204">
                  <c:v>620.75</c:v>
                </c:pt>
                <c:pt idx="205">
                  <c:v>646.25</c:v>
                </c:pt>
                <c:pt idx="206">
                  <c:v>670.375</c:v>
                </c:pt>
                <c:pt idx="207">
                  <c:v>689.5</c:v>
                </c:pt>
                <c:pt idx="208">
                  <c:v>703.75</c:v>
                </c:pt>
                <c:pt idx="209">
                  <c:v>720.5</c:v>
                </c:pt>
                <c:pt idx="210">
                  <c:v>735.5</c:v>
                </c:pt>
                <c:pt idx="211">
                  <c:v>748.625</c:v>
                </c:pt>
                <c:pt idx="212">
                  <c:v>754.875</c:v>
                </c:pt>
                <c:pt idx="213">
                  <c:v>754.375</c:v>
                </c:pt>
                <c:pt idx="214">
                  <c:v>755.375</c:v>
                </c:pt>
                <c:pt idx="215">
                  <c:v>755</c:v>
                </c:pt>
                <c:pt idx="216">
                  <c:v>763.875</c:v>
                </c:pt>
                <c:pt idx="217">
                  <c:v>767.75</c:v>
                </c:pt>
                <c:pt idx="218">
                  <c:v>762.625</c:v>
                </c:pt>
                <c:pt idx="219">
                  <c:v>761.75</c:v>
                </c:pt>
                <c:pt idx="220">
                  <c:v>762.5</c:v>
                </c:pt>
                <c:pt idx="221">
                  <c:v>757</c:v>
                </c:pt>
                <c:pt idx="222">
                  <c:v>757.875</c:v>
                </c:pt>
                <c:pt idx="223">
                  <c:v>749</c:v>
                </c:pt>
                <c:pt idx="224">
                  <c:v>745.125</c:v>
                </c:pt>
                <c:pt idx="225">
                  <c:v>738.125</c:v>
                </c:pt>
                <c:pt idx="226">
                  <c:v>724.125</c:v>
                </c:pt>
                <c:pt idx="227">
                  <c:v>709.875</c:v>
                </c:pt>
                <c:pt idx="228">
                  <c:v>693</c:v>
                </c:pt>
                <c:pt idx="229">
                  <c:v>680.125</c:v>
                </c:pt>
                <c:pt idx="230">
                  <c:v>658</c:v>
                </c:pt>
                <c:pt idx="231">
                  <c:v>641.5</c:v>
                </c:pt>
                <c:pt idx="232">
                  <c:v>616</c:v>
                </c:pt>
                <c:pt idx="233">
                  <c:v>589.75</c:v>
                </c:pt>
                <c:pt idx="234">
                  <c:v>567.75</c:v>
                </c:pt>
                <c:pt idx="235">
                  <c:v>547.625</c:v>
                </c:pt>
                <c:pt idx="236">
                  <c:v>526.75</c:v>
                </c:pt>
                <c:pt idx="237">
                  <c:v>503.875</c:v>
                </c:pt>
                <c:pt idx="238">
                  <c:v>484.125</c:v>
                </c:pt>
                <c:pt idx="239">
                  <c:v>469.625</c:v>
                </c:pt>
                <c:pt idx="240">
                  <c:v>450.25</c:v>
                </c:pt>
                <c:pt idx="241">
                  <c:v>430</c:v>
                </c:pt>
                <c:pt idx="242">
                  <c:v>414.5</c:v>
                </c:pt>
                <c:pt idx="243">
                  <c:v>395</c:v>
                </c:pt>
                <c:pt idx="244">
                  <c:v>374.75</c:v>
                </c:pt>
                <c:pt idx="245">
                  <c:v>354.25</c:v>
                </c:pt>
                <c:pt idx="246">
                  <c:v>338.375</c:v>
                </c:pt>
                <c:pt idx="247">
                  <c:v>319.375</c:v>
                </c:pt>
                <c:pt idx="248">
                  <c:v>305.375</c:v>
                </c:pt>
                <c:pt idx="249">
                  <c:v>294.25</c:v>
                </c:pt>
                <c:pt idx="250">
                  <c:v>278</c:v>
                </c:pt>
                <c:pt idx="251">
                  <c:v>263.875</c:v>
                </c:pt>
                <c:pt idx="252">
                  <c:v>250.125</c:v>
                </c:pt>
                <c:pt idx="253">
                  <c:v>242.75</c:v>
                </c:pt>
                <c:pt idx="254">
                  <c:v>230.5</c:v>
                </c:pt>
                <c:pt idx="255">
                  <c:v>213.25</c:v>
                </c:pt>
                <c:pt idx="256">
                  <c:v>197.125</c:v>
                </c:pt>
                <c:pt idx="257">
                  <c:v>181.75</c:v>
                </c:pt>
                <c:pt idx="258">
                  <c:v>171.875</c:v>
                </c:pt>
                <c:pt idx="259">
                  <c:v>159.25</c:v>
                </c:pt>
                <c:pt idx="260">
                  <c:v>150.625</c:v>
                </c:pt>
                <c:pt idx="261">
                  <c:v>137.875</c:v>
                </c:pt>
                <c:pt idx="262">
                  <c:v>125.5</c:v>
                </c:pt>
                <c:pt idx="263">
                  <c:v>117.75</c:v>
                </c:pt>
                <c:pt idx="264">
                  <c:v>109.25</c:v>
                </c:pt>
                <c:pt idx="265">
                  <c:v>103.625</c:v>
                </c:pt>
                <c:pt idx="266">
                  <c:v>95.375</c:v>
                </c:pt>
                <c:pt idx="267">
                  <c:v>89.5</c:v>
                </c:pt>
                <c:pt idx="268">
                  <c:v>83.5</c:v>
                </c:pt>
                <c:pt idx="269">
                  <c:v>76.5</c:v>
                </c:pt>
                <c:pt idx="270">
                  <c:v>71.75</c:v>
                </c:pt>
                <c:pt idx="271">
                  <c:v>65.875</c:v>
                </c:pt>
                <c:pt idx="272">
                  <c:v>60.625</c:v>
                </c:pt>
                <c:pt idx="273">
                  <c:v>55.25</c:v>
                </c:pt>
                <c:pt idx="274">
                  <c:v>51.375</c:v>
                </c:pt>
                <c:pt idx="275">
                  <c:v>47.625</c:v>
                </c:pt>
                <c:pt idx="276">
                  <c:v>42.75</c:v>
                </c:pt>
                <c:pt idx="277">
                  <c:v>39.125</c:v>
                </c:pt>
                <c:pt idx="278">
                  <c:v>35.5</c:v>
                </c:pt>
                <c:pt idx="279">
                  <c:v>32.125</c:v>
                </c:pt>
                <c:pt idx="280">
                  <c:v>30.875</c:v>
                </c:pt>
                <c:pt idx="281">
                  <c:v>28.75</c:v>
                </c:pt>
                <c:pt idx="282">
                  <c:v>26.75</c:v>
                </c:pt>
                <c:pt idx="283">
                  <c:v>26.125</c:v>
                </c:pt>
                <c:pt idx="284">
                  <c:v>23.875</c:v>
                </c:pt>
                <c:pt idx="285">
                  <c:v>23.125</c:v>
                </c:pt>
                <c:pt idx="286">
                  <c:v>22</c:v>
                </c:pt>
                <c:pt idx="287">
                  <c:v>21.5</c:v>
                </c:pt>
                <c:pt idx="288">
                  <c:v>19.5</c:v>
                </c:pt>
                <c:pt idx="289">
                  <c:v>18.5</c:v>
                </c:pt>
                <c:pt idx="290">
                  <c:v>17.5</c:v>
                </c:pt>
                <c:pt idx="291">
                  <c:v>16.875</c:v>
                </c:pt>
                <c:pt idx="292">
                  <c:v>16</c:v>
                </c:pt>
                <c:pt idx="293">
                  <c:v>15.375</c:v>
                </c:pt>
                <c:pt idx="294">
                  <c:v>15.125</c:v>
                </c:pt>
                <c:pt idx="295">
                  <c:v>14.125</c:v>
                </c:pt>
                <c:pt idx="296">
                  <c:v>12.75</c:v>
                </c:pt>
                <c:pt idx="297">
                  <c:v>11.375</c:v>
                </c:pt>
                <c:pt idx="298">
                  <c:v>10.875</c:v>
                </c:pt>
                <c:pt idx="299">
                  <c:v>9.5</c:v>
                </c:pt>
                <c:pt idx="300">
                  <c:v>9.5</c:v>
                </c:pt>
                <c:pt idx="301">
                  <c:v>8.75</c:v>
                </c:pt>
                <c:pt idx="302">
                  <c:v>8.875</c:v>
                </c:pt>
                <c:pt idx="303">
                  <c:v>8.875</c:v>
                </c:pt>
                <c:pt idx="304">
                  <c:v>8.375</c:v>
                </c:pt>
                <c:pt idx="305">
                  <c:v>8.25</c:v>
                </c:pt>
                <c:pt idx="306">
                  <c:v>7.5</c:v>
                </c:pt>
                <c:pt idx="307">
                  <c:v>7.75</c:v>
                </c:pt>
                <c:pt idx="308">
                  <c:v>8.375</c:v>
                </c:pt>
                <c:pt idx="309">
                  <c:v>7.75</c:v>
                </c:pt>
                <c:pt idx="310">
                  <c:v>7.125</c:v>
                </c:pt>
                <c:pt idx="311">
                  <c:v>7.625</c:v>
                </c:pt>
                <c:pt idx="312">
                  <c:v>7.625</c:v>
                </c:pt>
                <c:pt idx="313">
                  <c:v>7.375</c:v>
                </c:pt>
                <c:pt idx="314">
                  <c:v>6.875</c:v>
                </c:pt>
                <c:pt idx="315">
                  <c:v>5.75</c:v>
                </c:pt>
                <c:pt idx="316">
                  <c:v>4.75</c:v>
                </c:pt>
                <c:pt idx="317">
                  <c:v>5.375</c:v>
                </c:pt>
                <c:pt idx="318">
                  <c:v>5.5</c:v>
                </c:pt>
                <c:pt idx="319">
                  <c:v>5.125</c:v>
                </c:pt>
                <c:pt idx="320">
                  <c:v>5.25</c:v>
                </c:pt>
                <c:pt idx="321">
                  <c:v>5.625</c:v>
                </c:pt>
                <c:pt idx="322">
                  <c:v>6</c:v>
                </c:pt>
                <c:pt idx="323">
                  <c:v>6.5</c:v>
                </c:pt>
                <c:pt idx="324">
                  <c:v>7.25</c:v>
                </c:pt>
                <c:pt idx="325">
                  <c:v>6.625</c:v>
                </c:pt>
                <c:pt idx="326">
                  <c:v>6.125</c:v>
                </c:pt>
                <c:pt idx="327">
                  <c:v>5.625</c:v>
                </c:pt>
                <c:pt idx="328">
                  <c:v>5.375</c:v>
                </c:pt>
                <c:pt idx="329">
                  <c:v>5.25</c:v>
                </c:pt>
                <c:pt idx="330">
                  <c:v>5.125</c:v>
                </c:pt>
                <c:pt idx="331">
                  <c:v>5.25</c:v>
                </c:pt>
                <c:pt idx="332">
                  <c:v>4.375</c:v>
                </c:pt>
                <c:pt idx="333">
                  <c:v>4.375</c:v>
                </c:pt>
                <c:pt idx="334">
                  <c:v>5.25</c:v>
                </c:pt>
                <c:pt idx="335">
                  <c:v>5.25</c:v>
                </c:pt>
                <c:pt idx="336">
                  <c:v>5.5</c:v>
                </c:pt>
                <c:pt idx="337">
                  <c:v>5.125</c:v>
                </c:pt>
                <c:pt idx="338">
                  <c:v>5.125</c:v>
                </c:pt>
                <c:pt idx="339">
                  <c:v>4.875</c:v>
                </c:pt>
                <c:pt idx="340">
                  <c:v>5</c:v>
                </c:pt>
                <c:pt idx="341">
                  <c:v>5</c:v>
                </c:pt>
                <c:pt idx="342">
                  <c:v>5</c:v>
                </c:pt>
                <c:pt idx="343">
                  <c:v>4.875</c:v>
                </c:pt>
                <c:pt idx="344">
                  <c:v>4.875</c:v>
                </c:pt>
                <c:pt idx="345">
                  <c:v>5.125</c:v>
                </c:pt>
                <c:pt idx="346">
                  <c:v>5.125</c:v>
                </c:pt>
                <c:pt idx="347">
                  <c:v>4.75</c:v>
                </c:pt>
                <c:pt idx="348">
                  <c:v>4.875</c:v>
                </c:pt>
                <c:pt idx="349">
                  <c:v>4.75</c:v>
                </c:pt>
                <c:pt idx="350">
                  <c:v>4.25</c:v>
                </c:pt>
                <c:pt idx="351">
                  <c:v>4.625</c:v>
                </c:pt>
                <c:pt idx="352">
                  <c:v>4.75</c:v>
                </c:pt>
                <c:pt idx="353">
                  <c:v>5</c:v>
                </c:pt>
                <c:pt idx="354">
                  <c:v>4.625</c:v>
                </c:pt>
                <c:pt idx="355">
                  <c:v>4.875</c:v>
                </c:pt>
                <c:pt idx="356">
                  <c:v>4.375</c:v>
                </c:pt>
                <c:pt idx="357">
                  <c:v>4.75</c:v>
                </c:pt>
                <c:pt idx="358">
                  <c:v>4.625</c:v>
                </c:pt>
                <c:pt idx="359">
                  <c:v>5.125</c:v>
                </c:pt>
                <c:pt idx="360">
                  <c:v>5.125</c:v>
                </c:pt>
                <c:pt idx="361">
                  <c:v>4.75</c:v>
                </c:pt>
                <c:pt idx="362">
                  <c:v>5.125</c:v>
                </c:pt>
                <c:pt idx="363">
                  <c:v>5.25</c:v>
                </c:pt>
                <c:pt idx="364">
                  <c:v>5.25</c:v>
                </c:pt>
                <c:pt idx="365">
                  <c:v>4.875</c:v>
                </c:pt>
                <c:pt idx="366">
                  <c:v>4.5</c:v>
                </c:pt>
                <c:pt idx="367">
                  <c:v>3.5</c:v>
                </c:pt>
                <c:pt idx="368">
                  <c:v>3.5</c:v>
                </c:pt>
                <c:pt idx="369">
                  <c:v>3.75</c:v>
                </c:pt>
                <c:pt idx="370">
                  <c:v>3.875</c:v>
                </c:pt>
                <c:pt idx="371">
                  <c:v>4.375</c:v>
                </c:pt>
                <c:pt idx="372">
                  <c:v>4.75</c:v>
                </c:pt>
                <c:pt idx="373">
                  <c:v>4.75</c:v>
                </c:pt>
                <c:pt idx="374">
                  <c:v>5.125</c:v>
                </c:pt>
                <c:pt idx="375">
                  <c:v>5.875</c:v>
                </c:pt>
                <c:pt idx="376">
                  <c:v>5.625</c:v>
                </c:pt>
                <c:pt idx="377">
                  <c:v>5.375</c:v>
                </c:pt>
                <c:pt idx="378">
                  <c:v>5.125</c:v>
                </c:pt>
                <c:pt idx="379">
                  <c:v>4.75</c:v>
                </c:pt>
                <c:pt idx="380">
                  <c:v>4.875</c:v>
                </c:pt>
                <c:pt idx="381">
                  <c:v>5</c:v>
                </c:pt>
                <c:pt idx="382">
                  <c:v>4.5</c:v>
                </c:pt>
                <c:pt idx="383">
                  <c:v>3.875</c:v>
                </c:pt>
                <c:pt idx="384">
                  <c:v>4.75</c:v>
                </c:pt>
                <c:pt idx="385">
                  <c:v>4.375</c:v>
                </c:pt>
                <c:pt idx="386">
                  <c:v>4.25</c:v>
                </c:pt>
                <c:pt idx="387">
                  <c:v>4.25</c:v>
                </c:pt>
                <c:pt idx="388">
                  <c:v>4.25</c:v>
                </c:pt>
                <c:pt idx="389">
                  <c:v>3.875</c:v>
                </c:pt>
                <c:pt idx="390">
                  <c:v>4.375</c:v>
                </c:pt>
                <c:pt idx="391">
                  <c:v>4.25</c:v>
                </c:pt>
                <c:pt idx="392">
                  <c:v>4</c:v>
                </c:pt>
                <c:pt idx="393">
                  <c:v>4.875</c:v>
                </c:pt>
                <c:pt idx="394">
                  <c:v>5.125</c:v>
                </c:pt>
                <c:pt idx="395">
                  <c:v>5.25</c:v>
                </c:pt>
                <c:pt idx="396">
                  <c:v>5</c:v>
                </c:pt>
                <c:pt idx="397">
                  <c:v>5.625</c:v>
                </c:pt>
                <c:pt idx="398">
                  <c:v>5.125</c:v>
                </c:pt>
                <c:pt idx="399">
                  <c:v>5.5</c:v>
                </c:pt>
                <c:pt idx="400">
                  <c:v>5.25</c:v>
                </c:pt>
                <c:pt idx="401">
                  <c:v>4.75</c:v>
                </c:pt>
                <c:pt idx="402">
                  <c:v>4.5</c:v>
                </c:pt>
                <c:pt idx="403">
                  <c:v>4.875</c:v>
                </c:pt>
                <c:pt idx="404">
                  <c:v>4.875</c:v>
                </c:pt>
                <c:pt idx="405">
                  <c:v>4.375</c:v>
                </c:pt>
                <c:pt idx="406">
                  <c:v>5</c:v>
                </c:pt>
                <c:pt idx="407">
                  <c:v>4.5</c:v>
                </c:pt>
                <c:pt idx="408">
                  <c:v>4.5</c:v>
                </c:pt>
                <c:pt idx="409">
                  <c:v>4.625</c:v>
                </c:pt>
                <c:pt idx="410">
                  <c:v>4.875</c:v>
                </c:pt>
                <c:pt idx="411">
                  <c:v>4.125</c:v>
                </c:pt>
                <c:pt idx="412">
                  <c:v>4</c:v>
                </c:pt>
                <c:pt idx="413">
                  <c:v>4.125</c:v>
                </c:pt>
                <c:pt idx="414">
                  <c:v>4.125</c:v>
                </c:pt>
                <c:pt idx="415">
                  <c:v>4.75</c:v>
                </c:pt>
                <c:pt idx="416">
                  <c:v>4.5</c:v>
                </c:pt>
                <c:pt idx="417">
                  <c:v>4.375</c:v>
                </c:pt>
                <c:pt idx="418">
                  <c:v>4.75</c:v>
                </c:pt>
                <c:pt idx="419">
                  <c:v>4.875</c:v>
                </c:pt>
                <c:pt idx="420">
                  <c:v>5.25</c:v>
                </c:pt>
                <c:pt idx="421">
                  <c:v>5.75</c:v>
                </c:pt>
                <c:pt idx="422">
                  <c:v>5.625</c:v>
                </c:pt>
                <c:pt idx="423">
                  <c:v>5.375</c:v>
                </c:pt>
                <c:pt idx="424">
                  <c:v>5.25</c:v>
                </c:pt>
                <c:pt idx="425">
                  <c:v>5.25</c:v>
                </c:pt>
                <c:pt idx="426">
                  <c:v>5</c:v>
                </c:pt>
                <c:pt idx="427">
                  <c:v>5</c:v>
                </c:pt>
                <c:pt idx="428">
                  <c:v>4.5</c:v>
                </c:pt>
                <c:pt idx="429">
                  <c:v>4.5</c:v>
                </c:pt>
                <c:pt idx="430">
                  <c:v>4.75</c:v>
                </c:pt>
                <c:pt idx="431">
                  <c:v>5.25</c:v>
                </c:pt>
                <c:pt idx="432">
                  <c:v>5.5</c:v>
                </c:pt>
                <c:pt idx="433">
                  <c:v>5.75</c:v>
                </c:pt>
                <c:pt idx="434">
                  <c:v>5.75</c:v>
                </c:pt>
                <c:pt idx="435">
                  <c:v>5.625</c:v>
                </c:pt>
                <c:pt idx="436">
                  <c:v>5.75</c:v>
                </c:pt>
                <c:pt idx="437">
                  <c:v>5.625</c:v>
                </c:pt>
                <c:pt idx="438">
                  <c:v>5.25</c:v>
                </c:pt>
                <c:pt idx="439">
                  <c:v>4.75</c:v>
                </c:pt>
                <c:pt idx="440">
                  <c:v>4.5</c:v>
                </c:pt>
                <c:pt idx="441">
                  <c:v>4.5</c:v>
                </c:pt>
                <c:pt idx="442">
                  <c:v>4.75</c:v>
                </c:pt>
                <c:pt idx="443">
                  <c:v>4.375</c:v>
                </c:pt>
                <c:pt idx="444">
                  <c:v>4.625</c:v>
                </c:pt>
                <c:pt idx="445">
                  <c:v>4.25</c:v>
                </c:pt>
                <c:pt idx="446">
                  <c:v>4.875</c:v>
                </c:pt>
                <c:pt idx="447">
                  <c:v>5.125</c:v>
                </c:pt>
                <c:pt idx="448">
                  <c:v>5.375</c:v>
                </c:pt>
                <c:pt idx="449">
                  <c:v>5</c:v>
                </c:pt>
                <c:pt idx="450">
                  <c:v>4.375</c:v>
                </c:pt>
                <c:pt idx="451">
                  <c:v>4.75</c:v>
                </c:pt>
                <c:pt idx="452">
                  <c:v>4.125</c:v>
                </c:pt>
                <c:pt idx="453">
                  <c:v>4.125</c:v>
                </c:pt>
                <c:pt idx="454">
                  <c:v>3.5</c:v>
                </c:pt>
                <c:pt idx="455">
                  <c:v>3.25</c:v>
                </c:pt>
                <c:pt idx="456">
                  <c:v>3</c:v>
                </c:pt>
                <c:pt idx="457">
                  <c:v>2.625</c:v>
                </c:pt>
                <c:pt idx="458">
                  <c:v>2.625</c:v>
                </c:pt>
                <c:pt idx="459">
                  <c:v>2.5</c:v>
                </c:pt>
                <c:pt idx="460">
                  <c:v>2.875</c:v>
                </c:pt>
                <c:pt idx="461">
                  <c:v>2.875</c:v>
                </c:pt>
                <c:pt idx="462">
                  <c:v>2.625</c:v>
                </c:pt>
                <c:pt idx="463">
                  <c:v>2.375</c:v>
                </c:pt>
                <c:pt idx="464">
                  <c:v>2.125</c:v>
                </c:pt>
                <c:pt idx="465">
                  <c:v>2.5</c:v>
                </c:pt>
                <c:pt idx="466">
                  <c:v>2.5</c:v>
                </c:pt>
                <c:pt idx="467">
                  <c:v>2.375</c:v>
                </c:pt>
                <c:pt idx="468">
                  <c:v>2.125</c:v>
                </c:pt>
                <c:pt idx="469">
                  <c:v>2.25</c:v>
                </c:pt>
                <c:pt idx="470">
                  <c:v>2.5</c:v>
                </c:pt>
                <c:pt idx="471">
                  <c:v>2.375</c:v>
                </c:pt>
                <c:pt idx="472">
                  <c:v>2.625</c:v>
                </c:pt>
                <c:pt idx="473">
                  <c:v>2.25</c:v>
                </c:pt>
                <c:pt idx="474">
                  <c:v>2.375</c:v>
                </c:pt>
                <c:pt idx="475">
                  <c:v>2.5</c:v>
                </c:pt>
                <c:pt idx="476">
                  <c:v>2.75</c:v>
                </c:pt>
                <c:pt idx="477">
                  <c:v>2.5</c:v>
                </c:pt>
                <c:pt idx="478">
                  <c:v>2.125</c:v>
                </c:pt>
                <c:pt idx="479">
                  <c:v>2.125</c:v>
                </c:pt>
                <c:pt idx="480">
                  <c:v>2</c:v>
                </c:pt>
                <c:pt idx="481">
                  <c:v>1.875</c:v>
                </c:pt>
                <c:pt idx="482">
                  <c:v>1.875</c:v>
                </c:pt>
                <c:pt idx="483">
                  <c:v>1.5</c:v>
                </c:pt>
                <c:pt idx="484">
                  <c:v>1.625</c:v>
                </c:pt>
                <c:pt idx="485">
                  <c:v>1.875</c:v>
                </c:pt>
                <c:pt idx="486">
                  <c:v>2.125</c:v>
                </c:pt>
                <c:pt idx="487">
                  <c:v>2.125</c:v>
                </c:pt>
                <c:pt idx="488">
                  <c:v>2.125</c:v>
                </c:pt>
                <c:pt idx="489">
                  <c:v>2.25</c:v>
                </c:pt>
                <c:pt idx="490">
                  <c:v>1.875</c:v>
                </c:pt>
                <c:pt idx="491">
                  <c:v>1.875</c:v>
                </c:pt>
                <c:pt idx="492">
                  <c:v>1.75</c:v>
                </c:pt>
                <c:pt idx="493">
                  <c:v>1.375</c:v>
                </c:pt>
                <c:pt idx="494">
                  <c:v>1.125</c:v>
                </c:pt>
                <c:pt idx="495">
                  <c:v>1.25</c:v>
                </c:pt>
                <c:pt idx="496">
                  <c:v>1</c:v>
                </c:pt>
                <c:pt idx="497">
                  <c:v>1.125</c:v>
                </c:pt>
                <c:pt idx="498">
                  <c:v>1.25</c:v>
                </c:pt>
                <c:pt idx="499">
                  <c:v>1.25</c:v>
                </c:pt>
                <c:pt idx="500">
                  <c:v>0.875</c:v>
                </c:pt>
                <c:pt idx="501">
                  <c:v>0.75</c:v>
                </c:pt>
                <c:pt idx="502">
                  <c:v>0.875</c:v>
                </c:pt>
                <c:pt idx="503">
                  <c:v>0.75</c:v>
                </c:pt>
                <c:pt idx="504">
                  <c:v>0.75</c:v>
                </c:pt>
                <c:pt idx="505">
                  <c:v>0.875</c:v>
                </c:pt>
                <c:pt idx="506">
                  <c:v>0.75</c:v>
                </c:pt>
                <c:pt idx="507">
                  <c:v>0.75</c:v>
                </c:pt>
                <c:pt idx="508">
                  <c:v>0.875</c:v>
                </c:pt>
                <c:pt idx="509">
                  <c:v>1.125</c:v>
                </c:pt>
                <c:pt idx="510">
                  <c:v>1</c:v>
                </c:pt>
                <c:pt idx="511">
                  <c:v>0.875</c:v>
                </c:pt>
                <c:pt idx="512">
                  <c:v>0.875</c:v>
                </c:pt>
                <c:pt idx="513">
                  <c:v>0.625</c:v>
                </c:pt>
                <c:pt idx="514">
                  <c:v>0.625</c:v>
                </c:pt>
                <c:pt idx="515">
                  <c:v>0.875</c:v>
                </c:pt>
                <c:pt idx="516">
                  <c:v>0.75</c:v>
                </c:pt>
                <c:pt idx="517">
                  <c:v>0.875</c:v>
                </c:pt>
                <c:pt idx="518">
                  <c:v>0.875</c:v>
                </c:pt>
                <c:pt idx="519">
                  <c:v>0.875</c:v>
                </c:pt>
                <c:pt idx="520">
                  <c:v>1</c:v>
                </c:pt>
                <c:pt idx="521">
                  <c:v>1</c:v>
                </c:pt>
                <c:pt idx="522">
                  <c:v>1</c:v>
                </c:pt>
                <c:pt idx="523">
                  <c:v>0.75</c:v>
                </c:pt>
                <c:pt idx="524">
                  <c:v>0.75</c:v>
                </c:pt>
                <c:pt idx="525">
                  <c:v>0.5</c:v>
                </c:pt>
                <c:pt idx="526">
                  <c:v>0.375</c:v>
                </c:pt>
                <c:pt idx="527">
                  <c:v>0.375</c:v>
                </c:pt>
                <c:pt idx="528">
                  <c:v>0.5</c:v>
                </c:pt>
                <c:pt idx="529">
                  <c:v>0.375</c:v>
                </c:pt>
                <c:pt idx="530">
                  <c:v>0.375</c:v>
                </c:pt>
                <c:pt idx="531">
                  <c:v>0.625</c:v>
                </c:pt>
                <c:pt idx="532">
                  <c:v>0.625</c:v>
                </c:pt>
                <c:pt idx="533">
                  <c:v>0.625</c:v>
                </c:pt>
                <c:pt idx="534">
                  <c:v>0.625</c:v>
                </c:pt>
                <c:pt idx="535">
                  <c:v>0.75</c:v>
                </c:pt>
                <c:pt idx="536">
                  <c:v>0.5</c:v>
                </c:pt>
                <c:pt idx="537">
                  <c:v>0.625</c:v>
                </c:pt>
                <c:pt idx="538">
                  <c:v>0.625</c:v>
                </c:pt>
                <c:pt idx="539">
                  <c:v>0.375</c:v>
                </c:pt>
                <c:pt idx="540">
                  <c:v>0.375</c:v>
                </c:pt>
                <c:pt idx="541">
                  <c:v>0.375</c:v>
                </c:pt>
                <c:pt idx="542">
                  <c:v>0.5</c:v>
                </c:pt>
                <c:pt idx="543">
                  <c:v>0.625</c:v>
                </c:pt>
                <c:pt idx="544">
                  <c:v>0.625</c:v>
                </c:pt>
                <c:pt idx="545">
                  <c:v>0.5</c:v>
                </c:pt>
                <c:pt idx="546">
                  <c:v>0.5</c:v>
                </c:pt>
                <c:pt idx="547">
                  <c:v>0.5</c:v>
                </c:pt>
                <c:pt idx="548">
                  <c:v>0.5</c:v>
                </c:pt>
                <c:pt idx="549">
                  <c:v>0.5</c:v>
                </c:pt>
                <c:pt idx="550">
                  <c:v>0.375</c:v>
                </c:pt>
                <c:pt idx="551">
                  <c:v>0.125</c:v>
                </c:pt>
                <c:pt idx="552">
                  <c:v>0.25</c:v>
                </c:pt>
                <c:pt idx="553">
                  <c:v>0.25</c:v>
                </c:pt>
                <c:pt idx="554">
                  <c:v>0.625</c:v>
                </c:pt>
                <c:pt idx="555">
                  <c:v>0.75</c:v>
                </c:pt>
                <c:pt idx="556">
                  <c:v>0.875</c:v>
                </c:pt>
                <c:pt idx="557">
                  <c:v>0.875</c:v>
                </c:pt>
                <c:pt idx="558">
                  <c:v>0.875</c:v>
                </c:pt>
                <c:pt idx="559">
                  <c:v>0.875</c:v>
                </c:pt>
                <c:pt idx="560">
                  <c:v>0.75</c:v>
                </c:pt>
                <c:pt idx="561">
                  <c:v>0.75</c:v>
                </c:pt>
                <c:pt idx="562">
                  <c:v>0.375</c:v>
                </c:pt>
                <c:pt idx="563">
                  <c:v>0.375</c:v>
                </c:pt>
                <c:pt idx="564">
                  <c:v>0.25</c:v>
                </c:pt>
                <c:pt idx="565">
                  <c:v>0.125</c:v>
                </c:pt>
                <c:pt idx="566">
                  <c:v>0.125</c:v>
                </c:pt>
                <c:pt idx="567">
                  <c:v>0.25</c:v>
                </c:pt>
                <c:pt idx="568">
                  <c:v>0.5</c:v>
                </c:pt>
                <c:pt idx="569">
                  <c:v>0.5</c:v>
                </c:pt>
                <c:pt idx="570">
                  <c:v>0.5</c:v>
                </c:pt>
                <c:pt idx="571">
                  <c:v>0.375</c:v>
                </c:pt>
                <c:pt idx="572">
                  <c:v>0.375</c:v>
                </c:pt>
                <c:pt idx="573">
                  <c:v>0.5</c:v>
                </c:pt>
                <c:pt idx="574">
                  <c:v>0.5</c:v>
                </c:pt>
                <c:pt idx="575">
                  <c:v>0.375</c:v>
                </c:pt>
                <c:pt idx="576">
                  <c:v>0.125</c:v>
                </c:pt>
                <c:pt idx="577">
                  <c:v>0.125</c:v>
                </c:pt>
                <c:pt idx="578">
                  <c:v>0.25</c:v>
                </c:pt>
                <c:pt idx="579">
                  <c:v>0.25</c:v>
                </c:pt>
                <c:pt idx="580">
                  <c:v>0.25</c:v>
                </c:pt>
                <c:pt idx="581">
                  <c:v>0.25</c:v>
                </c:pt>
                <c:pt idx="582">
                  <c:v>0.5</c:v>
                </c:pt>
                <c:pt idx="583">
                  <c:v>0.75</c:v>
                </c:pt>
                <c:pt idx="584">
                  <c:v>0.75</c:v>
                </c:pt>
                <c:pt idx="585">
                  <c:v>0.75</c:v>
                </c:pt>
                <c:pt idx="586">
                  <c:v>1</c:v>
                </c:pt>
                <c:pt idx="587">
                  <c:v>1.125</c:v>
                </c:pt>
                <c:pt idx="588">
                  <c:v>1.125</c:v>
                </c:pt>
                <c:pt idx="589">
                  <c:v>1.125</c:v>
                </c:pt>
                <c:pt idx="590">
                  <c:v>0.875</c:v>
                </c:pt>
                <c:pt idx="591">
                  <c:v>0.625</c:v>
                </c:pt>
                <c:pt idx="592">
                  <c:v>0.75</c:v>
                </c:pt>
                <c:pt idx="593">
                  <c:v>0.875</c:v>
                </c:pt>
                <c:pt idx="594">
                  <c:v>0.5</c:v>
                </c:pt>
                <c:pt idx="595">
                  <c:v>0.375</c:v>
                </c:pt>
                <c:pt idx="596">
                  <c:v>0.375</c:v>
                </c:pt>
                <c:pt idx="597">
                  <c:v>0.25</c:v>
                </c:pt>
                <c:pt idx="598">
                  <c:v>0.25</c:v>
                </c:pt>
                <c:pt idx="599">
                  <c:v>0.375</c:v>
                </c:pt>
                <c:pt idx="600">
                  <c:v>0.375</c:v>
                </c:pt>
                <c:pt idx="601">
                  <c:v>0.25</c:v>
                </c:pt>
                <c:pt idx="602">
                  <c:v>0.375</c:v>
                </c:pt>
                <c:pt idx="603">
                  <c:v>0.5</c:v>
                </c:pt>
                <c:pt idx="604">
                  <c:v>0.5</c:v>
                </c:pt>
                <c:pt idx="605">
                  <c:v>0.625</c:v>
                </c:pt>
                <c:pt idx="606">
                  <c:v>0.625</c:v>
                </c:pt>
                <c:pt idx="607">
                  <c:v>0.75</c:v>
                </c:pt>
                <c:pt idx="608">
                  <c:v>0.625</c:v>
                </c:pt>
                <c:pt idx="609">
                  <c:v>0.625</c:v>
                </c:pt>
                <c:pt idx="610">
                  <c:v>0.5</c:v>
                </c:pt>
                <c:pt idx="611">
                  <c:v>0.375</c:v>
                </c:pt>
                <c:pt idx="612">
                  <c:v>0.375</c:v>
                </c:pt>
                <c:pt idx="613">
                  <c:v>0.375</c:v>
                </c:pt>
                <c:pt idx="614">
                  <c:v>0.375</c:v>
                </c:pt>
                <c:pt idx="615">
                  <c:v>0.125</c:v>
                </c:pt>
                <c:pt idx="616">
                  <c:v>0.125</c:v>
                </c:pt>
                <c:pt idx="617">
                  <c:v>0.125</c:v>
                </c:pt>
                <c:pt idx="618">
                  <c:v>0.25</c:v>
                </c:pt>
                <c:pt idx="619">
                  <c:v>0.25</c:v>
                </c:pt>
                <c:pt idx="620">
                  <c:v>0.375</c:v>
                </c:pt>
                <c:pt idx="621">
                  <c:v>0.25</c:v>
                </c:pt>
                <c:pt idx="622">
                  <c:v>0.25</c:v>
                </c:pt>
                <c:pt idx="623">
                  <c:v>0.25</c:v>
                </c:pt>
                <c:pt idx="624">
                  <c:v>0.25</c:v>
                </c:pt>
                <c:pt idx="625">
                  <c:v>0.25</c:v>
                </c:pt>
                <c:pt idx="626">
                  <c:v>0.25</c:v>
                </c:pt>
                <c:pt idx="627">
                  <c:v>0.25</c:v>
                </c:pt>
                <c:pt idx="628">
                  <c:v>0.125</c:v>
                </c:pt>
                <c:pt idx="629">
                  <c:v>0.125</c:v>
                </c:pt>
                <c:pt idx="630">
                  <c:v>0.125</c:v>
                </c:pt>
                <c:pt idx="631">
                  <c:v>0.25</c:v>
                </c:pt>
                <c:pt idx="632">
                  <c:v>0.25</c:v>
                </c:pt>
                <c:pt idx="633">
                  <c:v>0.25</c:v>
                </c:pt>
                <c:pt idx="634">
                  <c:v>0.25</c:v>
                </c:pt>
                <c:pt idx="635">
                  <c:v>0.25</c:v>
                </c:pt>
                <c:pt idx="636">
                  <c:v>0.25</c:v>
                </c:pt>
                <c:pt idx="637">
                  <c:v>0.25</c:v>
                </c:pt>
                <c:pt idx="638">
                  <c:v>0.25</c:v>
                </c:pt>
                <c:pt idx="639">
                  <c:v>0.125</c:v>
                </c:pt>
                <c:pt idx="640">
                  <c:v>0.125</c:v>
                </c:pt>
                <c:pt idx="641">
                  <c:v>0.125</c:v>
                </c:pt>
                <c:pt idx="642">
                  <c:v>0</c:v>
                </c:pt>
                <c:pt idx="643">
                  <c:v>0</c:v>
                </c:pt>
                <c:pt idx="644">
                  <c:v>0</c:v>
                </c:pt>
                <c:pt idx="645">
                  <c:v>0</c:v>
                </c:pt>
                <c:pt idx="646">
                  <c:v>0</c:v>
                </c:pt>
                <c:pt idx="647">
                  <c:v>0.125</c:v>
                </c:pt>
                <c:pt idx="648">
                  <c:v>0.125</c:v>
                </c:pt>
                <c:pt idx="649">
                  <c:v>0.125</c:v>
                </c:pt>
                <c:pt idx="650">
                  <c:v>0.125</c:v>
                </c:pt>
                <c:pt idx="651">
                  <c:v>0.125</c:v>
                </c:pt>
                <c:pt idx="652">
                  <c:v>0.125</c:v>
                </c:pt>
                <c:pt idx="653">
                  <c:v>0.25</c:v>
                </c:pt>
                <c:pt idx="654">
                  <c:v>0.25</c:v>
                </c:pt>
                <c:pt idx="655">
                  <c:v>0.25</c:v>
                </c:pt>
                <c:pt idx="656">
                  <c:v>0.25</c:v>
                </c:pt>
                <c:pt idx="657">
                  <c:v>0.25</c:v>
                </c:pt>
                <c:pt idx="658">
                  <c:v>0.375</c:v>
                </c:pt>
                <c:pt idx="659">
                  <c:v>0.5</c:v>
                </c:pt>
                <c:pt idx="660">
                  <c:v>0.5</c:v>
                </c:pt>
                <c:pt idx="661">
                  <c:v>0.375</c:v>
                </c:pt>
                <c:pt idx="662">
                  <c:v>0.375</c:v>
                </c:pt>
                <c:pt idx="663">
                  <c:v>0.25</c:v>
                </c:pt>
                <c:pt idx="664">
                  <c:v>0.375</c:v>
                </c:pt>
                <c:pt idx="665">
                  <c:v>0.375</c:v>
                </c:pt>
                <c:pt idx="666">
                  <c:v>0.25</c:v>
                </c:pt>
                <c:pt idx="667">
                  <c:v>0.125</c:v>
                </c:pt>
                <c:pt idx="668">
                  <c:v>0.25</c:v>
                </c:pt>
                <c:pt idx="669">
                  <c:v>0.25</c:v>
                </c:pt>
                <c:pt idx="670">
                  <c:v>0.25</c:v>
                </c:pt>
                <c:pt idx="671">
                  <c:v>0.25</c:v>
                </c:pt>
                <c:pt idx="672">
                  <c:v>0.25</c:v>
                </c:pt>
                <c:pt idx="673">
                  <c:v>0.25</c:v>
                </c:pt>
                <c:pt idx="674">
                  <c:v>0.25</c:v>
                </c:pt>
                <c:pt idx="675">
                  <c:v>0.25</c:v>
                </c:pt>
                <c:pt idx="676">
                  <c:v>0.125</c:v>
                </c:pt>
                <c:pt idx="677">
                  <c:v>0.125</c:v>
                </c:pt>
                <c:pt idx="678">
                  <c:v>0.125</c:v>
                </c:pt>
                <c:pt idx="679">
                  <c:v>0.125</c:v>
                </c:pt>
                <c:pt idx="680">
                  <c:v>0</c:v>
                </c:pt>
                <c:pt idx="681">
                  <c:v>0</c:v>
                </c:pt>
                <c:pt idx="682">
                  <c:v>0</c:v>
                </c:pt>
                <c:pt idx="683">
                  <c:v>0</c:v>
                </c:pt>
              </c:numCache>
            </c:numRef>
          </c:yVal>
          <c:smooth val="0"/>
          <c:extLst>
            <c:ext xmlns:c16="http://schemas.microsoft.com/office/drawing/2014/chart" uri="{C3380CC4-5D6E-409C-BE32-E72D297353CC}">
              <c16:uniqueId val="{00000001-7550-4B73-821B-4AF85250A4BE}"/>
            </c:ext>
          </c:extLst>
        </c:ser>
        <c:dLbls>
          <c:showLegendKey val="0"/>
          <c:showVal val="0"/>
          <c:showCatName val="0"/>
          <c:showSerName val="0"/>
          <c:showPercent val="0"/>
          <c:showBubbleSize val="0"/>
        </c:dLbls>
        <c:axId val="829862"/>
        <c:axId val="28867992"/>
      </c:scatterChart>
      <c:valAx>
        <c:axId val="829862"/>
        <c:scaling>
          <c:orientation val="minMax"/>
          <c:max val="1000"/>
        </c:scaling>
        <c:delete val="0"/>
        <c:axPos val="b"/>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28867992"/>
        <c:crosses val="autoZero"/>
        <c:crossBetween val="between"/>
        <c:majorUnit val="100"/>
      </c:valAx>
      <c:valAx>
        <c:axId val="28867992"/>
        <c:scaling>
          <c:orientation val="minMax"/>
        </c:scaling>
        <c:delete val="0"/>
        <c:axPos val="l"/>
        <c:majorGridlines>
          <c:spPr>
            <a:ln w="0">
              <a:solidFill>
                <a:srgbClr val="B3B3B3"/>
              </a:solidFill>
            </a:ln>
          </c:spPr>
        </c:majorGridlines>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829862"/>
        <c:crosses val="autoZero"/>
        <c:crossBetween val="between"/>
      </c:valAx>
      <c:spPr>
        <a:noFill/>
        <a:ln w="0">
          <a:solidFill>
            <a:srgbClr val="B3B3B3"/>
          </a:solidFill>
        </a:ln>
      </c:spPr>
    </c:plotArea>
    <c:legend>
      <c:legendPos val="r"/>
      <c:overlay val="0"/>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31</xdr:row>
      <xdr:rowOff>160920</xdr:rowOff>
    </xdr:from>
    <xdr:to>
      <xdr:col>3</xdr:col>
      <xdr:colOff>785520</xdr:colOff>
      <xdr:row>35</xdr:row>
      <xdr:rowOff>109800</xdr:rowOff>
    </xdr:to>
    <xdr:pic>
      <xdr:nvPicPr>
        <xdr:cNvPr id="2" name="Image 3">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xdr:blipFill>
      <xdr:spPr>
        <a:xfrm>
          <a:off x="1882800" y="5358960"/>
          <a:ext cx="1598400" cy="599040"/>
        </a:xfrm>
        <a:prstGeom prst="rect">
          <a:avLst/>
        </a:prstGeom>
        <a:ln w="0">
          <a:noFill/>
        </a:ln>
      </xdr:spPr>
    </xdr:pic>
    <xdr:clientData/>
  </xdr:twoCellAnchor>
  <xdr:twoCellAnchor editAs="oneCell">
    <xdr:from>
      <xdr:col>5</xdr:col>
      <xdr:colOff>4320</xdr:colOff>
      <xdr:row>3</xdr:row>
      <xdr:rowOff>127080</xdr:rowOff>
    </xdr:from>
    <xdr:to>
      <xdr:col>10</xdr:col>
      <xdr:colOff>13680</xdr:colOff>
      <xdr:row>15</xdr:row>
      <xdr:rowOff>104106</xdr:rowOff>
    </xdr:to>
    <xdr:sp macro="" textlink="">
      <xdr:nvSpPr>
        <xdr:cNvPr id="3" name="Text Frame 3">
          <a:extLst>
            <a:ext uri="{FF2B5EF4-FFF2-40B4-BE49-F238E27FC236}">
              <a16:creationId xmlns:a16="http://schemas.microsoft.com/office/drawing/2014/main" id="{00000000-0008-0000-0100-000003000000}"/>
            </a:ext>
          </a:extLst>
        </xdr:cNvPr>
        <xdr:cNvSpPr txBox="1"/>
      </xdr:nvSpPr>
      <xdr:spPr>
        <a:xfrm>
          <a:off x="4703400" y="760320"/>
          <a:ext cx="4073400" cy="1955520"/>
        </a:xfrm>
        <a:prstGeom prst="rect">
          <a:avLst/>
        </a:prstGeom>
        <a:noFill/>
        <a:ln w="0">
          <a:noFill/>
        </a:ln>
      </xdr:spPr>
      <xdr:txBody>
        <a:bodyPr lIns="0" tIns="0" rIns="0" bIns="0" anchor="t">
          <a:noAutofit/>
        </a:bodyPr>
        <a:lstStyle/>
        <a:p>
          <a:r>
            <a:rPr lang="en-GB" sz="1200" b="0" strike="noStrike" spc="-1">
              <a:latin typeface="Calibri"/>
            </a:rPr>
            <a:t>Used microbalance to weigh 10ml sample of fluid, added using precision digital pipette. Added 11x 10ml I total to plastic sample bottle and weighed result (after taring empty bottle weight).</a:t>
          </a:r>
          <a:endParaRPr lang="en-GB" sz="1200" b="0" strike="noStrike" spc="-1">
            <a:latin typeface="Times New Roman"/>
          </a:endParaRPr>
        </a:p>
        <a:p>
          <a:endParaRPr lang="en-GB" sz="1200" b="0" strike="noStrike" spc="-1">
            <a:latin typeface="Times New Roman"/>
          </a:endParaRPr>
        </a:p>
        <a:p>
          <a:r>
            <a:rPr lang="en-GB" sz="1200" b="0" strike="noStrike" spc="-1">
              <a:latin typeface="Calibri"/>
            </a:rPr>
            <a:t>Used bottle sampler to sample 20ml pumped flush + 50ml pumped sample.</a:t>
          </a:r>
          <a:endParaRPr lang="en-GB" sz="1200" b="0" strike="noStrike" spc="-1">
            <a:latin typeface="Times New Roman"/>
          </a:endParaRPr>
        </a:p>
        <a:p>
          <a:endParaRPr lang="en-GB" sz="1200" b="0" strike="noStrike" spc="-1">
            <a:latin typeface="Times New Roman"/>
          </a:endParaRPr>
        </a:p>
        <a:p>
          <a:r>
            <a:rPr lang="en-GB" sz="1200" b="0" strike="noStrike" spc="-1">
              <a:latin typeface="Calibri"/>
            </a:rPr>
            <a:t>Measured final weight of bottle+remaining fluid.</a:t>
          </a:r>
          <a:endParaRPr lang="en-GB" sz="1200" b="0" strike="noStrike" spc="-1">
            <a:latin typeface="Times New Roman"/>
          </a:endParaRPr>
        </a:p>
        <a:p>
          <a:endParaRPr lang="en-GB" sz="12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496660</xdr:colOff>
      <xdr:row>82</xdr:row>
      <xdr:rowOff>68036</xdr:rowOff>
    </xdr:from>
    <xdr:to>
      <xdr:col>1</xdr:col>
      <xdr:colOff>898071</xdr:colOff>
      <xdr:row>84</xdr:row>
      <xdr:rowOff>13607</xdr:rowOff>
    </xdr:to>
    <xdr:sp macro="" textlink="">
      <xdr:nvSpPr>
        <xdr:cNvPr id="2" name="Arrow: Up 1">
          <a:extLst>
            <a:ext uri="{FF2B5EF4-FFF2-40B4-BE49-F238E27FC236}">
              <a16:creationId xmlns:a16="http://schemas.microsoft.com/office/drawing/2014/main" id="{20A71E89-5611-38B3-A6ED-2BB53F76153D}"/>
            </a:ext>
          </a:extLst>
        </xdr:cNvPr>
        <xdr:cNvSpPr/>
      </xdr:nvSpPr>
      <xdr:spPr>
        <a:xfrm>
          <a:off x="1319893" y="14396357"/>
          <a:ext cx="401411" cy="272143"/>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499382</xdr:colOff>
      <xdr:row>85</xdr:row>
      <xdr:rowOff>118381</xdr:rowOff>
    </xdr:from>
    <xdr:to>
      <xdr:col>1</xdr:col>
      <xdr:colOff>900793</xdr:colOff>
      <xdr:row>87</xdr:row>
      <xdr:rowOff>63953</xdr:rowOff>
    </xdr:to>
    <xdr:sp macro="" textlink="">
      <xdr:nvSpPr>
        <xdr:cNvPr id="3" name="Arrow: Up 2">
          <a:extLst>
            <a:ext uri="{FF2B5EF4-FFF2-40B4-BE49-F238E27FC236}">
              <a16:creationId xmlns:a16="http://schemas.microsoft.com/office/drawing/2014/main" id="{F5A1F890-37FA-442E-832A-0D8DD4585F4B}"/>
            </a:ext>
          </a:extLst>
        </xdr:cNvPr>
        <xdr:cNvSpPr/>
      </xdr:nvSpPr>
      <xdr:spPr>
        <a:xfrm>
          <a:off x="1322615" y="14936560"/>
          <a:ext cx="401411" cy="272143"/>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66960</xdr:colOff>
      <xdr:row>49</xdr:row>
      <xdr:rowOff>1800</xdr:rowOff>
    </xdr:from>
    <xdr:to>
      <xdr:col>10</xdr:col>
      <xdr:colOff>695711</xdr:colOff>
      <xdr:row>81</xdr:row>
      <xdr:rowOff>69052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152859</xdr:colOff>
      <xdr:row>3</xdr:row>
      <xdr:rowOff>97531</xdr:rowOff>
    </xdr:from>
    <xdr:to>
      <xdr:col>14</xdr:col>
      <xdr:colOff>557892</xdr:colOff>
      <xdr:row>28</xdr:row>
      <xdr:rowOff>80151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15</xdr:col>
      <xdr:colOff>193618</xdr:colOff>
      <xdr:row>87</xdr:row>
      <xdr:rowOff>87115</xdr:rowOff>
    </xdr:from>
    <xdr:to>
      <xdr:col>29</xdr:col>
      <xdr:colOff>165864</xdr:colOff>
      <xdr:row>109</xdr:row>
      <xdr:rowOff>143381</xdr:rowOff>
    </xdr:to>
    <xdr:sp macro="" textlink="">
      <xdr:nvSpPr>
        <xdr:cNvPr id="4" name="Text Frame 1">
          <a:extLst>
            <a:ext uri="{FF2B5EF4-FFF2-40B4-BE49-F238E27FC236}">
              <a16:creationId xmlns:a16="http://schemas.microsoft.com/office/drawing/2014/main" id="{00000000-0008-0000-0200-000004000000}"/>
            </a:ext>
          </a:extLst>
        </xdr:cNvPr>
        <xdr:cNvSpPr txBox="1"/>
      </xdr:nvSpPr>
      <xdr:spPr>
        <a:xfrm>
          <a:off x="11951790" y="15803365"/>
          <a:ext cx="7143210" cy="3798230"/>
        </a:xfrm>
        <a:prstGeom prst="rect">
          <a:avLst/>
        </a:prstGeom>
        <a:noFill/>
        <a:ln w="0">
          <a:noFill/>
        </a:ln>
      </xdr:spPr>
      <xdr:txBody>
        <a:bodyPr lIns="0" tIns="0" rIns="0" bIns="0" anchor="t">
          <a:noAutofit/>
        </a:bodyPr>
        <a:lstStyle/>
        <a:p>
          <a:r>
            <a:rPr lang="en-GB" sz="1200" b="0" strike="noStrike" spc="-1">
              <a:latin typeface="Arial" panose="020B0604020202020204" pitchFamily="34" charset="0"/>
              <a:cs typeface="Arial" panose="020B0604020202020204" pitchFamily="34" charset="0"/>
            </a:rPr>
            <a:t>Procedure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Make up concentrated suspension of RM8632a such that about 10ml or concentrate increases the tank contamination level by 10% of the estimated coincidence limit. Use the calculator in this worksheet to establish and record mass of dust and fluid volumes.</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Each time another dose is added, start a single online test with 2m flush and 6x 10ml portions. Discard the first portion of each test.</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results are then imported into this spreadsheet and the portions averaged for each dose level.</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averages are entered into the table as well as the added ml of concentrate for each dose.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counts are plotted in the figure and the first 4 results (10,20,30,40% nominal coincidence limit) used to generate a linear regression line.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ENSURE UNIT REMAINS ONLINE (CONNECTED) THROUGHOUT</a:t>
          </a:r>
          <a:r>
            <a:rPr lang="en-GB" sz="1200" b="0" strike="noStrike" spc="-1" baseline="0">
              <a:latin typeface="Arial" panose="020B0604020202020204" pitchFamily="34" charset="0"/>
              <a:cs typeface="Arial" panose="020B0604020202020204" pitchFamily="34" charset="0"/>
            </a:rPr>
            <a:t> </a:t>
          </a:r>
          <a:r>
            <a:rPr lang="en-GB" sz="1200" b="0" strike="noStrike" spc="-1">
              <a:latin typeface="Arial" panose="020B0604020202020204" pitchFamily="34" charset="0"/>
              <a:cs typeface="Arial" panose="020B0604020202020204" pitchFamily="34" charset="0"/>
            </a:rPr>
            <a:t>SO RESULTS ARE LOGGED</a:t>
          </a:r>
        </a:p>
        <a:p>
          <a:endParaRPr lang="en-GB" sz="1200" b="0" strike="noStrike" spc="-1">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19</xdr:col>
      <xdr:colOff>568185</xdr:colOff>
      <xdr:row>71</xdr:row>
      <xdr:rowOff>79915</xdr:rowOff>
    </xdr:from>
    <xdr:to>
      <xdr:col>29</xdr:col>
      <xdr:colOff>555225</xdr:colOff>
      <xdr:row>79</xdr:row>
      <xdr:rowOff>73366</xdr:rowOff>
    </xdr:to>
    <xdr:sp macro="" textlink="">
      <xdr:nvSpPr>
        <xdr:cNvPr id="5" name="Text Frame 1">
          <a:extLst>
            <a:ext uri="{FF2B5EF4-FFF2-40B4-BE49-F238E27FC236}">
              <a16:creationId xmlns:a16="http://schemas.microsoft.com/office/drawing/2014/main" id="{00000000-0008-0000-0400-000005000000}"/>
            </a:ext>
          </a:extLst>
        </xdr:cNvPr>
        <xdr:cNvSpPr txBox="1"/>
      </xdr:nvSpPr>
      <xdr:spPr>
        <a:xfrm>
          <a:off x="16270828" y="12537255"/>
          <a:ext cx="8219361" cy="1354165"/>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A54952E1-AB24-B56A-3465-E856FF6BE20A}"/>
            </a:ext>
          </a:extLst>
        </xdr:cNvPr>
        <xdr:cNvSpPr txBox="1"/>
      </xdr:nvSpPr>
      <xdr:spPr>
        <a:xfrm>
          <a:off x="15503338" y="526676"/>
          <a:ext cx="5137897" cy="76592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17</xdr:row>
      <xdr:rowOff>75050</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27</xdr:row>
      <xdr:rowOff>97200</xdr:rowOff>
    </xdr:from>
    <xdr:to>
      <xdr:col>2</xdr:col>
      <xdr:colOff>528480</xdr:colOff>
      <xdr:row>30</xdr:row>
      <xdr:rowOff>132120</xdr:rowOff>
    </xdr:to>
    <xdr:pic>
      <xdr:nvPicPr>
        <xdr:cNvPr id="7" name="Image 1">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stretch/>
      </xdr:blipFill>
      <xdr:spPr>
        <a:xfrm>
          <a:off x="812880" y="5698440"/>
          <a:ext cx="1598400" cy="599040"/>
        </a:xfrm>
        <a:prstGeom prst="rect">
          <a:avLst/>
        </a:prstGeom>
        <a:ln w="0">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139247</xdr:colOff>
      <xdr:row>32</xdr:row>
      <xdr:rowOff>154080</xdr:rowOff>
    </xdr:from>
    <xdr:to>
      <xdr:col>10</xdr:col>
      <xdr:colOff>535247</xdr:colOff>
      <xdr:row>71</xdr:row>
      <xdr:rowOff>27215</xdr:rowOff>
    </xdr:to>
    <xdr:graphicFrame macro="">
      <xdr:nvGraphicFramePr>
        <xdr:cNvPr id="2" name="Chart 1">
          <a:extLst>
            <a:ext uri="{FF2B5EF4-FFF2-40B4-BE49-F238E27FC236}">
              <a16:creationId xmlns:a16="http://schemas.microsoft.com/office/drawing/2014/main" id="{67D0BF11-6C88-4F00-BB25-96D95617D0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J18"/>
  <sheetViews>
    <sheetView zoomScale="95" zoomScaleNormal="95" workbookViewId="0">
      <selection activeCell="A16" sqref="A16"/>
    </sheetView>
  </sheetViews>
  <sheetFormatPr defaultColWidth="11.53125" defaultRowHeight="12.75" x14ac:dyDescent="0.35"/>
  <cols>
    <col min="1" max="1" width="21.19921875" style="4" customWidth="1"/>
    <col min="2" max="2" width="18.1328125" customWidth="1"/>
    <col min="3" max="3" width="77.46484375" style="4" customWidth="1"/>
  </cols>
  <sheetData>
    <row r="1" spans="1:1024" ht="22.35" customHeight="1" x14ac:dyDescent="0.35">
      <c r="A1" s="5" t="s">
        <v>0</v>
      </c>
      <c r="C1"/>
    </row>
    <row r="2" spans="1:1024" ht="13.15" x14ac:dyDescent="0.4">
      <c r="A2" s="6" t="s">
        <v>1</v>
      </c>
      <c r="B2" s="7" t="s">
        <v>2</v>
      </c>
      <c r="C2" s="6" t="s">
        <v>3</v>
      </c>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8"/>
      <c r="IR2" s="8"/>
      <c r="IS2" s="8"/>
      <c r="IT2" s="8"/>
      <c r="IU2" s="8"/>
      <c r="IV2" s="8"/>
      <c r="IW2" s="8"/>
      <c r="IX2" s="8"/>
      <c r="IY2" s="8"/>
      <c r="IZ2" s="8"/>
      <c r="JA2" s="8"/>
      <c r="JB2" s="8"/>
      <c r="JC2" s="8"/>
      <c r="JD2" s="8"/>
      <c r="JE2" s="8"/>
      <c r="JF2" s="8"/>
      <c r="JG2" s="8"/>
      <c r="JH2" s="8"/>
      <c r="JI2" s="8"/>
      <c r="JJ2" s="8"/>
      <c r="JK2" s="8"/>
      <c r="JL2" s="8"/>
      <c r="JM2" s="8"/>
      <c r="JN2" s="8"/>
      <c r="JO2" s="8"/>
      <c r="JP2" s="8"/>
      <c r="JQ2" s="8"/>
      <c r="JR2" s="8"/>
      <c r="JS2" s="8"/>
      <c r="JT2" s="8"/>
      <c r="JU2" s="8"/>
      <c r="JV2" s="8"/>
      <c r="JW2" s="8"/>
      <c r="JX2" s="8"/>
      <c r="JY2" s="8"/>
      <c r="JZ2" s="8"/>
      <c r="KA2" s="8"/>
      <c r="KB2" s="8"/>
      <c r="KC2" s="8"/>
      <c r="KD2" s="8"/>
      <c r="KE2" s="8"/>
      <c r="KF2" s="8"/>
      <c r="KG2" s="8"/>
      <c r="KH2" s="8"/>
      <c r="KI2" s="8"/>
      <c r="KJ2" s="8"/>
      <c r="KK2" s="8"/>
      <c r="KL2" s="8"/>
      <c r="KM2" s="8"/>
      <c r="KN2" s="8"/>
      <c r="KO2" s="8"/>
      <c r="KP2" s="8"/>
      <c r="KQ2" s="8"/>
      <c r="KR2" s="8"/>
      <c r="KS2" s="8"/>
      <c r="KT2" s="8"/>
      <c r="KU2" s="8"/>
      <c r="KV2" s="8"/>
      <c r="KW2" s="8"/>
      <c r="KX2" s="8"/>
      <c r="KY2" s="8"/>
      <c r="KZ2" s="8"/>
      <c r="LA2" s="8"/>
      <c r="LB2" s="8"/>
      <c r="LC2" s="8"/>
      <c r="LD2" s="8"/>
      <c r="LE2" s="8"/>
      <c r="LF2" s="8"/>
      <c r="LG2" s="8"/>
      <c r="LH2" s="8"/>
      <c r="LI2" s="8"/>
      <c r="LJ2" s="8"/>
      <c r="LK2" s="8"/>
      <c r="LL2" s="8"/>
      <c r="LM2" s="8"/>
      <c r="LN2" s="8"/>
      <c r="LO2" s="8"/>
      <c r="LP2" s="8"/>
      <c r="LQ2" s="8"/>
      <c r="LR2" s="8"/>
      <c r="LS2" s="8"/>
      <c r="LT2" s="8"/>
      <c r="LU2" s="8"/>
      <c r="LV2" s="8"/>
      <c r="LW2" s="8"/>
      <c r="LX2" s="8"/>
      <c r="LY2" s="8"/>
      <c r="LZ2" s="8"/>
      <c r="MA2" s="8"/>
      <c r="MB2" s="8"/>
      <c r="MC2" s="8"/>
      <c r="MD2" s="8"/>
      <c r="ME2" s="8"/>
      <c r="MF2" s="8"/>
      <c r="MG2" s="8"/>
      <c r="MH2" s="8"/>
      <c r="MI2" s="8"/>
      <c r="MJ2" s="8"/>
      <c r="MK2" s="8"/>
      <c r="ML2" s="8"/>
      <c r="MM2" s="8"/>
      <c r="MN2" s="8"/>
      <c r="MO2" s="8"/>
      <c r="MP2" s="8"/>
      <c r="MQ2" s="8"/>
      <c r="MR2" s="8"/>
      <c r="MS2" s="8"/>
      <c r="MT2" s="8"/>
      <c r="MU2" s="8"/>
      <c r="MV2" s="8"/>
      <c r="MW2" s="8"/>
      <c r="MX2" s="8"/>
      <c r="MY2" s="8"/>
      <c r="MZ2" s="8"/>
      <c r="NA2" s="8"/>
      <c r="NB2" s="8"/>
      <c r="NC2" s="8"/>
      <c r="ND2" s="8"/>
      <c r="NE2" s="8"/>
      <c r="NF2" s="8"/>
      <c r="NG2" s="8"/>
      <c r="NH2" s="8"/>
      <c r="NI2" s="8"/>
      <c r="NJ2" s="8"/>
      <c r="NK2" s="8"/>
      <c r="NL2" s="8"/>
      <c r="NM2" s="8"/>
      <c r="NN2" s="8"/>
      <c r="NO2" s="8"/>
      <c r="NP2" s="8"/>
      <c r="NQ2" s="8"/>
      <c r="NR2" s="8"/>
      <c r="NS2" s="8"/>
      <c r="NT2" s="8"/>
      <c r="NU2" s="8"/>
      <c r="NV2" s="8"/>
      <c r="NW2" s="8"/>
      <c r="NX2" s="8"/>
      <c r="NY2" s="8"/>
      <c r="NZ2" s="8"/>
      <c r="OA2" s="8"/>
      <c r="OB2" s="8"/>
      <c r="OC2" s="8"/>
      <c r="OD2" s="8"/>
      <c r="OE2" s="8"/>
      <c r="OF2" s="8"/>
      <c r="OG2" s="8"/>
      <c r="OH2" s="8"/>
      <c r="OI2" s="8"/>
      <c r="OJ2" s="8"/>
      <c r="OK2" s="8"/>
      <c r="OL2" s="8"/>
      <c r="OM2" s="8"/>
      <c r="ON2" s="8"/>
      <c r="OO2" s="8"/>
      <c r="OP2" s="8"/>
      <c r="OQ2" s="8"/>
      <c r="OR2" s="8"/>
      <c r="OS2" s="8"/>
      <c r="OT2" s="8"/>
      <c r="OU2" s="8"/>
      <c r="OV2" s="8"/>
      <c r="OW2" s="8"/>
      <c r="OX2" s="8"/>
      <c r="OY2" s="8"/>
      <c r="OZ2" s="8"/>
      <c r="PA2" s="8"/>
      <c r="PB2" s="8"/>
      <c r="PC2" s="8"/>
      <c r="PD2" s="8"/>
      <c r="PE2" s="8"/>
      <c r="PF2" s="8"/>
      <c r="PG2" s="8"/>
      <c r="PH2" s="8"/>
      <c r="PI2" s="8"/>
      <c r="PJ2" s="8"/>
      <c r="PK2" s="8"/>
      <c r="PL2" s="8"/>
      <c r="PM2" s="8"/>
      <c r="PN2" s="8"/>
      <c r="PO2" s="8"/>
      <c r="PP2" s="8"/>
      <c r="PQ2" s="8"/>
      <c r="PR2" s="8"/>
      <c r="PS2" s="8"/>
      <c r="PT2" s="8"/>
      <c r="PU2" s="8"/>
      <c r="PV2" s="8"/>
      <c r="PW2" s="8"/>
      <c r="PX2" s="8"/>
      <c r="PY2" s="8"/>
      <c r="PZ2" s="8"/>
      <c r="QA2" s="8"/>
      <c r="QB2" s="8"/>
      <c r="QC2" s="8"/>
      <c r="QD2" s="8"/>
      <c r="QE2" s="8"/>
      <c r="QF2" s="8"/>
      <c r="QG2" s="8"/>
      <c r="QH2" s="8"/>
      <c r="QI2" s="8"/>
      <c r="QJ2" s="8"/>
      <c r="QK2" s="8"/>
      <c r="QL2" s="8"/>
      <c r="QM2" s="8"/>
      <c r="QN2" s="8"/>
      <c r="QO2" s="8"/>
      <c r="QP2" s="8"/>
      <c r="QQ2" s="8"/>
      <c r="QR2" s="8"/>
      <c r="QS2" s="8"/>
      <c r="QT2" s="8"/>
      <c r="QU2" s="8"/>
      <c r="QV2" s="8"/>
      <c r="QW2" s="8"/>
      <c r="QX2" s="8"/>
      <c r="QY2" s="8"/>
      <c r="QZ2" s="8"/>
      <c r="RA2" s="8"/>
      <c r="RB2" s="8"/>
      <c r="RC2" s="8"/>
      <c r="RD2" s="8"/>
      <c r="RE2" s="8"/>
      <c r="RF2" s="8"/>
      <c r="RG2" s="8"/>
      <c r="RH2" s="8"/>
      <c r="RI2" s="8"/>
      <c r="RJ2" s="8"/>
      <c r="RK2" s="8"/>
      <c r="RL2" s="8"/>
      <c r="RM2" s="8"/>
      <c r="RN2" s="8"/>
      <c r="RO2" s="8"/>
      <c r="RP2" s="8"/>
      <c r="RQ2" s="8"/>
      <c r="RR2" s="8"/>
      <c r="RS2" s="8"/>
      <c r="RT2" s="8"/>
      <c r="RU2" s="8"/>
      <c r="RV2" s="8"/>
      <c r="RW2" s="8"/>
      <c r="RX2" s="8"/>
      <c r="RY2" s="8"/>
      <c r="RZ2" s="8"/>
      <c r="SA2" s="8"/>
      <c r="SB2" s="8"/>
      <c r="SC2" s="8"/>
      <c r="SD2" s="8"/>
      <c r="SE2" s="8"/>
      <c r="SF2" s="8"/>
      <c r="SG2" s="8"/>
      <c r="SH2" s="8"/>
      <c r="SI2" s="8"/>
      <c r="SJ2" s="8"/>
      <c r="SK2" s="8"/>
      <c r="SL2" s="8"/>
      <c r="SM2" s="8"/>
      <c r="SN2" s="8"/>
      <c r="SO2" s="8"/>
      <c r="SP2" s="8"/>
      <c r="SQ2" s="8"/>
      <c r="SR2" s="8"/>
      <c r="SS2" s="8"/>
      <c r="ST2" s="8"/>
      <c r="SU2" s="8"/>
      <c r="SV2" s="8"/>
      <c r="SW2" s="8"/>
      <c r="SX2" s="8"/>
      <c r="SY2" s="8"/>
      <c r="SZ2" s="8"/>
      <c r="TA2" s="8"/>
      <c r="TB2" s="8"/>
      <c r="TC2" s="8"/>
      <c r="TD2" s="8"/>
      <c r="TE2" s="8"/>
      <c r="TF2" s="8"/>
      <c r="TG2" s="8"/>
      <c r="TH2" s="8"/>
      <c r="TI2" s="8"/>
      <c r="TJ2" s="8"/>
      <c r="TK2" s="8"/>
      <c r="TL2" s="8"/>
      <c r="TM2" s="8"/>
      <c r="TN2" s="8"/>
      <c r="TO2" s="8"/>
      <c r="TP2" s="8"/>
      <c r="TQ2" s="8"/>
      <c r="TR2" s="8"/>
      <c r="TS2" s="8"/>
      <c r="TT2" s="8"/>
      <c r="TU2" s="8"/>
      <c r="TV2" s="8"/>
      <c r="TW2" s="8"/>
      <c r="TX2" s="8"/>
      <c r="TY2" s="8"/>
      <c r="TZ2" s="8"/>
      <c r="UA2" s="8"/>
      <c r="UB2" s="8"/>
      <c r="UC2" s="8"/>
      <c r="UD2" s="8"/>
      <c r="UE2" s="8"/>
      <c r="UF2" s="8"/>
      <c r="UG2" s="8"/>
      <c r="UH2" s="8"/>
      <c r="UI2" s="8"/>
      <c r="UJ2" s="8"/>
      <c r="UK2" s="8"/>
      <c r="UL2" s="8"/>
      <c r="UM2" s="8"/>
      <c r="UN2" s="8"/>
      <c r="UO2" s="8"/>
      <c r="UP2" s="8"/>
      <c r="UQ2" s="8"/>
      <c r="UR2" s="8"/>
      <c r="US2" s="8"/>
      <c r="UT2" s="8"/>
      <c r="UU2" s="8"/>
      <c r="UV2" s="8"/>
      <c r="UW2" s="8"/>
      <c r="UX2" s="8"/>
      <c r="UY2" s="8"/>
      <c r="UZ2" s="8"/>
      <c r="VA2" s="8"/>
      <c r="VB2" s="8"/>
      <c r="VC2" s="8"/>
      <c r="VD2" s="8"/>
      <c r="VE2" s="8"/>
      <c r="VF2" s="8"/>
      <c r="VG2" s="8"/>
      <c r="VH2" s="8"/>
      <c r="VI2" s="8"/>
      <c r="VJ2" s="8"/>
      <c r="VK2" s="8"/>
      <c r="VL2" s="8"/>
      <c r="VM2" s="8"/>
      <c r="VN2" s="8"/>
      <c r="VO2" s="8"/>
      <c r="VP2" s="8"/>
      <c r="VQ2" s="8"/>
      <c r="VR2" s="8"/>
      <c r="VS2" s="8"/>
      <c r="VT2" s="8"/>
      <c r="VU2" s="8"/>
      <c r="VV2" s="8"/>
      <c r="VW2" s="8"/>
      <c r="VX2" s="8"/>
      <c r="VY2" s="8"/>
      <c r="VZ2" s="8"/>
      <c r="WA2" s="8"/>
      <c r="WB2" s="8"/>
      <c r="WC2" s="8"/>
      <c r="WD2" s="8"/>
      <c r="WE2" s="8"/>
      <c r="WF2" s="8"/>
      <c r="WG2" s="8"/>
      <c r="WH2" s="8"/>
      <c r="WI2" s="8"/>
      <c r="WJ2" s="8"/>
      <c r="WK2" s="8"/>
      <c r="WL2" s="8"/>
      <c r="WM2" s="8"/>
      <c r="WN2" s="8"/>
      <c r="WO2" s="8"/>
      <c r="WP2" s="8"/>
      <c r="WQ2" s="8"/>
      <c r="WR2" s="8"/>
      <c r="WS2" s="8"/>
      <c r="WT2" s="8"/>
      <c r="WU2" s="8"/>
      <c r="WV2" s="8"/>
      <c r="WW2" s="8"/>
      <c r="WX2" s="8"/>
      <c r="WY2" s="8"/>
      <c r="WZ2" s="8"/>
      <c r="XA2" s="8"/>
      <c r="XB2" s="8"/>
      <c r="XC2" s="8"/>
      <c r="XD2" s="8"/>
      <c r="XE2" s="8"/>
      <c r="XF2" s="8"/>
      <c r="XG2" s="8"/>
      <c r="XH2" s="8"/>
      <c r="XI2" s="8"/>
      <c r="XJ2" s="8"/>
      <c r="XK2" s="8"/>
      <c r="XL2" s="8"/>
      <c r="XM2" s="8"/>
      <c r="XN2" s="8"/>
      <c r="XO2" s="8"/>
      <c r="XP2" s="8"/>
      <c r="XQ2" s="8"/>
      <c r="XR2" s="8"/>
      <c r="XS2" s="8"/>
      <c r="XT2" s="8"/>
      <c r="XU2" s="8"/>
      <c r="XV2" s="8"/>
      <c r="XW2" s="8"/>
      <c r="XX2" s="8"/>
      <c r="XY2" s="8"/>
      <c r="XZ2" s="8"/>
      <c r="YA2" s="8"/>
      <c r="YB2" s="8"/>
      <c r="YC2" s="8"/>
      <c r="YD2" s="8"/>
      <c r="YE2" s="8"/>
      <c r="YF2" s="8"/>
      <c r="YG2" s="8"/>
      <c r="YH2" s="8"/>
      <c r="YI2" s="8"/>
      <c r="YJ2" s="8"/>
      <c r="YK2" s="8"/>
      <c r="YL2" s="8"/>
      <c r="YM2" s="8"/>
      <c r="YN2" s="8"/>
      <c r="YO2" s="8"/>
      <c r="YP2" s="8"/>
      <c r="YQ2" s="8"/>
      <c r="YR2" s="8"/>
      <c r="YS2" s="8"/>
      <c r="YT2" s="8"/>
      <c r="YU2" s="8"/>
      <c r="YV2" s="8"/>
      <c r="YW2" s="8"/>
      <c r="YX2" s="8"/>
      <c r="YY2" s="8"/>
      <c r="YZ2" s="8"/>
      <c r="ZA2" s="8"/>
      <c r="ZB2" s="8"/>
      <c r="ZC2" s="8"/>
      <c r="ZD2" s="8"/>
      <c r="ZE2" s="8"/>
      <c r="ZF2" s="8"/>
      <c r="ZG2" s="8"/>
      <c r="ZH2" s="8"/>
      <c r="ZI2" s="8"/>
      <c r="ZJ2" s="8"/>
      <c r="ZK2" s="8"/>
      <c r="ZL2" s="8"/>
      <c r="ZM2" s="8"/>
      <c r="ZN2" s="8"/>
      <c r="ZO2" s="8"/>
      <c r="ZP2" s="8"/>
      <c r="ZQ2" s="8"/>
      <c r="ZR2" s="8"/>
      <c r="ZS2" s="8"/>
      <c r="ZT2" s="8"/>
      <c r="ZU2" s="8"/>
      <c r="ZV2" s="8"/>
      <c r="ZW2" s="8"/>
      <c r="ZX2" s="8"/>
      <c r="ZY2" s="8"/>
      <c r="ZZ2" s="8"/>
      <c r="AAA2" s="8"/>
      <c r="AAB2" s="8"/>
      <c r="AAC2" s="8"/>
      <c r="AAD2" s="8"/>
      <c r="AAE2" s="8"/>
      <c r="AAF2" s="8"/>
      <c r="AAG2" s="8"/>
      <c r="AAH2" s="8"/>
      <c r="AAI2" s="8"/>
      <c r="AAJ2" s="8"/>
      <c r="AAK2" s="8"/>
      <c r="AAL2" s="8"/>
      <c r="AAM2" s="8"/>
      <c r="AAN2" s="8"/>
      <c r="AAO2" s="8"/>
      <c r="AAP2" s="8"/>
      <c r="AAQ2" s="8"/>
      <c r="AAR2" s="8"/>
      <c r="AAS2" s="8"/>
      <c r="AAT2" s="8"/>
      <c r="AAU2" s="8"/>
      <c r="AAV2" s="8"/>
      <c r="AAW2" s="8"/>
      <c r="AAX2" s="8"/>
      <c r="AAY2" s="8"/>
      <c r="AAZ2" s="8"/>
      <c r="ABA2" s="8"/>
      <c r="ABB2" s="8"/>
      <c r="ABC2" s="8"/>
      <c r="ABD2" s="8"/>
      <c r="ABE2" s="8"/>
      <c r="ABF2" s="8"/>
      <c r="ABG2" s="8"/>
      <c r="ABH2" s="8"/>
      <c r="ABI2" s="8"/>
      <c r="ABJ2" s="8"/>
      <c r="ABK2" s="8"/>
      <c r="ABL2" s="8"/>
      <c r="ABM2" s="8"/>
      <c r="ABN2" s="8"/>
      <c r="ABO2" s="8"/>
      <c r="ABP2" s="8"/>
      <c r="ABQ2" s="8"/>
      <c r="ABR2" s="8"/>
      <c r="ABS2" s="8"/>
      <c r="ABT2" s="8"/>
      <c r="ABU2" s="8"/>
      <c r="ABV2" s="8"/>
      <c r="ABW2" s="8"/>
      <c r="ABX2" s="8"/>
      <c r="ABY2" s="8"/>
      <c r="ABZ2" s="8"/>
      <c r="ACA2" s="8"/>
      <c r="ACB2" s="8"/>
      <c r="ACC2" s="8"/>
      <c r="ACD2" s="8"/>
      <c r="ACE2" s="8"/>
      <c r="ACF2" s="8"/>
      <c r="ACG2" s="8"/>
      <c r="ACH2" s="8"/>
      <c r="ACI2" s="8"/>
      <c r="ACJ2" s="8"/>
      <c r="ACK2" s="8"/>
      <c r="ACL2" s="8"/>
      <c r="ACM2" s="8"/>
      <c r="ACN2" s="8"/>
      <c r="ACO2" s="8"/>
      <c r="ACP2" s="8"/>
      <c r="ACQ2" s="8"/>
      <c r="ACR2" s="8"/>
      <c r="ACS2" s="8"/>
      <c r="ACT2" s="8"/>
      <c r="ACU2" s="8"/>
      <c r="ACV2" s="8"/>
      <c r="ACW2" s="8"/>
      <c r="ACX2" s="8"/>
      <c r="ACY2" s="8"/>
      <c r="ACZ2" s="8"/>
      <c r="ADA2" s="8"/>
      <c r="ADB2" s="8"/>
      <c r="ADC2" s="8"/>
      <c r="ADD2" s="8"/>
      <c r="ADE2" s="8"/>
      <c r="ADF2" s="8"/>
      <c r="ADG2" s="8"/>
      <c r="ADH2" s="8"/>
      <c r="ADI2" s="8"/>
      <c r="ADJ2" s="8"/>
      <c r="ADK2" s="8"/>
      <c r="ADL2" s="8"/>
      <c r="ADM2" s="8"/>
      <c r="ADN2" s="8"/>
      <c r="ADO2" s="8"/>
      <c r="ADP2" s="8"/>
      <c r="ADQ2" s="8"/>
      <c r="ADR2" s="8"/>
      <c r="ADS2" s="8"/>
      <c r="ADT2" s="8"/>
      <c r="ADU2" s="8"/>
      <c r="ADV2" s="8"/>
      <c r="ADW2" s="8"/>
      <c r="ADX2" s="8"/>
      <c r="ADY2" s="8"/>
      <c r="ADZ2" s="8"/>
      <c r="AEA2" s="8"/>
      <c r="AEB2" s="8"/>
      <c r="AEC2" s="8"/>
      <c r="AED2" s="8"/>
      <c r="AEE2" s="8"/>
      <c r="AEF2" s="8"/>
      <c r="AEG2" s="8"/>
      <c r="AEH2" s="8"/>
      <c r="AEI2" s="8"/>
      <c r="AEJ2" s="8"/>
      <c r="AEK2" s="8"/>
      <c r="AEL2" s="8"/>
      <c r="AEM2" s="8"/>
      <c r="AEN2" s="8"/>
      <c r="AEO2" s="8"/>
      <c r="AEP2" s="8"/>
      <c r="AEQ2" s="8"/>
      <c r="AER2" s="8"/>
      <c r="AES2" s="8"/>
      <c r="AET2" s="8"/>
      <c r="AEU2" s="8"/>
      <c r="AEV2" s="8"/>
      <c r="AEW2" s="8"/>
      <c r="AEX2" s="8"/>
      <c r="AEY2" s="8"/>
      <c r="AEZ2" s="8"/>
      <c r="AFA2" s="8"/>
      <c r="AFB2" s="8"/>
      <c r="AFC2" s="8"/>
      <c r="AFD2" s="8"/>
      <c r="AFE2" s="8"/>
      <c r="AFF2" s="8"/>
      <c r="AFG2" s="8"/>
      <c r="AFH2" s="8"/>
      <c r="AFI2" s="8"/>
      <c r="AFJ2" s="8"/>
      <c r="AFK2" s="8"/>
      <c r="AFL2" s="8"/>
      <c r="AFM2" s="8"/>
      <c r="AFN2" s="8"/>
      <c r="AFO2" s="8"/>
      <c r="AFP2" s="8"/>
      <c r="AFQ2" s="8"/>
      <c r="AFR2" s="8"/>
      <c r="AFS2" s="8"/>
      <c r="AFT2" s="8"/>
      <c r="AFU2" s="8"/>
      <c r="AFV2" s="8"/>
      <c r="AFW2" s="8"/>
      <c r="AFX2" s="8"/>
      <c r="AFY2" s="8"/>
      <c r="AFZ2" s="8"/>
      <c r="AGA2" s="8"/>
      <c r="AGB2" s="8"/>
      <c r="AGC2" s="8"/>
      <c r="AGD2" s="8"/>
      <c r="AGE2" s="8"/>
      <c r="AGF2" s="8"/>
      <c r="AGG2" s="8"/>
      <c r="AGH2" s="8"/>
      <c r="AGI2" s="8"/>
      <c r="AGJ2" s="8"/>
      <c r="AGK2" s="8"/>
      <c r="AGL2" s="8"/>
      <c r="AGM2" s="8"/>
      <c r="AGN2" s="8"/>
      <c r="AGO2" s="8"/>
      <c r="AGP2" s="8"/>
      <c r="AGQ2" s="8"/>
      <c r="AGR2" s="8"/>
      <c r="AGS2" s="8"/>
      <c r="AGT2" s="8"/>
      <c r="AGU2" s="8"/>
      <c r="AGV2" s="8"/>
      <c r="AGW2" s="8"/>
      <c r="AGX2" s="8"/>
      <c r="AGY2" s="8"/>
      <c r="AGZ2" s="8"/>
      <c r="AHA2" s="8"/>
      <c r="AHB2" s="8"/>
      <c r="AHC2" s="8"/>
      <c r="AHD2" s="8"/>
      <c r="AHE2" s="8"/>
      <c r="AHF2" s="8"/>
      <c r="AHG2" s="8"/>
      <c r="AHH2" s="8"/>
      <c r="AHI2" s="8"/>
      <c r="AHJ2" s="8"/>
      <c r="AHK2" s="8"/>
      <c r="AHL2" s="8"/>
      <c r="AHM2" s="8"/>
      <c r="AHN2" s="8"/>
      <c r="AHO2" s="8"/>
      <c r="AHP2" s="8"/>
      <c r="AHQ2" s="8"/>
      <c r="AHR2" s="8"/>
      <c r="AHS2" s="8"/>
      <c r="AHT2" s="8"/>
      <c r="AHU2" s="8"/>
      <c r="AHV2" s="8"/>
      <c r="AHW2" s="8"/>
      <c r="AHX2" s="8"/>
      <c r="AHY2" s="8"/>
      <c r="AHZ2" s="8"/>
      <c r="AIA2" s="8"/>
      <c r="AIB2" s="8"/>
      <c r="AIC2" s="8"/>
      <c r="AID2" s="8"/>
      <c r="AIE2" s="8"/>
      <c r="AIF2" s="8"/>
      <c r="AIG2" s="8"/>
      <c r="AIH2" s="8"/>
      <c r="AII2" s="8"/>
      <c r="AIJ2" s="8"/>
      <c r="AIK2" s="8"/>
      <c r="AIL2" s="8"/>
      <c r="AIM2" s="8"/>
      <c r="AIN2" s="8"/>
      <c r="AIO2" s="8"/>
      <c r="AIP2" s="8"/>
      <c r="AIQ2" s="8"/>
      <c r="AIR2" s="8"/>
      <c r="AIS2" s="8"/>
      <c r="AIT2" s="8"/>
      <c r="AIU2" s="8"/>
      <c r="AIV2" s="8"/>
      <c r="AIW2" s="8"/>
      <c r="AIX2" s="8"/>
      <c r="AIY2" s="8"/>
      <c r="AIZ2" s="8"/>
      <c r="AJA2" s="8"/>
      <c r="AJB2" s="8"/>
      <c r="AJC2" s="8"/>
      <c r="AJD2" s="8"/>
      <c r="AJE2" s="8"/>
      <c r="AJF2" s="8"/>
      <c r="AJG2" s="8"/>
      <c r="AJH2" s="8"/>
      <c r="AJI2" s="8"/>
      <c r="AJJ2" s="8"/>
      <c r="AJK2" s="8"/>
      <c r="AJL2" s="8"/>
      <c r="AJM2" s="8"/>
      <c r="AJN2" s="8"/>
      <c r="AJO2" s="8"/>
      <c r="AJP2" s="8"/>
      <c r="AJQ2" s="8"/>
      <c r="AJR2" s="8"/>
      <c r="AJS2" s="8"/>
      <c r="AJT2" s="8"/>
      <c r="AJU2" s="8"/>
      <c r="AJV2" s="8"/>
      <c r="AJW2" s="8"/>
      <c r="AJX2" s="8"/>
      <c r="AJY2" s="8"/>
      <c r="AJZ2" s="8"/>
      <c r="AKA2" s="8"/>
      <c r="AKB2" s="8"/>
      <c r="AKC2" s="8"/>
      <c r="AKD2" s="8"/>
      <c r="AKE2" s="8"/>
      <c r="AKF2" s="8"/>
      <c r="AKG2" s="8"/>
      <c r="AKH2" s="8"/>
      <c r="AKI2" s="8"/>
      <c r="AKJ2" s="8"/>
      <c r="AKK2" s="8"/>
      <c r="AKL2" s="8"/>
      <c r="AKM2" s="8"/>
      <c r="AKN2" s="8"/>
      <c r="AKO2" s="8"/>
      <c r="AKP2" s="8"/>
      <c r="AKQ2" s="8"/>
      <c r="AKR2" s="8"/>
      <c r="AKS2" s="8"/>
      <c r="AKT2" s="8"/>
      <c r="AKU2" s="8"/>
      <c r="AKV2" s="8"/>
      <c r="AKW2" s="8"/>
      <c r="AKX2" s="8"/>
      <c r="AKY2" s="8"/>
      <c r="AKZ2" s="8"/>
      <c r="ALA2" s="8"/>
      <c r="ALB2" s="8"/>
      <c r="ALC2" s="8"/>
      <c r="ALD2" s="8"/>
      <c r="ALE2" s="8"/>
      <c r="ALF2" s="8"/>
      <c r="ALG2" s="8"/>
      <c r="ALH2" s="8"/>
      <c r="ALI2" s="8"/>
      <c r="ALJ2" s="8"/>
      <c r="ALK2" s="8"/>
      <c r="ALL2" s="8"/>
      <c r="ALM2" s="8"/>
      <c r="ALN2" s="8"/>
      <c r="ALO2" s="8"/>
      <c r="ALP2" s="8"/>
      <c r="ALQ2" s="8"/>
      <c r="ALR2" s="8"/>
      <c r="ALS2" s="8"/>
      <c r="ALT2" s="8"/>
      <c r="ALU2" s="8"/>
      <c r="ALV2" s="8"/>
      <c r="ALW2" s="8"/>
      <c r="ALX2" s="8"/>
      <c r="ALY2" s="8"/>
      <c r="ALZ2" s="8"/>
      <c r="AMA2" s="8"/>
      <c r="AMB2" s="8"/>
      <c r="AMC2" s="8"/>
      <c r="AMD2" s="8"/>
      <c r="AME2" s="8"/>
      <c r="AMF2" s="8"/>
      <c r="AMG2" s="8"/>
      <c r="AMH2" s="8"/>
      <c r="AMI2" s="8"/>
      <c r="AMJ2" s="8"/>
    </row>
    <row r="3" spans="1:1024" ht="67.150000000000006" customHeight="1" x14ac:dyDescent="0.35">
      <c r="A3" s="2" t="s">
        <v>4</v>
      </c>
      <c r="B3" s="9" t="s">
        <v>5</v>
      </c>
      <c r="C3" s="2" t="s">
        <v>6</v>
      </c>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c r="GF3" s="9"/>
      <c r="GG3" s="9"/>
      <c r="GH3" s="9"/>
      <c r="GI3" s="9"/>
      <c r="GJ3" s="9"/>
      <c r="GK3" s="9"/>
      <c r="GL3" s="9"/>
      <c r="GM3" s="9"/>
      <c r="GN3" s="9"/>
      <c r="GO3" s="9"/>
      <c r="GP3" s="9"/>
      <c r="GQ3" s="9"/>
      <c r="GR3" s="9"/>
      <c r="GS3" s="9"/>
      <c r="GT3" s="9"/>
      <c r="GU3" s="9"/>
      <c r="GV3" s="9"/>
      <c r="GW3" s="9"/>
      <c r="GX3" s="9"/>
      <c r="GY3" s="9"/>
      <c r="GZ3" s="9"/>
      <c r="HA3" s="9"/>
      <c r="HB3" s="9"/>
      <c r="HC3" s="9"/>
      <c r="HD3" s="9"/>
      <c r="HE3" s="9"/>
      <c r="HF3" s="9"/>
      <c r="HG3" s="9"/>
      <c r="HH3" s="9"/>
      <c r="HI3" s="9"/>
      <c r="HJ3" s="9"/>
      <c r="HK3" s="9"/>
      <c r="HL3" s="9"/>
      <c r="HM3" s="9"/>
      <c r="HN3" s="9"/>
      <c r="HO3" s="9"/>
      <c r="HP3" s="9"/>
      <c r="HQ3" s="9"/>
      <c r="HR3" s="9"/>
      <c r="HS3" s="9"/>
      <c r="HT3" s="9"/>
      <c r="HU3" s="9"/>
      <c r="HV3" s="9"/>
      <c r="HW3" s="9"/>
      <c r="HX3" s="9"/>
      <c r="HY3" s="9"/>
      <c r="HZ3" s="9"/>
      <c r="IA3" s="9"/>
      <c r="IB3" s="9"/>
      <c r="IC3" s="9"/>
      <c r="ID3" s="9"/>
      <c r="IE3" s="9"/>
      <c r="IF3" s="9"/>
      <c r="IG3" s="9"/>
      <c r="IH3" s="9"/>
      <c r="II3" s="9"/>
      <c r="IJ3" s="9"/>
      <c r="IK3" s="9"/>
      <c r="IL3" s="9"/>
      <c r="IM3" s="9"/>
      <c r="IN3" s="9"/>
      <c r="IO3" s="9"/>
      <c r="IP3" s="9"/>
      <c r="IQ3" s="9"/>
      <c r="IR3" s="9"/>
      <c r="IS3" s="9"/>
      <c r="IT3" s="9"/>
      <c r="IU3" s="9"/>
      <c r="IV3" s="9"/>
      <c r="IW3" s="9"/>
      <c r="IX3" s="9"/>
      <c r="IY3" s="9"/>
      <c r="IZ3" s="9"/>
      <c r="JA3" s="9"/>
      <c r="JB3" s="9"/>
      <c r="JC3" s="9"/>
      <c r="JD3" s="9"/>
      <c r="JE3" s="9"/>
      <c r="JF3" s="9"/>
      <c r="JG3" s="9"/>
      <c r="JH3" s="9"/>
      <c r="JI3" s="9"/>
      <c r="JJ3" s="9"/>
      <c r="JK3" s="9"/>
      <c r="JL3" s="9"/>
      <c r="JM3" s="9"/>
      <c r="JN3" s="9"/>
      <c r="JO3" s="9"/>
      <c r="JP3" s="9"/>
      <c r="JQ3" s="9"/>
      <c r="JR3" s="9"/>
      <c r="JS3" s="9"/>
      <c r="JT3" s="9"/>
      <c r="JU3" s="9"/>
      <c r="JV3" s="9"/>
      <c r="JW3" s="9"/>
      <c r="JX3" s="9"/>
      <c r="JY3" s="9"/>
      <c r="JZ3" s="9"/>
      <c r="KA3" s="9"/>
      <c r="KB3" s="9"/>
      <c r="KC3" s="9"/>
      <c r="KD3" s="9"/>
      <c r="KE3" s="9"/>
      <c r="KF3" s="9"/>
      <c r="KG3" s="9"/>
      <c r="KH3" s="9"/>
      <c r="KI3" s="9"/>
      <c r="KJ3" s="9"/>
      <c r="KK3" s="9"/>
      <c r="KL3" s="9"/>
      <c r="KM3" s="9"/>
      <c r="KN3" s="9"/>
      <c r="KO3" s="9"/>
      <c r="KP3" s="9"/>
      <c r="KQ3" s="9"/>
      <c r="KR3" s="9"/>
      <c r="KS3" s="9"/>
      <c r="KT3" s="9"/>
      <c r="KU3" s="9"/>
      <c r="KV3" s="9"/>
      <c r="KW3" s="9"/>
      <c r="KX3" s="9"/>
      <c r="KY3" s="9"/>
      <c r="KZ3" s="9"/>
      <c r="LA3" s="9"/>
      <c r="LB3" s="9"/>
      <c r="LC3" s="9"/>
      <c r="LD3" s="9"/>
      <c r="LE3" s="9"/>
      <c r="LF3" s="9"/>
      <c r="LG3" s="9"/>
      <c r="LH3" s="9"/>
      <c r="LI3" s="9"/>
      <c r="LJ3" s="9"/>
      <c r="LK3" s="9"/>
      <c r="LL3" s="9"/>
      <c r="LM3" s="9"/>
      <c r="LN3" s="9"/>
      <c r="LO3" s="9"/>
      <c r="LP3" s="9"/>
      <c r="LQ3" s="9"/>
      <c r="LR3" s="9"/>
      <c r="LS3" s="9"/>
      <c r="LT3" s="9"/>
      <c r="LU3" s="9"/>
      <c r="LV3" s="9"/>
      <c r="LW3" s="9"/>
      <c r="LX3" s="9"/>
      <c r="LY3" s="9"/>
      <c r="LZ3" s="9"/>
      <c r="MA3" s="9"/>
      <c r="MB3" s="9"/>
      <c r="MC3" s="9"/>
      <c r="MD3" s="9"/>
      <c r="ME3" s="9"/>
      <c r="MF3" s="9"/>
      <c r="MG3" s="9"/>
      <c r="MH3" s="9"/>
      <c r="MI3" s="9"/>
      <c r="MJ3" s="9"/>
      <c r="MK3" s="9"/>
      <c r="ML3" s="9"/>
      <c r="MM3" s="9"/>
      <c r="MN3" s="9"/>
      <c r="MO3" s="9"/>
      <c r="MP3" s="9"/>
      <c r="MQ3" s="9"/>
      <c r="MR3" s="9"/>
      <c r="MS3" s="9"/>
      <c r="MT3" s="9"/>
      <c r="MU3" s="9"/>
      <c r="MV3" s="9"/>
      <c r="MW3" s="9"/>
      <c r="MX3" s="9"/>
      <c r="MY3" s="9"/>
      <c r="MZ3" s="9"/>
      <c r="NA3" s="9"/>
      <c r="NB3" s="9"/>
      <c r="NC3" s="9"/>
      <c r="ND3" s="9"/>
      <c r="NE3" s="9"/>
      <c r="NF3" s="9"/>
      <c r="NG3" s="9"/>
      <c r="NH3" s="9"/>
      <c r="NI3" s="9"/>
      <c r="NJ3" s="9"/>
      <c r="NK3" s="9"/>
      <c r="NL3" s="9"/>
      <c r="NM3" s="9"/>
      <c r="NN3" s="9"/>
      <c r="NO3" s="9"/>
      <c r="NP3" s="9"/>
      <c r="NQ3" s="9"/>
      <c r="NR3" s="9"/>
      <c r="NS3" s="9"/>
      <c r="NT3" s="9"/>
      <c r="NU3" s="9"/>
      <c r="NV3" s="9"/>
      <c r="NW3" s="9"/>
      <c r="NX3" s="9"/>
      <c r="NY3" s="9"/>
      <c r="NZ3" s="9"/>
      <c r="OA3" s="9"/>
      <c r="OB3" s="9"/>
      <c r="OC3" s="9"/>
      <c r="OD3" s="9"/>
      <c r="OE3" s="9"/>
      <c r="OF3" s="9"/>
      <c r="OG3" s="9"/>
      <c r="OH3" s="9"/>
      <c r="OI3" s="9"/>
      <c r="OJ3" s="9"/>
      <c r="OK3" s="9"/>
      <c r="OL3" s="9"/>
      <c r="OM3" s="9"/>
      <c r="ON3" s="9"/>
      <c r="OO3" s="9"/>
      <c r="OP3" s="9"/>
      <c r="OQ3" s="9"/>
      <c r="OR3" s="9"/>
      <c r="OS3" s="9"/>
      <c r="OT3" s="9"/>
      <c r="OU3" s="9"/>
      <c r="OV3" s="9"/>
      <c r="OW3" s="9"/>
      <c r="OX3" s="9"/>
      <c r="OY3" s="9"/>
      <c r="OZ3" s="9"/>
      <c r="PA3" s="9"/>
      <c r="PB3" s="9"/>
      <c r="PC3" s="9"/>
      <c r="PD3" s="9"/>
      <c r="PE3" s="9"/>
      <c r="PF3" s="9"/>
      <c r="PG3" s="9"/>
      <c r="PH3" s="9"/>
      <c r="PI3" s="9"/>
      <c r="PJ3" s="9"/>
      <c r="PK3" s="9"/>
      <c r="PL3" s="9"/>
      <c r="PM3" s="9"/>
      <c r="PN3" s="9"/>
      <c r="PO3" s="9"/>
      <c r="PP3" s="9"/>
      <c r="PQ3" s="9"/>
      <c r="PR3" s="9"/>
      <c r="PS3" s="9"/>
      <c r="PT3" s="9"/>
      <c r="PU3" s="9"/>
      <c r="PV3" s="9"/>
      <c r="PW3" s="9"/>
      <c r="PX3" s="9"/>
      <c r="PY3" s="9"/>
      <c r="PZ3" s="9"/>
      <c r="QA3" s="9"/>
      <c r="QB3" s="9"/>
      <c r="QC3" s="9"/>
      <c r="QD3" s="9"/>
      <c r="QE3" s="9"/>
      <c r="QF3" s="9"/>
      <c r="QG3" s="9"/>
      <c r="QH3" s="9"/>
      <c r="QI3" s="9"/>
      <c r="QJ3" s="9"/>
      <c r="QK3" s="9"/>
      <c r="QL3" s="9"/>
      <c r="QM3" s="9"/>
      <c r="QN3" s="9"/>
      <c r="QO3" s="9"/>
      <c r="QP3" s="9"/>
      <c r="QQ3" s="9"/>
      <c r="QR3" s="9"/>
      <c r="QS3" s="9"/>
      <c r="QT3" s="9"/>
      <c r="QU3" s="9"/>
      <c r="QV3" s="9"/>
      <c r="QW3" s="9"/>
      <c r="QX3" s="9"/>
      <c r="QY3" s="9"/>
      <c r="QZ3" s="9"/>
      <c r="RA3" s="9"/>
      <c r="RB3" s="9"/>
      <c r="RC3" s="9"/>
      <c r="RD3" s="9"/>
      <c r="RE3" s="9"/>
      <c r="RF3" s="9"/>
      <c r="RG3" s="9"/>
      <c r="RH3" s="9"/>
      <c r="RI3" s="9"/>
      <c r="RJ3" s="9"/>
      <c r="RK3" s="9"/>
      <c r="RL3" s="9"/>
      <c r="RM3" s="9"/>
      <c r="RN3" s="9"/>
      <c r="RO3" s="9"/>
      <c r="RP3" s="9"/>
      <c r="RQ3" s="9"/>
      <c r="RR3" s="9"/>
      <c r="RS3" s="9"/>
      <c r="RT3" s="9"/>
      <c r="RU3" s="9"/>
      <c r="RV3" s="9"/>
      <c r="RW3" s="9"/>
      <c r="RX3" s="9"/>
      <c r="RY3" s="9"/>
      <c r="RZ3" s="9"/>
      <c r="SA3" s="9"/>
      <c r="SB3" s="9"/>
      <c r="SC3" s="9"/>
      <c r="SD3" s="9"/>
      <c r="SE3" s="9"/>
      <c r="SF3" s="9"/>
      <c r="SG3" s="9"/>
      <c r="SH3" s="9"/>
      <c r="SI3" s="9"/>
      <c r="SJ3" s="9"/>
      <c r="SK3" s="9"/>
      <c r="SL3" s="9"/>
      <c r="SM3" s="9"/>
      <c r="SN3" s="9"/>
      <c r="SO3" s="9"/>
      <c r="SP3" s="9"/>
      <c r="SQ3" s="9"/>
      <c r="SR3" s="9"/>
      <c r="SS3" s="9"/>
      <c r="ST3" s="9"/>
      <c r="SU3" s="9"/>
      <c r="SV3" s="9"/>
      <c r="SW3" s="9"/>
      <c r="SX3" s="9"/>
      <c r="SY3" s="9"/>
      <c r="SZ3" s="9"/>
      <c r="TA3" s="9"/>
      <c r="TB3" s="9"/>
      <c r="TC3" s="9"/>
      <c r="TD3" s="9"/>
      <c r="TE3" s="9"/>
      <c r="TF3" s="9"/>
      <c r="TG3" s="9"/>
      <c r="TH3" s="9"/>
      <c r="TI3" s="9"/>
      <c r="TJ3" s="9"/>
      <c r="TK3" s="9"/>
      <c r="TL3" s="9"/>
      <c r="TM3" s="9"/>
      <c r="TN3" s="9"/>
      <c r="TO3" s="9"/>
      <c r="TP3" s="9"/>
      <c r="TQ3" s="9"/>
      <c r="TR3" s="9"/>
      <c r="TS3" s="9"/>
      <c r="TT3" s="9"/>
      <c r="TU3" s="9"/>
      <c r="TV3" s="9"/>
      <c r="TW3" s="9"/>
      <c r="TX3" s="9"/>
      <c r="TY3" s="9"/>
      <c r="TZ3" s="9"/>
      <c r="UA3" s="9"/>
      <c r="UB3" s="9"/>
      <c r="UC3" s="9"/>
      <c r="UD3" s="9"/>
      <c r="UE3" s="9"/>
      <c r="UF3" s="9"/>
      <c r="UG3" s="9"/>
      <c r="UH3" s="9"/>
      <c r="UI3" s="9"/>
      <c r="UJ3" s="9"/>
      <c r="UK3" s="9"/>
      <c r="UL3" s="9"/>
      <c r="UM3" s="9"/>
      <c r="UN3" s="9"/>
      <c r="UO3" s="9"/>
      <c r="UP3" s="9"/>
      <c r="UQ3" s="9"/>
      <c r="UR3" s="9"/>
      <c r="US3" s="9"/>
      <c r="UT3" s="9"/>
      <c r="UU3" s="9"/>
      <c r="UV3" s="9"/>
      <c r="UW3" s="9"/>
      <c r="UX3" s="9"/>
      <c r="UY3" s="9"/>
      <c r="UZ3" s="9"/>
      <c r="VA3" s="9"/>
      <c r="VB3" s="9"/>
      <c r="VC3" s="9"/>
      <c r="VD3" s="9"/>
      <c r="VE3" s="9"/>
      <c r="VF3" s="9"/>
      <c r="VG3" s="9"/>
      <c r="VH3" s="9"/>
      <c r="VI3" s="9"/>
      <c r="VJ3" s="9"/>
      <c r="VK3" s="9"/>
      <c r="VL3" s="9"/>
      <c r="VM3" s="9"/>
      <c r="VN3" s="9"/>
      <c r="VO3" s="9"/>
      <c r="VP3" s="9"/>
      <c r="VQ3" s="9"/>
      <c r="VR3" s="9"/>
      <c r="VS3" s="9"/>
      <c r="VT3" s="9"/>
      <c r="VU3" s="9"/>
      <c r="VV3" s="9"/>
      <c r="VW3" s="9"/>
      <c r="VX3" s="9"/>
      <c r="VY3" s="9"/>
      <c r="VZ3" s="9"/>
      <c r="WA3" s="9"/>
      <c r="WB3" s="9"/>
      <c r="WC3" s="9"/>
      <c r="WD3" s="9"/>
      <c r="WE3" s="9"/>
      <c r="WF3" s="9"/>
      <c r="WG3" s="9"/>
      <c r="WH3" s="9"/>
      <c r="WI3" s="9"/>
      <c r="WJ3" s="9"/>
      <c r="WK3" s="9"/>
      <c r="WL3" s="9"/>
      <c r="WM3" s="9"/>
      <c r="WN3" s="9"/>
      <c r="WO3" s="9"/>
      <c r="WP3" s="9"/>
      <c r="WQ3" s="9"/>
      <c r="WR3" s="9"/>
      <c r="WS3" s="9"/>
      <c r="WT3" s="9"/>
      <c r="WU3" s="9"/>
      <c r="WV3" s="9"/>
      <c r="WW3" s="9"/>
      <c r="WX3" s="9"/>
      <c r="WY3" s="9"/>
      <c r="WZ3" s="9"/>
      <c r="XA3" s="9"/>
      <c r="XB3" s="9"/>
      <c r="XC3" s="9"/>
      <c r="XD3" s="9"/>
      <c r="XE3" s="9"/>
      <c r="XF3" s="9"/>
      <c r="XG3" s="9"/>
      <c r="XH3" s="9"/>
      <c r="XI3" s="9"/>
      <c r="XJ3" s="9"/>
      <c r="XK3" s="9"/>
      <c r="XL3" s="9"/>
      <c r="XM3" s="9"/>
      <c r="XN3" s="9"/>
      <c r="XO3" s="9"/>
      <c r="XP3" s="9"/>
      <c r="XQ3" s="9"/>
      <c r="XR3" s="9"/>
      <c r="XS3" s="9"/>
      <c r="XT3" s="9"/>
      <c r="XU3" s="9"/>
      <c r="XV3" s="9"/>
      <c r="XW3" s="9"/>
      <c r="XX3" s="9"/>
      <c r="XY3" s="9"/>
      <c r="XZ3" s="9"/>
      <c r="YA3" s="9"/>
      <c r="YB3" s="9"/>
      <c r="YC3" s="9"/>
      <c r="YD3" s="9"/>
      <c r="YE3" s="9"/>
      <c r="YF3" s="9"/>
      <c r="YG3" s="9"/>
      <c r="YH3" s="9"/>
      <c r="YI3" s="9"/>
      <c r="YJ3" s="9"/>
      <c r="YK3" s="9"/>
      <c r="YL3" s="9"/>
      <c r="YM3" s="9"/>
      <c r="YN3" s="9"/>
      <c r="YO3" s="9"/>
      <c r="YP3" s="9"/>
      <c r="YQ3" s="9"/>
      <c r="YR3" s="9"/>
      <c r="YS3" s="9"/>
      <c r="YT3" s="9"/>
      <c r="YU3" s="9"/>
      <c r="YV3" s="9"/>
      <c r="YW3" s="9"/>
      <c r="YX3" s="9"/>
      <c r="YY3" s="9"/>
      <c r="YZ3" s="9"/>
      <c r="ZA3" s="9"/>
      <c r="ZB3" s="9"/>
      <c r="ZC3" s="9"/>
      <c r="ZD3" s="9"/>
      <c r="ZE3" s="9"/>
      <c r="ZF3" s="9"/>
      <c r="ZG3" s="9"/>
      <c r="ZH3" s="9"/>
      <c r="ZI3" s="9"/>
      <c r="ZJ3" s="9"/>
      <c r="ZK3" s="9"/>
      <c r="ZL3" s="9"/>
      <c r="ZM3" s="9"/>
      <c r="ZN3" s="9"/>
      <c r="ZO3" s="9"/>
      <c r="ZP3" s="9"/>
      <c r="ZQ3" s="9"/>
      <c r="ZR3" s="9"/>
      <c r="ZS3" s="9"/>
      <c r="ZT3" s="9"/>
      <c r="ZU3" s="9"/>
      <c r="ZV3" s="9"/>
      <c r="ZW3" s="9"/>
      <c r="ZX3" s="9"/>
      <c r="ZY3" s="9"/>
      <c r="ZZ3" s="9"/>
      <c r="AAA3" s="9"/>
      <c r="AAB3" s="9"/>
      <c r="AAC3" s="9"/>
      <c r="AAD3" s="9"/>
      <c r="AAE3" s="9"/>
      <c r="AAF3" s="9"/>
      <c r="AAG3" s="9"/>
      <c r="AAH3" s="9"/>
      <c r="AAI3" s="9"/>
      <c r="AAJ3" s="9"/>
      <c r="AAK3" s="9"/>
      <c r="AAL3" s="9"/>
      <c r="AAM3" s="9"/>
      <c r="AAN3" s="9"/>
      <c r="AAO3" s="9"/>
      <c r="AAP3" s="9"/>
      <c r="AAQ3" s="9"/>
      <c r="AAR3" s="9"/>
      <c r="AAS3" s="9"/>
      <c r="AAT3" s="9"/>
      <c r="AAU3" s="9"/>
      <c r="AAV3" s="9"/>
      <c r="AAW3" s="9"/>
      <c r="AAX3" s="9"/>
      <c r="AAY3" s="9"/>
      <c r="AAZ3" s="9"/>
      <c r="ABA3" s="9"/>
      <c r="ABB3" s="9"/>
      <c r="ABC3" s="9"/>
      <c r="ABD3" s="9"/>
      <c r="ABE3" s="9"/>
      <c r="ABF3" s="9"/>
      <c r="ABG3" s="9"/>
      <c r="ABH3" s="9"/>
      <c r="ABI3" s="9"/>
      <c r="ABJ3" s="9"/>
      <c r="ABK3" s="9"/>
      <c r="ABL3" s="9"/>
      <c r="ABM3" s="9"/>
      <c r="ABN3" s="9"/>
      <c r="ABO3" s="9"/>
      <c r="ABP3" s="9"/>
      <c r="ABQ3" s="9"/>
      <c r="ABR3" s="9"/>
      <c r="ABS3" s="9"/>
      <c r="ABT3" s="9"/>
      <c r="ABU3" s="9"/>
      <c r="ABV3" s="9"/>
      <c r="ABW3" s="9"/>
      <c r="ABX3" s="9"/>
      <c r="ABY3" s="9"/>
      <c r="ABZ3" s="9"/>
      <c r="ACA3" s="9"/>
      <c r="ACB3" s="9"/>
      <c r="ACC3" s="9"/>
      <c r="ACD3" s="9"/>
      <c r="ACE3" s="9"/>
      <c r="ACF3" s="9"/>
      <c r="ACG3" s="9"/>
      <c r="ACH3" s="9"/>
      <c r="ACI3" s="9"/>
      <c r="ACJ3" s="9"/>
      <c r="ACK3" s="9"/>
      <c r="ACL3" s="9"/>
      <c r="ACM3" s="9"/>
      <c r="ACN3" s="9"/>
      <c r="ACO3" s="9"/>
      <c r="ACP3" s="9"/>
      <c r="ACQ3" s="9"/>
      <c r="ACR3" s="9"/>
      <c r="ACS3" s="9"/>
      <c r="ACT3" s="9"/>
      <c r="ACU3" s="9"/>
      <c r="ACV3" s="9"/>
      <c r="ACW3" s="9"/>
      <c r="ACX3" s="9"/>
      <c r="ACY3" s="9"/>
      <c r="ACZ3" s="9"/>
      <c r="ADA3" s="9"/>
      <c r="ADB3" s="9"/>
      <c r="ADC3" s="9"/>
      <c r="ADD3" s="9"/>
      <c r="ADE3" s="9"/>
      <c r="ADF3" s="9"/>
      <c r="ADG3" s="9"/>
      <c r="ADH3" s="9"/>
      <c r="ADI3" s="9"/>
      <c r="ADJ3" s="9"/>
      <c r="ADK3" s="9"/>
      <c r="ADL3" s="9"/>
      <c r="ADM3" s="9"/>
      <c r="ADN3" s="9"/>
      <c r="ADO3" s="9"/>
      <c r="ADP3" s="9"/>
      <c r="ADQ3" s="9"/>
      <c r="ADR3" s="9"/>
      <c r="ADS3" s="9"/>
      <c r="ADT3" s="9"/>
      <c r="ADU3" s="9"/>
      <c r="ADV3" s="9"/>
      <c r="ADW3" s="9"/>
      <c r="ADX3" s="9"/>
      <c r="ADY3" s="9"/>
      <c r="ADZ3" s="9"/>
      <c r="AEA3" s="9"/>
      <c r="AEB3" s="9"/>
      <c r="AEC3" s="9"/>
      <c r="AED3" s="9"/>
      <c r="AEE3" s="9"/>
      <c r="AEF3" s="9"/>
      <c r="AEG3" s="9"/>
      <c r="AEH3" s="9"/>
      <c r="AEI3" s="9"/>
      <c r="AEJ3" s="9"/>
      <c r="AEK3" s="9"/>
      <c r="AEL3" s="9"/>
      <c r="AEM3" s="9"/>
      <c r="AEN3" s="9"/>
      <c r="AEO3" s="9"/>
      <c r="AEP3" s="9"/>
      <c r="AEQ3" s="9"/>
      <c r="AER3" s="9"/>
      <c r="AES3" s="9"/>
      <c r="AET3" s="9"/>
      <c r="AEU3" s="9"/>
      <c r="AEV3" s="9"/>
      <c r="AEW3" s="9"/>
      <c r="AEX3" s="9"/>
      <c r="AEY3" s="9"/>
      <c r="AEZ3" s="9"/>
      <c r="AFA3" s="9"/>
      <c r="AFB3" s="9"/>
      <c r="AFC3" s="9"/>
      <c r="AFD3" s="9"/>
      <c r="AFE3" s="9"/>
      <c r="AFF3" s="9"/>
      <c r="AFG3" s="9"/>
      <c r="AFH3" s="9"/>
      <c r="AFI3" s="9"/>
      <c r="AFJ3" s="9"/>
      <c r="AFK3" s="9"/>
      <c r="AFL3" s="9"/>
      <c r="AFM3" s="9"/>
      <c r="AFN3" s="9"/>
      <c r="AFO3" s="9"/>
      <c r="AFP3" s="9"/>
      <c r="AFQ3" s="9"/>
      <c r="AFR3" s="9"/>
      <c r="AFS3" s="9"/>
      <c r="AFT3" s="9"/>
      <c r="AFU3" s="9"/>
      <c r="AFV3" s="9"/>
      <c r="AFW3" s="9"/>
      <c r="AFX3" s="9"/>
      <c r="AFY3" s="9"/>
      <c r="AFZ3" s="9"/>
      <c r="AGA3" s="9"/>
      <c r="AGB3" s="9"/>
      <c r="AGC3" s="9"/>
      <c r="AGD3" s="9"/>
      <c r="AGE3" s="9"/>
      <c r="AGF3" s="9"/>
      <c r="AGG3" s="9"/>
      <c r="AGH3" s="9"/>
      <c r="AGI3" s="9"/>
      <c r="AGJ3" s="9"/>
      <c r="AGK3" s="9"/>
      <c r="AGL3" s="9"/>
      <c r="AGM3" s="9"/>
      <c r="AGN3" s="9"/>
      <c r="AGO3" s="9"/>
      <c r="AGP3" s="9"/>
      <c r="AGQ3" s="9"/>
      <c r="AGR3" s="9"/>
      <c r="AGS3" s="9"/>
      <c r="AGT3" s="9"/>
      <c r="AGU3" s="9"/>
      <c r="AGV3" s="9"/>
      <c r="AGW3" s="9"/>
      <c r="AGX3" s="9"/>
      <c r="AGY3" s="9"/>
      <c r="AGZ3" s="9"/>
      <c r="AHA3" s="9"/>
      <c r="AHB3" s="9"/>
      <c r="AHC3" s="9"/>
      <c r="AHD3" s="9"/>
      <c r="AHE3" s="9"/>
      <c r="AHF3" s="9"/>
      <c r="AHG3" s="9"/>
      <c r="AHH3" s="9"/>
      <c r="AHI3" s="9"/>
      <c r="AHJ3" s="9"/>
      <c r="AHK3" s="9"/>
      <c r="AHL3" s="9"/>
      <c r="AHM3" s="9"/>
      <c r="AHN3" s="9"/>
      <c r="AHO3" s="9"/>
      <c r="AHP3" s="9"/>
      <c r="AHQ3" s="9"/>
      <c r="AHR3" s="9"/>
      <c r="AHS3" s="9"/>
      <c r="AHT3" s="9"/>
      <c r="AHU3" s="9"/>
      <c r="AHV3" s="9"/>
      <c r="AHW3" s="9"/>
      <c r="AHX3" s="9"/>
      <c r="AHY3" s="9"/>
      <c r="AHZ3" s="9"/>
      <c r="AIA3" s="9"/>
      <c r="AIB3" s="9"/>
      <c r="AIC3" s="9"/>
      <c r="AID3" s="9"/>
      <c r="AIE3" s="9"/>
      <c r="AIF3" s="9"/>
      <c r="AIG3" s="9"/>
      <c r="AIH3" s="9"/>
      <c r="AII3" s="9"/>
      <c r="AIJ3" s="9"/>
      <c r="AIK3" s="9"/>
      <c r="AIL3" s="9"/>
      <c r="AIM3" s="9"/>
      <c r="AIN3" s="9"/>
      <c r="AIO3" s="9"/>
      <c r="AIP3" s="9"/>
      <c r="AIQ3" s="9"/>
      <c r="AIR3" s="9"/>
      <c r="AIS3" s="9"/>
      <c r="AIT3" s="9"/>
      <c r="AIU3" s="9"/>
      <c r="AIV3" s="9"/>
      <c r="AIW3" s="9"/>
      <c r="AIX3" s="9"/>
      <c r="AIY3" s="9"/>
      <c r="AIZ3" s="9"/>
      <c r="AJA3" s="9"/>
      <c r="AJB3" s="9"/>
      <c r="AJC3" s="9"/>
      <c r="AJD3" s="9"/>
      <c r="AJE3" s="9"/>
      <c r="AJF3" s="9"/>
      <c r="AJG3" s="9"/>
      <c r="AJH3" s="9"/>
      <c r="AJI3" s="9"/>
      <c r="AJJ3" s="9"/>
      <c r="AJK3" s="9"/>
      <c r="AJL3" s="9"/>
      <c r="AJM3" s="9"/>
      <c r="AJN3" s="9"/>
      <c r="AJO3" s="9"/>
      <c r="AJP3" s="9"/>
      <c r="AJQ3" s="9"/>
      <c r="AJR3" s="9"/>
      <c r="AJS3" s="9"/>
      <c r="AJT3" s="9"/>
      <c r="AJU3" s="9"/>
      <c r="AJV3" s="9"/>
      <c r="AJW3" s="9"/>
      <c r="AJX3" s="9"/>
      <c r="AJY3" s="9"/>
      <c r="AJZ3" s="9"/>
      <c r="AKA3" s="9"/>
      <c r="AKB3" s="9"/>
      <c r="AKC3" s="9"/>
      <c r="AKD3" s="9"/>
      <c r="AKE3" s="9"/>
      <c r="AKF3" s="9"/>
      <c r="AKG3" s="9"/>
      <c r="AKH3" s="9"/>
      <c r="AKI3" s="9"/>
      <c r="AKJ3" s="9"/>
      <c r="AKK3" s="9"/>
      <c r="AKL3" s="9"/>
      <c r="AKM3" s="9"/>
      <c r="AKN3" s="9"/>
      <c r="AKO3" s="9"/>
      <c r="AKP3" s="9"/>
      <c r="AKQ3" s="9"/>
      <c r="AKR3" s="9"/>
      <c r="AKS3" s="9"/>
      <c r="AKT3" s="9"/>
      <c r="AKU3" s="9"/>
      <c r="AKV3" s="9"/>
      <c r="AKW3" s="9"/>
      <c r="AKX3" s="9"/>
      <c r="AKY3" s="9"/>
      <c r="AKZ3" s="9"/>
      <c r="ALA3" s="9"/>
      <c r="ALB3" s="9"/>
      <c r="ALC3" s="9"/>
      <c r="ALD3" s="9"/>
      <c r="ALE3" s="9"/>
      <c r="ALF3" s="9"/>
      <c r="ALG3" s="9"/>
      <c r="ALH3" s="9"/>
      <c r="ALI3" s="9"/>
      <c r="ALJ3" s="9"/>
      <c r="ALK3" s="9"/>
      <c r="ALL3" s="9"/>
      <c r="ALM3" s="9"/>
      <c r="ALN3" s="9"/>
      <c r="ALO3" s="9"/>
      <c r="ALP3" s="9"/>
      <c r="ALQ3" s="9"/>
      <c r="ALR3" s="9"/>
      <c r="ALS3" s="9"/>
      <c r="ALT3" s="9"/>
      <c r="ALU3" s="9"/>
      <c r="ALV3" s="9"/>
      <c r="ALW3" s="9"/>
      <c r="ALX3" s="9"/>
      <c r="ALY3" s="9"/>
      <c r="ALZ3" s="9"/>
      <c r="AMA3" s="9"/>
      <c r="AMB3" s="9"/>
      <c r="AMC3" s="9"/>
      <c r="AMD3" s="9"/>
      <c r="AME3" s="9"/>
      <c r="AMF3" s="9"/>
      <c r="AMG3" s="9"/>
      <c r="AMH3" s="9"/>
      <c r="AMI3" s="9"/>
      <c r="AMJ3" s="9"/>
    </row>
    <row r="4" spans="1:1024" ht="67.150000000000006" customHeight="1" x14ac:dyDescent="0.35">
      <c r="A4" s="2" t="s">
        <v>7</v>
      </c>
      <c r="B4" s="9" t="s">
        <v>8</v>
      </c>
      <c r="C4" s="2" t="s">
        <v>9</v>
      </c>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W4" s="9"/>
      <c r="IX4" s="9"/>
      <c r="IY4" s="9"/>
      <c r="IZ4" s="9"/>
      <c r="JA4" s="9"/>
      <c r="JB4" s="9"/>
      <c r="JC4" s="9"/>
      <c r="JD4" s="9"/>
      <c r="JE4" s="9"/>
      <c r="JF4" s="9"/>
      <c r="JG4" s="9"/>
      <c r="JH4" s="9"/>
      <c r="JI4" s="9"/>
      <c r="JJ4" s="9"/>
      <c r="JK4" s="9"/>
      <c r="JL4" s="9"/>
      <c r="JM4" s="9"/>
      <c r="JN4" s="9"/>
      <c r="JO4" s="9"/>
      <c r="JP4" s="9"/>
      <c r="JQ4" s="9"/>
      <c r="JR4" s="9"/>
      <c r="JS4" s="9"/>
      <c r="JT4" s="9"/>
      <c r="JU4" s="9"/>
      <c r="JV4" s="9"/>
      <c r="JW4" s="9"/>
      <c r="JX4" s="9"/>
      <c r="JY4" s="9"/>
      <c r="JZ4" s="9"/>
      <c r="KA4" s="9"/>
      <c r="KB4" s="9"/>
      <c r="KC4" s="9"/>
      <c r="KD4" s="9"/>
      <c r="KE4" s="9"/>
      <c r="KF4" s="9"/>
      <c r="KG4" s="9"/>
      <c r="KH4" s="9"/>
      <c r="KI4" s="9"/>
      <c r="KJ4" s="9"/>
      <c r="KK4" s="9"/>
      <c r="KL4" s="9"/>
      <c r="KM4" s="9"/>
      <c r="KN4" s="9"/>
      <c r="KO4" s="9"/>
      <c r="KP4" s="9"/>
      <c r="KQ4" s="9"/>
      <c r="KR4" s="9"/>
      <c r="KS4" s="9"/>
      <c r="KT4" s="9"/>
      <c r="KU4" s="9"/>
      <c r="KV4" s="9"/>
      <c r="KW4" s="9"/>
      <c r="KX4" s="9"/>
      <c r="KY4" s="9"/>
      <c r="KZ4" s="9"/>
      <c r="LA4" s="9"/>
      <c r="LB4" s="9"/>
      <c r="LC4" s="9"/>
      <c r="LD4" s="9"/>
      <c r="LE4" s="9"/>
      <c r="LF4" s="9"/>
      <c r="LG4" s="9"/>
      <c r="LH4" s="9"/>
      <c r="LI4" s="9"/>
      <c r="LJ4" s="9"/>
      <c r="LK4" s="9"/>
      <c r="LL4" s="9"/>
      <c r="LM4" s="9"/>
      <c r="LN4" s="9"/>
      <c r="LO4" s="9"/>
      <c r="LP4" s="9"/>
      <c r="LQ4" s="9"/>
      <c r="LR4" s="9"/>
      <c r="LS4" s="9"/>
      <c r="LT4" s="9"/>
      <c r="LU4" s="9"/>
      <c r="LV4" s="9"/>
      <c r="LW4" s="9"/>
      <c r="LX4" s="9"/>
      <c r="LY4" s="9"/>
      <c r="LZ4" s="9"/>
      <c r="MA4" s="9"/>
      <c r="MB4" s="9"/>
      <c r="MC4" s="9"/>
      <c r="MD4" s="9"/>
      <c r="ME4" s="9"/>
      <c r="MF4" s="9"/>
      <c r="MG4" s="9"/>
      <c r="MH4" s="9"/>
      <c r="MI4" s="9"/>
      <c r="MJ4" s="9"/>
      <c r="MK4" s="9"/>
      <c r="ML4" s="9"/>
      <c r="MM4" s="9"/>
      <c r="MN4" s="9"/>
      <c r="MO4" s="9"/>
      <c r="MP4" s="9"/>
      <c r="MQ4" s="9"/>
      <c r="MR4" s="9"/>
      <c r="MS4" s="9"/>
      <c r="MT4" s="9"/>
      <c r="MU4" s="9"/>
      <c r="MV4" s="9"/>
      <c r="MW4" s="9"/>
      <c r="MX4" s="9"/>
      <c r="MY4" s="9"/>
      <c r="MZ4" s="9"/>
      <c r="NA4" s="9"/>
      <c r="NB4" s="9"/>
      <c r="NC4" s="9"/>
      <c r="ND4" s="9"/>
      <c r="NE4" s="9"/>
      <c r="NF4" s="9"/>
      <c r="NG4" s="9"/>
      <c r="NH4" s="9"/>
      <c r="NI4" s="9"/>
      <c r="NJ4" s="9"/>
      <c r="NK4" s="9"/>
      <c r="NL4" s="9"/>
      <c r="NM4" s="9"/>
      <c r="NN4" s="9"/>
      <c r="NO4" s="9"/>
      <c r="NP4" s="9"/>
      <c r="NQ4" s="9"/>
      <c r="NR4" s="9"/>
      <c r="NS4" s="9"/>
      <c r="NT4" s="9"/>
      <c r="NU4" s="9"/>
      <c r="NV4" s="9"/>
      <c r="NW4" s="9"/>
      <c r="NX4" s="9"/>
      <c r="NY4" s="9"/>
      <c r="NZ4" s="9"/>
      <c r="OA4" s="9"/>
      <c r="OB4" s="9"/>
      <c r="OC4" s="9"/>
      <c r="OD4" s="9"/>
      <c r="OE4" s="9"/>
      <c r="OF4" s="9"/>
      <c r="OG4" s="9"/>
      <c r="OH4" s="9"/>
      <c r="OI4" s="9"/>
      <c r="OJ4" s="9"/>
      <c r="OK4" s="9"/>
      <c r="OL4" s="9"/>
      <c r="OM4" s="9"/>
      <c r="ON4" s="9"/>
      <c r="OO4" s="9"/>
      <c r="OP4" s="9"/>
      <c r="OQ4" s="9"/>
      <c r="OR4" s="9"/>
      <c r="OS4" s="9"/>
      <c r="OT4" s="9"/>
      <c r="OU4" s="9"/>
      <c r="OV4" s="9"/>
      <c r="OW4" s="9"/>
      <c r="OX4" s="9"/>
      <c r="OY4" s="9"/>
      <c r="OZ4" s="9"/>
      <c r="PA4" s="9"/>
      <c r="PB4" s="9"/>
      <c r="PC4" s="9"/>
      <c r="PD4" s="9"/>
      <c r="PE4" s="9"/>
      <c r="PF4" s="9"/>
      <c r="PG4" s="9"/>
      <c r="PH4" s="9"/>
      <c r="PI4" s="9"/>
      <c r="PJ4" s="9"/>
      <c r="PK4" s="9"/>
      <c r="PL4" s="9"/>
      <c r="PM4" s="9"/>
      <c r="PN4" s="9"/>
      <c r="PO4" s="9"/>
      <c r="PP4" s="9"/>
      <c r="PQ4" s="9"/>
      <c r="PR4" s="9"/>
      <c r="PS4" s="9"/>
      <c r="PT4" s="9"/>
      <c r="PU4" s="9"/>
      <c r="PV4" s="9"/>
      <c r="PW4" s="9"/>
      <c r="PX4" s="9"/>
      <c r="PY4" s="9"/>
      <c r="PZ4" s="9"/>
      <c r="QA4" s="9"/>
      <c r="QB4" s="9"/>
      <c r="QC4" s="9"/>
      <c r="QD4" s="9"/>
      <c r="QE4" s="9"/>
      <c r="QF4" s="9"/>
      <c r="QG4" s="9"/>
      <c r="QH4" s="9"/>
      <c r="QI4" s="9"/>
      <c r="QJ4" s="9"/>
      <c r="QK4" s="9"/>
      <c r="QL4" s="9"/>
      <c r="QM4" s="9"/>
      <c r="QN4" s="9"/>
      <c r="QO4" s="9"/>
      <c r="QP4" s="9"/>
      <c r="QQ4" s="9"/>
      <c r="QR4" s="9"/>
      <c r="QS4" s="9"/>
      <c r="QT4" s="9"/>
      <c r="QU4" s="9"/>
      <c r="QV4" s="9"/>
      <c r="QW4" s="9"/>
      <c r="QX4" s="9"/>
      <c r="QY4" s="9"/>
      <c r="QZ4" s="9"/>
      <c r="RA4" s="9"/>
      <c r="RB4" s="9"/>
      <c r="RC4" s="9"/>
      <c r="RD4" s="9"/>
      <c r="RE4" s="9"/>
      <c r="RF4" s="9"/>
      <c r="RG4" s="9"/>
      <c r="RH4" s="9"/>
      <c r="RI4" s="9"/>
      <c r="RJ4" s="9"/>
      <c r="RK4" s="9"/>
      <c r="RL4" s="9"/>
      <c r="RM4" s="9"/>
      <c r="RN4" s="9"/>
      <c r="RO4" s="9"/>
      <c r="RP4" s="9"/>
      <c r="RQ4" s="9"/>
      <c r="RR4" s="9"/>
      <c r="RS4" s="9"/>
      <c r="RT4" s="9"/>
      <c r="RU4" s="9"/>
      <c r="RV4" s="9"/>
      <c r="RW4" s="9"/>
      <c r="RX4" s="9"/>
      <c r="RY4" s="9"/>
      <c r="RZ4" s="9"/>
      <c r="SA4" s="9"/>
      <c r="SB4" s="9"/>
      <c r="SC4" s="9"/>
      <c r="SD4" s="9"/>
      <c r="SE4" s="9"/>
      <c r="SF4" s="9"/>
      <c r="SG4" s="9"/>
      <c r="SH4" s="9"/>
      <c r="SI4" s="9"/>
      <c r="SJ4" s="9"/>
      <c r="SK4" s="9"/>
      <c r="SL4" s="9"/>
      <c r="SM4" s="9"/>
      <c r="SN4" s="9"/>
      <c r="SO4" s="9"/>
      <c r="SP4" s="9"/>
      <c r="SQ4" s="9"/>
      <c r="SR4" s="9"/>
      <c r="SS4" s="9"/>
      <c r="ST4" s="9"/>
      <c r="SU4" s="9"/>
      <c r="SV4" s="9"/>
      <c r="SW4" s="9"/>
      <c r="SX4" s="9"/>
      <c r="SY4" s="9"/>
      <c r="SZ4" s="9"/>
      <c r="TA4" s="9"/>
      <c r="TB4" s="9"/>
      <c r="TC4" s="9"/>
      <c r="TD4" s="9"/>
      <c r="TE4" s="9"/>
      <c r="TF4" s="9"/>
      <c r="TG4" s="9"/>
      <c r="TH4" s="9"/>
      <c r="TI4" s="9"/>
      <c r="TJ4" s="9"/>
      <c r="TK4" s="9"/>
      <c r="TL4" s="9"/>
      <c r="TM4" s="9"/>
      <c r="TN4" s="9"/>
      <c r="TO4" s="9"/>
      <c r="TP4" s="9"/>
      <c r="TQ4" s="9"/>
      <c r="TR4" s="9"/>
      <c r="TS4" s="9"/>
      <c r="TT4" s="9"/>
      <c r="TU4" s="9"/>
      <c r="TV4" s="9"/>
      <c r="TW4" s="9"/>
      <c r="TX4" s="9"/>
      <c r="TY4" s="9"/>
      <c r="TZ4" s="9"/>
      <c r="UA4" s="9"/>
      <c r="UB4" s="9"/>
      <c r="UC4" s="9"/>
      <c r="UD4" s="9"/>
      <c r="UE4" s="9"/>
      <c r="UF4" s="9"/>
      <c r="UG4" s="9"/>
      <c r="UH4" s="9"/>
      <c r="UI4" s="9"/>
      <c r="UJ4" s="9"/>
      <c r="UK4" s="9"/>
      <c r="UL4" s="9"/>
      <c r="UM4" s="9"/>
      <c r="UN4" s="9"/>
      <c r="UO4" s="9"/>
      <c r="UP4" s="9"/>
      <c r="UQ4" s="9"/>
      <c r="UR4" s="9"/>
      <c r="US4" s="9"/>
      <c r="UT4" s="9"/>
      <c r="UU4" s="9"/>
      <c r="UV4" s="9"/>
      <c r="UW4" s="9"/>
      <c r="UX4" s="9"/>
      <c r="UY4" s="9"/>
      <c r="UZ4" s="9"/>
      <c r="VA4" s="9"/>
      <c r="VB4" s="9"/>
      <c r="VC4" s="9"/>
      <c r="VD4" s="9"/>
      <c r="VE4" s="9"/>
      <c r="VF4" s="9"/>
      <c r="VG4" s="9"/>
      <c r="VH4" s="9"/>
      <c r="VI4" s="9"/>
      <c r="VJ4" s="9"/>
      <c r="VK4" s="9"/>
      <c r="VL4" s="9"/>
      <c r="VM4" s="9"/>
      <c r="VN4" s="9"/>
      <c r="VO4" s="9"/>
      <c r="VP4" s="9"/>
      <c r="VQ4" s="9"/>
      <c r="VR4" s="9"/>
      <c r="VS4" s="9"/>
      <c r="VT4" s="9"/>
      <c r="VU4" s="9"/>
      <c r="VV4" s="9"/>
      <c r="VW4" s="9"/>
      <c r="VX4" s="9"/>
      <c r="VY4" s="9"/>
      <c r="VZ4" s="9"/>
      <c r="WA4" s="9"/>
      <c r="WB4" s="9"/>
      <c r="WC4" s="9"/>
      <c r="WD4" s="9"/>
      <c r="WE4" s="9"/>
      <c r="WF4" s="9"/>
      <c r="WG4" s="9"/>
      <c r="WH4" s="9"/>
      <c r="WI4" s="9"/>
      <c r="WJ4" s="9"/>
      <c r="WK4" s="9"/>
      <c r="WL4" s="9"/>
      <c r="WM4" s="9"/>
      <c r="WN4" s="9"/>
      <c r="WO4" s="9"/>
      <c r="WP4" s="9"/>
      <c r="WQ4" s="9"/>
      <c r="WR4" s="9"/>
      <c r="WS4" s="9"/>
      <c r="WT4" s="9"/>
      <c r="WU4" s="9"/>
      <c r="WV4" s="9"/>
      <c r="WW4" s="9"/>
      <c r="WX4" s="9"/>
      <c r="WY4" s="9"/>
      <c r="WZ4" s="9"/>
      <c r="XA4" s="9"/>
      <c r="XB4" s="9"/>
      <c r="XC4" s="9"/>
      <c r="XD4" s="9"/>
      <c r="XE4" s="9"/>
      <c r="XF4" s="9"/>
      <c r="XG4" s="9"/>
      <c r="XH4" s="9"/>
      <c r="XI4" s="9"/>
      <c r="XJ4" s="9"/>
      <c r="XK4" s="9"/>
      <c r="XL4" s="9"/>
      <c r="XM4" s="9"/>
      <c r="XN4" s="9"/>
      <c r="XO4" s="9"/>
      <c r="XP4" s="9"/>
      <c r="XQ4" s="9"/>
      <c r="XR4" s="9"/>
      <c r="XS4" s="9"/>
      <c r="XT4" s="9"/>
      <c r="XU4" s="9"/>
      <c r="XV4" s="9"/>
      <c r="XW4" s="9"/>
      <c r="XX4" s="9"/>
      <c r="XY4" s="9"/>
      <c r="XZ4" s="9"/>
      <c r="YA4" s="9"/>
      <c r="YB4" s="9"/>
      <c r="YC4" s="9"/>
      <c r="YD4" s="9"/>
      <c r="YE4" s="9"/>
      <c r="YF4" s="9"/>
      <c r="YG4" s="9"/>
      <c r="YH4" s="9"/>
      <c r="YI4" s="9"/>
      <c r="YJ4" s="9"/>
      <c r="YK4" s="9"/>
      <c r="YL4" s="9"/>
      <c r="YM4" s="9"/>
      <c r="YN4" s="9"/>
      <c r="YO4" s="9"/>
      <c r="YP4" s="9"/>
      <c r="YQ4" s="9"/>
      <c r="YR4" s="9"/>
      <c r="YS4" s="9"/>
      <c r="YT4" s="9"/>
      <c r="YU4" s="9"/>
      <c r="YV4" s="9"/>
      <c r="YW4" s="9"/>
      <c r="YX4" s="9"/>
      <c r="YY4" s="9"/>
      <c r="YZ4" s="9"/>
      <c r="ZA4" s="9"/>
      <c r="ZB4" s="9"/>
      <c r="ZC4" s="9"/>
      <c r="ZD4" s="9"/>
      <c r="ZE4" s="9"/>
      <c r="ZF4" s="9"/>
      <c r="ZG4" s="9"/>
      <c r="ZH4" s="9"/>
      <c r="ZI4" s="9"/>
      <c r="ZJ4" s="9"/>
      <c r="ZK4" s="9"/>
      <c r="ZL4" s="9"/>
      <c r="ZM4" s="9"/>
      <c r="ZN4" s="9"/>
      <c r="ZO4" s="9"/>
      <c r="ZP4" s="9"/>
      <c r="ZQ4" s="9"/>
      <c r="ZR4" s="9"/>
      <c r="ZS4" s="9"/>
      <c r="ZT4" s="9"/>
      <c r="ZU4" s="9"/>
      <c r="ZV4" s="9"/>
      <c r="ZW4" s="9"/>
      <c r="ZX4" s="9"/>
      <c r="ZY4" s="9"/>
      <c r="ZZ4" s="9"/>
      <c r="AAA4" s="9"/>
      <c r="AAB4" s="9"/>
      <c r="AAC4" s="9"/>
      <c r="AAD4" s="9"/>
      <c r="AAE4" s="9"/>
      <c r="AAF4" s="9"/>
      <c r="AAG4" s="9"/>
      <c r="AAH4" s="9"/>
      <c r="AAI4" s="9"/>
      <c r="AAJ4" s="9"/>
      <c r="AAK4" s="9"/>
      <c r="AAL4" s="9"/>
      <c r="AAM4" s="9"/>
      <c r="AAN4" s="9"/>
      <c r="AAO4" s="9"/>
      <c r="AAP4" s="9"/>
      <c r="AAQ4" s="9"/>
      <c r="AAR4" s="9"/>
      <c r="AAS4" s="9"/>
      <c r="AAT4" s="9"/>
      <c r="AAU4" s="9"/>
      <c r="AAV4" s="9"/>
      <c r="AAW4" s="9"/>
      <c r="AAX4" s="9"/>
      <c r="AAY4" s="9"/>
      <c r="AAZ4" s="9"/>
      <c r="ABA4" s="9"/>
      <c r="ABB4" s="9"/>
      <c r="ABC4" s="9"/>
      <c r="ABD4" s="9"/>
      <c r="ABE4" s="9"/>
      <c r="ABF4" s="9"/>
      <c r="ABG4" s="9"/>
      <c r="ABH4" s="9"/>
      <c r="ABI4" s="9"/>
      <c r="ABJ4" s="9"/>
      <c r="ABK4" s="9"/>
      <c r="ABL4" s="9"/>
      <c r="ABM4" s="9"/>
      <c r="ABN4" s="9"/>
      <c r="ABO4" s="9"/>
      <c r="ABP4" s="9"/>
      <c r="ABQ4" s="9"/>
      <c r="ABR4" s="9"/>
      <c r="ABS4" s="9"/>
      <c r="ABT4" s="9"/>
      <c r="ABU4" s="9"/>
      <c r="ABV4" s="9"/>
      <c r="ABW4" s="9"/>
      <c r="ABX4" s="9"/>
      <c r="ABY4" s="9"/>
      <c r="ABZ4" s="9"/>
      <c r="ACA4" s="9"/>
      <c r="ACB4" s="9"/>
      <c r="ACC4" s="9"/>
      <c r="ACD4" s="9"/>
      <c r="ACE4" s="9"/>
      <c r="ACF4" s="9"/>
      <c r="ACG4" s="9"/>
      <c r="ACH4" s="9"/>
      <c r="ACI4" s="9"/>
      <c r="ACJ4" s="9"/>
      <c r="ACK4" s="9"/>
      <c r="ACL4" s="9"/>
      <c r="ACM4" s="9"/>
      <c r="ACN4" s="9"/>
      <c r="ACO4" s="9"/>
      <c r="ACP4" s="9"/>
      <c r="ACQ4" s="9"/>
      <c r="ACR4" s="9"/>
      <c r="ACS4" s="9"/>
      <c r="ACT4" s="9"/>
      <c r="ACU4" s="9"/>
      <c r="ACV4" s="9"/>
      <c r="ACW4" s="9"/>
      <c r="ACX4" s="9"/>
      <c r="ACY4" s="9"/>
      <c r="ACZ4" s="9"/>
      <c r="ADA4" s="9"/>
      <c r="ADB4" s="9"/>
      <c r="ADC4" s="9"/>
      <c r="ADD4" s="9"/>
      <c r="ADE4" s="9"/>
      <c r="ADF4" s="9"/>
      <c r="ADG4" s="9"/>
      <c r="ADH4" s="9"/>
      <c r="ADI4" s="9"/>
      <c r="ADJ4" s="9"/>
      <c r="ADK4" s="9"/>
      <c r="ADL4" s="9"/>
      <c r="ADM4" s="9"/>
      <c r="ADN4" s="9"/>
      <c r="ADO4" s="9"/>
      <c r="ADP4" s="9"/>
      <c r="ADQ4" s="9"/>
      <c r="ADR4" s="9"/>
      <c r="ADS4" s="9"/>
      <c r="ADT4" s="9"/>
      <c r="ADU4" s="9"/>
      <c r="ADV4" s="9"/>
      <c r="ADW4" s="9"/>
      <c r="ADX4" s="9"/>
      <c r="ADY4" s="9"/>
      <c r="ADZ4" s="9"/>
      <c r="AEA4" s="9"/>
      <c r="AEB4" s="9"/>
      <c r="AEC4" s="9"/>
      <c r="AED4" s="9"/>
      <c r="AEE4" s="9"/>
      <c r="AEF4" s="9"/>
      <c r="AEG4" s="9"/>
      <c r="AEH4" s="9"/>
      <c r="AEI4" s="9"/>
      <c r="AEJ4" s="9"/>
      <c r="AEK4" s="9"/>
      <c r="AEL4" s="9"/>
      <c r="AEM4" s="9"/>
      <c r="AEN4" s="9"/>
      <c r="AEO4" s="9"/>
      <c r="AEP4" s="9"/>
      <c r="AEQ4" s="9"/>
      <c r="AER4" s="9"/>
      <c r="AES4" s="9"/>
      <c r="AET4" s="9"/>
      <c r="AEU4" s="9"/>
      <c r="AEV4" s="9"/>
      <c r="AEW4" s="9"/>
      <c r="AEX4" s="9"/>
      <c r="AEY4" s="9"/>
      <c r="AEZ4" s="9"/>
      <c r="AFA4" s="9"/>
      <c r="AFB4" s="9"/>
      <c r="AFC4" s="9"/>
      <c r="AFD4" s="9"/>
      <c r="AFE4" s="9"/>
      <c r="AFF4" s="9"/>
      <c r="AFG4" s="9"/>
      <c r="AFH4" s="9"/>
      <c r="AFI4" s="9"/>
      <c r="AFJ4" s="9"/>
      <c r="AFK4" s="9"/>
      <c r="AFL4" s="9"/>
      <c r="AFM4" s="9"/>
      <c r="AFN4" s="9"/>
      <c r="AFO4" s="9"/>
      <c r="AFP4" s="9"/>
      <c r="AFQ4" s="9"/>
      <c r="AFR4" s="9"/>
      <c r="AFS4" s="9"/>
      <c r="AFT4" s="9"/>
      <c r="AFU4" s="9"/>
      <c r="AFV4" s="9"/>
      <c r="AFW4" s="9"/>
      <c r="AFX4" s="9"/>
      <c r="AFY4" s="9"/>
      <c r="AFZ4" s="9"/>
      <c r="AGA4" s="9"/>
      <c r="AGB4" s="9"/>
      <c r="AGC4" s="9"/>
      <c r="AGD4" s="9"/>
      <c r="AGE4" s="9"/>
      <c r="AGF4" s="9"/>
      <c r="AGG4" s="9"/>
      <c r="AGH4" s="9"/>
      <c r="AGI4" s="9"/>
      <c r="AGJ4" s="9"/>
      <c r="AGK4" s="9"/>
      <c r="AGL4" s="9"/>
      <c r="AGM4" s="9"/>
      <c r="AGN4" s="9"/>
      <c r="AGO4" s="9"/>
      <c r="AGP4" s="9"/>
      <c r="AGQ4" s="9"/>
      <c r="AGR4" s="9"/>
      <c r="AGS4" s="9"/>
      <c r="AGT4" s="9"/>
      <c r="AGU4" s="9"/>
      <c r="AGV4" s="9"/>
      <c r="AGW4" s="9"/>
      <c r="AGX4" s="9"/>
      <c r="AGY4" s="9"/>
      <c r="AGZ4" s="9"/>
      <c r="AHA4" s="9"/>
      <c r="AHB4" s="9"/>
      <c r="AHC4" s="9"/>
      <c r="AHD4" s="9"/>
      <c r="AHE4" s="9"/>
      <c r="AHF4" s="9"/>
      <c r="AHG4" s="9"/>
      <c r="AHH4" s="9"/>
      <c r="AHI4" s="9"/>
      <c r="AHJ4" s="9"/>
      <c r="AHK4" s="9"/>
      <c r="AHL4" s="9"/>
      <c r="AHM4" s="9"/>
      <c r="AHN4" s="9"/>
      <c r="AHO4" s="9"/>
      <c r="AHP4" s="9"/>
      <c r="AHQ4" s="9"/>
      <c r="AHR4" s="9"/>
      <c r="AHS4" s="9"/>
      <c r="AHT4" s="9"/>
      <c r="AHU4" s="9"/>
      <c r="AHV4" s="9"/>
      <c r="AHW4" s="9"/>
      <c r="AHX4" s="9"/>
      <c r="AHY4" s="9"/>
      <c r="AHZ4" s="9"/>
      <c r="AIA4" s="9"/>
      <c r="AIB4" s="9"/>
      <c r="AIC4" s="9"/>
      <c r="AID4" s="9"/>
      <c r="AIE4" s="9"/>
      <c r="AIF4" s="9"/>
      <c r="AIG4" s="9"/>
      <c r="AIH4" s="9"/>
      <c r="AII4" s="9"/>
      <c r="AIJ4" s="9"/>
      <c r="AIK4" s="9"/>
      <c r="AIL4" s="9"/>
      <c r="AIM4" s="9"/>
      <c r="AIN4" s="9"/>
      <c r="AIO4" s="9"/>
      <c r="AIP4" s="9"/>
      <c r="AIQ4" s="9"/>
      <c r="AIR4" s="9"/>
      <c r="AIS4" s="9"/>
      <c r="AIT4" s="9"/>
      <c r="AIU4" s="9"/>
      <c r="AIV4" s="9"/>
      <c r="AIW4" s="9"/>
      <c r="AIX4" s="9"/>
      <c r="AIY4" s="9"/>
      <c r="AIZ4" s="9"/>
      <c r="AJA4" s="9"/>
      <c r="AJB4" s="9"/>
      <c r="AJC4" s="9"/>
      <c r="AJD4" s="9"/>
      <c r="AJE4" s="9"/>
      <c r="AJF4" s="9"/>
      <c r="AJG4" s="9"/>
      <c r="AJH4" s="9"/>
      <c r="AJI4" s="9"/>
      <c r="AJJ4" s="9"/>
      <c r="AJK4" s="9"/>
      <c r="AJL4" s="9"/>
      <c r="AJM4" s="9"/>
      <c r="AJN4" s="9"/>
      <c r="AJO4" s="9"/>
      <c r="AJP4" s="9"/>
      <c r="AJQ4" s="9"/>
      <c r="AJR4" s="9"/>
      <c r="AJS4" s="9"/>
      <c r="AJT4" s="9"/>
      <c r="AJU4" s="9"/>
      <c r="AJV4" s="9"/>
      <c r="AJW4" s="9"/>
      <c r="AJX4" s="9"/>
      <c r="AJY4" s="9"/>
      <c r="AJZ4" s="9"/>
      <c r="AKA4" s="9"/>
      <c r="AKB4" s="9"/>
      <c r="AKC4" s="9"/>
      <c r="AKD4" s="9"/>
      <c r="AKE4" s="9"/>
      <c r="AKF4" s="9"/>
      <c r="AKG4" s="9"/>
      <c r="AKH4" s="9"/>
      <c r="AKI4" s="9"/>
      <c r="AKJ4" s="9"/>
      <c r="AKK4" s="9"/>
      <c r="AKL4" s="9"/>
      <c r="AKM4" s="9"/>
      <c r="AKN4" s="9"/>
      <c r="AKO4" s="9"/>
      <c r="AKP4" s="9"/>
      <c r="AKQ4" s="9"/>
      <c r="AKR4" s="9"/>
      <c r="AKS4" s="9"/>
      <c r="AKT4" s="9"/>
      <c r="AKU4" s="9"/>
      <c r="AKV4" s="9"/>
      <c r="AKW4" s="9"/>
      <c r="AKX4" s="9"/>
      <c r="AKY4" s="9"/>
      <c r="AKZ4" s="9"/>
      <c r="ALA4" s="9"/>
      <c r="ALB4" s="9"/>
      <c r="ALC4" s="9"/>
      <c r="ALD4" s="9"/>
      <c r="ALE4" s="9"/>
      <c r="ALF4" s="9"/>
      <c r="ALG4" s="9"/>
      <c r="ALH4" s="9"/>
      <c r="ALI4" s="9"/>
      <c r="ALJ4" s="9"/>
      <c r="ALK4" s="9"/>
      <c r="ALL4" s="9"/>
      <c r="ALM4" s="9"/>
      <c r="ALN4" s="9"/>
      <c r="ALO4" s="9"/>
      <c r="ALP4" s="9"/>
      <c r="ALQ4" s="9"/>
      <c r="ALR4" s="9"/>
      <c r="ALS4" s="9"/>
      <c r="ALT4" s="9"/>
      <c r="ALU4" s="9"/>
      <c r="ALV4" s="9"/>
      <c r="ALW4" s="9"/>
      <c r="ALX4" s="9"/>
      <c r="ALY4" s="9"/>
      <c r="ALZ4" s="9"/>
      <c r="AMA4" s="9"/>
      <c r="AMB4" s="9"/>
      <c r="AMC4" s="9"/>
      <c r="AMD4" s="9"/>
      <c r="AME4" s="9"/>
      <c r="AMF4" s="9"/>
      <c r="AMG4" s="9"/>
      <c r="AMH4" s="9"/>
      <c r="AMI4" s="9"/>
      <c r="AMJ4" s="9"/>
    </row>
    <row r="5" spans="1:1024" ht="67.150000000000006" customHeight="1" x14ac:dyDescent="0.35">
      <c r="A5" s="2" t="s">
        <v>10</v>
      </c>
      <c r="B5" s="9" t="s">
        <v>8</v>
      </c>
      <c r="C5" s="2" t="s">
        <v>11</v>
      </c>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9"/>
      <c r="KE5" s="9"/>
      <c r="KF5" s="9"/>
      <c r="KG5" s="9"/>
      <c r="KH5" s="9"/>
      <c r="KI5" s="9"/>
      <c r="KJ5" s="9"/>
      <c r="KK5" s="9"/>
      <c r="KL5" s="9"/>
      <c r="KM5" s="9"/>
      <c r="KN5" s="9"/>
      <c r="KO5" s="9"/>
      <c r="KP5" s="9"/>
      <c r="KQ5" s="9"/>
      <c r="KR5" s="9"/>
      <c r="KS5" s="9"/>
      <c r="KT5" s="9"/>
      <c r="KU5" s="9"/>
      <c r="KV5" s="9"/>
      <c r="KW5" s="9"/>
      <c r="KX5" s="9"/>
      <c r="KY5" s="9"/>
      <c r="KZ5" s="9"/>
      <c r="LA5" s="9"/>
      <c r="LB5" s="9"/>
      <c r="LC5" s="9"/>
      <c r="LD5" s="9"/>
      <c r="LE5" s="9"/>
      <c r="LF5" s="9"/>
      <c r="LG5" s="9"/>
      <c r="LH5" s="9"/>
      <c r="LI5" s="9"/>
      <c r="LJ5" s="9"/>
      <c r="LK5" s="9"/>
      <c r="LL5" s="9"/>
      <c r="LM5" s="9"/>
      <c r="LN5" s="9"/>
      <c r="LO5" s="9"/>
      <c r="LP5" s="9"/>
      <c r="LQ5" s="9"/>
      <c r="LR5" s="9"/>
      <c r="LS5" s="9"/>
      <c r="LT5" s="9"/>
      <c r="LU5" s="9"/>
      <c r="LV5" s="9"/>
      <c r="LW5" s="9"/>
      <c r="LX5" s="9"/>
      <c r="LY5" s="9"/>
      <c r="LZ5" s="9"/>
      <c r="MA5" s="9"/>
      <c r="MB5" s="9"/>
      <c r="MC5" s="9"/>
      <c r="MD5" s="9"/>
      <c r="ME5" s="9"/>
      <c r="MF5" s="9"/>
      <c r="MG5" s="9"/>
      <c r="MH5" s="9"/>
      <c r="MI5" s="9"/>
      <c r="MJ5" s="9"/>
      <c r="MK5" s="9"/>
      <c r="ML5" s="9"/>
      <c r="MM5" s="9"/>
      <c r="MN5" s="9"/>
      <c r="MO5" s="9"/>
      <c r="MP5" s="9"/>
      <c r="MQ5" s="9"/>
      <c r="MR5" s="9"/>
      <c r="MS5" s="9"/>
      <c r="MT5" s="9"/>
      <c r="MU5" s="9"/>
      <c r="MV5" s="9"/>
      <c r="MW5" s="9"/>
      <c r="MX5" s="9"/>
      <c r="MY5" s="9"/>
      <c r="MZ5" s="9"/>
      <c r="NA5" s="9"/>
      <c r="NB5" s="9"/>
      <c r="NC5" s="9"/>
      <c r="ND5" s="9"/>
      <c r="NE5" s="9"/>
      <c r="NF5" s="9"/>
      <c r="NG5" s="9"/>
      <c r="NH5" s="9"/>
      <c r="NI5" s="9"/>
      <c r="NJ5" s="9"/>
      <c r="NK5" s="9"/>
      <c r="NL5" s="9"/>
      <c r="NM5" s="9"/>
      <c r="NN5" s="9"/>
      <c r="NO5" s="9"/>
      <c r="NP5" s="9"/>
      <c r="NQ5" s="9"/>
      <c r="NR5" s="9"/>
      <c r="NS5" s="9"/>
      <c r="NT5" s="9"/>
      <c r="NU5" s="9"/>
      <c r="NV5" s="9"/>
      <c r="NW5" s="9"/>
      <c r="NX5" s="9"/>
      <c r="NY5" s="9"/>
      <c r="NZ5" s="9"/>
      <c r="OA5" s="9"/>
      <c r="OB5" s="9"/>
      <c r="OC5" s="9"/>
      <c r="OD5" s="9"/>
      <c r="OE5" s="9"/>
      <c r="OF5" s="9"/>
      <c r="OG5" s="9"/>
      <c r="OH5" s="9"/>
      <c r="OI5" s="9"/>
      <c r="OJ5" s="9"/>
      <c r="OK5" s="9"/>
      <c r="OL5" s="9"/>
      <c r="OM5" s="9"/>
      <c r="ON5" s="9"/>
      <c r="OO5" s="9"/>
      <c r="OP5" s="9"/>
      <c r="OQ5" s="9"/>
      <c r="OR5" s="9"/>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9"/>
      <c r="QB5" s="9"/>
      <c r="QC5" s="9"/>
      <c r="QD5" s="9"/>
      <c r="QE5" s="9"/>
      <c r="QF5" s="9"/>
      <c r="QG5" s="9"/>
      <c r="QH5" s="9"/>
      <c r="QI5" s="9"/>
      <c r="QJ5" s="9"/>
      <c r="QK5" s="9"/>
      <c r="QL5" s="9"/>
      <c r="QM5" s="9"/>
      <c r="QN5" s="9"/>
      <c r="QO5" s="9"/>
      <c r="QP5" s="9"/>
      <c r="QQ5" s="9"/>
      <c r="QR5" s="9"/>
      <c r="QS5" s="9"/>
      <c r="QT5" s="9"/>
      <c r="QU5" s="9"/>
      <c r="QV5" s="9"/>
      <c r="QW5" s="9"/>
      <c r="QX5" s="9"/>
      <c r="QY5" s="9"/>
      <c r="QZ5" s="9"/>
      <c r="RA5" s="9"/>
      <c r="RB5" s="9"/>
      <c r="RC5" s="9"/>
      <c r="RD5" s="9"/>
      <c r="RE5" s="9"/>
      <c r="RF5" s="9"/>
      <c r="RG5" s="9"/>
      <c r="RH5" s="9"/>
      <c r="RI5" s="9"/>
      <c r="RJ5" s="9"/>
      <c r="RK5" s="9"/>
      <c r="RL5" s="9"/>
      <c r="RM5" s="9"/>
      <c r="RN5" s="9"/>
      <c r="RO5" s="9"/>
      <c r="RP5" s="9"/>
      <c r="RQ5" s="9"/>
      <c r="RR5" s="9"/>
      <c r="RS5" s="9"/>
      <c r="RT5" s="9"/>
      <c r="RU5" s="9"/>
      <c r="RV5" s="9"/>
      <c r="RW5" s="9"/>
      <c r="RX5" s="9"/>
      <c r="RY5" s="9"/>
      <c r="RZ5" s="9"/>
      <c r="SA5" s="9"/>
      <c r="SB5" s="9"/>
      <c r="SC5" s="9"/>
      <c r="SD5" s="9"/>
      <c r="SE5" s="9"/>
      <c r="SF5" s="9"/>
      <c r="SG5" s="9"/>
      <c r="SH5" s="9"/>
      <c r="SI5" s="9"/>
      <c r="SJ5" s="9"/>
      <c r="SK5" s="9"/>
      <c r="SL5" s="9"/>
      <c r="SM5" s="9"/>
      <c r="SN5" s="9"/>
      <c r="SO5" s="9"/>
      <c r="SP5" s="9"/>
      <c r="SQ5" s="9"/>
      <c r="SR5" s="9"/>
      <c r="SS5" s="9"/>
      <c r="ST5" s="9"/>
      <c r="SU5" s="9"/>
      <c r="SV5" s="9"/>
      <c r="SW5" s="9"/>
      <c r="SX5" s="9"/>
      <c r="SY5" s="9"/>
      <c r="SZ5" s="9"/>
      <c r="TA5" s="9"/>
      <c r="TB5" s="9"/>
      <c r="TC5" s="9"/>
      <c r="TD5" s="9"/>
      <c r="TE5" s="9"/>
      <c r="TF5" s="9"/>
      <c r="TG5" s="9"/>
      <c r="TH5" s="9"/>
      <c r="TI5" s="9"/>
      <c r="TJ5" s="9"/>
      <c r="TK5" s="9"/>
      <c r="TL5" s="9"/>
      <c r="TM5" s="9"/>
      <c r="TN5" s="9"/>
      <c r="TO5" s="9"/>
      <c r="TP5" s="9"/>
      <c r="TQ5" s="9"/>
      <c r="TR5" s="9"/>
      <c r="TS5" s="9"/>
      <c r="TT5" s="9"/>
      <c r="TU5" s="9"/>
      <c r="TV5" s="9"/>
      <c r="TW5" s="9"/>
      <c r="TX5" s="9"/>
      <c r="TY5" s="9"/>
      <c r="TZ5" s="9"/>
      <c r="UA5" s="9"/>
      <c r="UB5" s="9"/>
      <c r="UC5" s="9"/>
      <c r="UD5" s="9"/>
      <c r="UE5" s="9"/>
      <c r="UF5" s="9"/>
      <c r="UG5" s="9"/>
      <c r="UH5" s="9"/>
      <c r="UI5" s="9"/>
      <c r="UJ5" s="9"/>
      <c r="UK5" s="9"/>
      <c r="UL5" s="9"/>
      <c r="UM5" s="9"/>
      <c r="UN5" s="9"/>
      <c r="UO5" s="9"/>
      <c r="UP5" s="9"/>
      <c r="UQ5" s="9"/>
      <c r="UR5" s="9"/>
      <c r="US5" s="9"/>
      <c r="UT5" s="9"/>
      <c r="UU5" s="9"/>
      <c r="UV5" s="9"/>
      <c r="UW5" s="9"/>
      <c r="UX5" s="9"/>
      <c r="UY5" s="9"/>
      <c r="UZ5" s="9"/>
      <c r="VA5" s="9"/>
      <c r="VB5" s="9"/>
      <c r="VC5" s="9"/>
      <c r="VD5" s="9"/>
      <c r="VE5" s="9"/>
      <c r="VF5" s="9"/>
      <c r="VG5" s="9"/>
      <c r="VH5" s="9"/>
      <c r="VI5" s="9"/>
      <c r="VJ5" s="9"/>
      <c r="VK5" s="9"/>
      <c r="VL5" s="9"/>
      <c r="VM5" s="9"/>
      <c r="VN5" s="9"/>
      <c r="VO5" s="9"/>
      <c r="VP5" s="9"/>
      <c r="VQ5" s="9"/>
      <c r="VR5" s="9"/>
      <c r="VS5" s="9"/>
      <c r="VT5" s="9"/>
      <c r="VU5" s="9"/>
      <c r="VV5" s="9"/>
      <c r="VW5" s="9"/>
      <c r="VX5" s="9"/>
      <c r="VY5" s="9"/>
      <c r="VZ5" s="9"/>
      <c r="WA5" s="9"/>
      <c r="WB5" s="9"/>
      <c r="WC5" s="9"/>
      <c r="WD5" s="9"/>
      <c r="WE5" s="9"/>
      <c r="WF5" s="9"/>
      <c r="WG5" s="9"/>
      <c r="WH5" s="9"/>
      <c r="WI5" s="9"/>
      <c r="WJ5" s="9"/>
      <c r="WK5" s="9"/>
      <c r="WL5" s="9"/>
      <c r="WM5" s="9"/>
      <c r="WN5" s="9"/>
      <c r="WO5" s="9"/>
      <c r="WP5" s="9"/>
      <c r="WQ5" s="9"/>
      <c r="WR5" s="9"/>
      <c r="WS5" s="9"/>
      <c r="WT5" s="9"/>
      <c r="WU5" s="9"/>
      <c r="WV5" s="9"/>
      <c r="WW5" s="9"/>
      <c r="WX5" s="9"/>
      <c r="WY5" s="9"/>
      <c r="WZ5" s="9"/>
      <c r="XA5" s="9"/>
      <c r="XB5" s="9"/>
      <c r="XC5" s="9"/>
      <c r="XD5" s="9"/>
      <c r="XE5" s="9"/>
      <c r="XF5" s="9"/>
      <c r="XG5" s="9"/>
      <c r="XH5" s="9"/>
      <c r="XI5" s="9"/>
      <c r="XJ5" s="9"/>
      <c r="XK5" s="9"/>
      <c r="XL5" s="9"/>
      <c r="XM5" s="9"/>
      <c r="XN5" s="9"/>
      <c r="XO5" s="9"/>
      <c r="XP5" s="9"/>
      <c r="XQ5" s="9"/>
      <c r="XR5" s="9"/>
      <c r="XS5" s="9"/>
      <c r="XT5" s="9"/>
      <c r="XU5" s="9"/>
      <c r="XV5" s="9"/>
      <c r="XW5" s="9"/>
      <c r="XX5" s="9"/>
      <c r="XY5" s="9"/>
      <c r="XZ5" s="9"/>
      <c r="YA5" s="9"/>
      <c r="YB5" s="9"/>
      <c r="YC5" s="9"/>
      <c r="YD5" s="9"/>
      <c r="YE5" s="9"/>
      <c r="YF5" s="9"/>
      <c r="YG5" s="9"/>
      <c r="YH5" s="9"/>
      <c r="YI5" s="9"/>
      <c r="YJ5" s="9"/>
      <c r="YK5" s="9"/>
      <c r="YL5" s="9"/>
      <c r="YM5" s="9"/>
      <c r="YN5" s="9"/>
      <c r="YO5" s="9"/>
      <c r="YP5" s="9"/>
      <c r="YQ5" s="9"/>
      <c r="YR5" s="9"/>
      <c r="YS5" s="9"/>
      <c r="YT5" s="9"/>
      <c r="YU5" s="9"/>
      <c r="YV5" s="9"/>
      <c r="YW5" s="9"/>
      <c r="YX5" s="9"/>
      <c r="YY5" s="9"/>
      <c r="YZ5" s="9"/>
      <c r="ZA5" s="9"/>
      <c r="ZB5" s="9"/>
      <c r="ZC5" s="9"/>
      <c r="ZD5" s="9"/>
      <c r="ZE5" s="9"/>
      <c r="ZF5" s="9"/>
      <c r="ZG5" s="9"/>
      <c r="ZH5" s="9"/>
      <c r="ZI5" s="9"/>
      <c r="ZJ5" s="9"/>
      <c r="ZK5" s="9"/>
      <c r="ZL5" s="9"/>
      <c r="ZM5" s="9"/>
      <c r="ZN5" s="9"/>
      <c r="ZO5" s="9"/>
      <c r="ZP5" s="9"/>
      <c r="ZQ5" s="9"/>
      <c r="ZR5" s="9"/>
      <c r="ZS5" s="9"/>
      <c r="ZT5" s="9"/>
      <c r="ZU5" s="9"/>
      <c r="ZV5" s="9"/>
      <c r="ZW5" s="9"/>
      <c r="ZX5" s="9"/>
      <c r="ZY5" s="9"/>
      <c r="ZZ5" s="9"/>
      <c r="AAA5" s="9"/>
      <c r="AAB5" s="9"/>
      <c r="AAC5" s="9"/>
      <c r="AAD5" s="9"/>
      <c r="AAE5" s="9"/>
      <c r="AAF5" s="9"/>
      <c r="AAG5" s="9"/>
      <c r="AAH5" s="9"/>
      <c r="AAI5" s="9"/>
      <c r="AAJ5" s="9"/>
      <c r="AAK5" s="9"/>
      <c r="AAL5" s="9"/>
      <c r="AAM5" s="9"/>
      <c r="AAN5" s="9"/>
      <c r="AAO5" s="9"/>
      <c r="AAP5" s="9"/>
      <c r="AAQ5" s="9"/>
      <c r="AAR5" s="9"/>
      <c r="AAS5" s="9"/>
      <c r="AAT5" s="9"/>
      <c r="AAU5" s="9"/>
      <c r="AAV5" s="9"/>
      <c r="AAW5" s="9"/>
      <c r="AAX5" s="9"/>
      <c r="AAY5" s="9"/>
      <c r="AAZ5" s="9"/>
      <c r="ABA5" s="9"/>
      <c r="ABB5" s="9"/>
      <c r="ABC5" s="9"/>
      <c r="ABD5" s="9"/>
      <c r="ABE5" s="9"/>
      <c r="ABF5" s="9"/>
      <c r="ABG5" s="9"/>
      <c r="ABH5" s="9"/>
      <c r="ABI5" s="9"/>
      <c r="ABJ5" s="9"/>
      <c r="ABK5" s="9"/>
      <c r="ABL5" s="9"/>
      <c r="ABM5" s="9"/>
      <c r="ABN5" s="9"/>
      <c r="ABO5" s="9"/>
      <c r="ABP5" s="9"/>
      <c r="ABQ5" s="9"/>
      <c r="ABR5" s="9"/>
      <c r="ABS5" s="9"/>
      <c r="ABT5" s="9"/>
      <c r="ABU5" s="9"/>
      <c r="ABV5" s="9"/>
      <c r="ABW5" s="9"/>
      <c r="ABX5" s="9"/>
      <c r="ABY5" s="9"/>
      <c r="ABZ5" s="9"/>
      <c r="ACA5" s="9"/>
      <c r="ACB5" s="9"/>
      <c r="ACC5" s="9"/>
      <c r="ACD5" s="9"/>
      <c r="ACE5" s="9"/>
      <c r="ACF5" s="9"/>
      <c r="ACG5" s="9"/>
      <c r="ACH5" s="9"/>
      <c r="ACI5" s="9"/>
      <c r="ACJ5" s="9"/>
      <c r="ACK5" s="9"/>
      <c r="ACL5" s="9"/>
      <c r="ACM5" s="9"/>
      <c r="ACN5" s="9"/>
      <c r="ACO5" s="9"/>
      <c r="ACP5" s="9"/>
      <c r="ACQ5" s="9"/>
      <c r="ACR5" s="9"/>
      <c r="ACS5" s="9"/>
      <c r="ACT5" s="9"/>
      <c r="ACU5" s="9"/>
      <c r="ACV5" s="9"/>
      <c r="ACW5" s="9"/>
      <c r="ACX5" s="9"/>
      <c r="ACY5" s="9"/>
      <c r="ACZ5" s="9"/>
      <c r="ADA5" s="9"/>
      <c r="ADB5" s="9"/>
      <c r="ADC5" s="9"/>
      <c r="ADD5" s="9"/>
      <c r="ADE5" s="9"/>
      <c r="ADF5" s="9"/>
      <c r="ADG5" s="9"/>
      <c r="ADH5" s="9"/>
      <c r="ADI5" s="9"/>
      <c r="ADJ5" s="9"/>
      <c r="ADK5" s="9"/>
      <c r="ADL5" s="9"/>
      <c r="ADM5" s="9"/>
      <c r="ADN5" s="9"/>
      <c r="ADO5" s="9"/>
      <c r="ADP5" s="9"/>
      <c r="ADQ5" s="9"/>
      <c r="ADR5" s="9"/>
      <c r="ADS5" s="9"/>
      <c r="ADT5" s="9"/>
      <c r="ADU5" s="9"/>
      <c r="ADV5" s="9"/>
      <c r="ADW5" s="9"/>
      <c r="ADX5" s="9"/>
      <c r="ADY5" s="9"/>
      <c r="ADZ5" s="9"/>
      <c r="AEA5" s="9"/>
      <c r="AEB5" s="9"/>
      <c r="AEC5" s="9"/>
      <c r="AED5" s="9"/>
      <c r="AEE5" s="9"/>
      <c r="AEF5" s="9"/>
      <c r="AEG5" s="9"/>
      <c r="AEH5" s="9"/>
      <c r="AEI5" s="9"/>
      <c r="AEJ5" s="9"/>
      <c r="AEK5" s="9"/>
      <c r="AEL5" s="9"/>
      <c r="AEM5" s="9"/>
      <c r="AEN5" s="9"/>
      <c r="AEO5" s="9"/>
      <c r="AEP5" s="9"/>
      <c r="AEQ5" s="9"/>
      <c r="AER5" s="9"/>
      <c r="AES5" s="9"/>
      <c r="AET5" s="9"/>
      <c r="AEU5" s="9"/>
      <c r="AEV5" s="9"/>
      <c r="AEW5" s="9"/>
      <c r="AEX5" s="9"/>
      <c r="AEY5" s="9"/>
      <c r="AEZ5" s="9"/>
      <c r="AFA5" s="9"/>
      <c r="AFB5" s="9"/>
      <c r="AFC5" s="9"/>
      <c r="AFD5" s="9"/>
      <c r="AFE5" s="9"/>
      <c r="AFF5" s="9"/>
      <c r="AFG5" s="9"/>
      <c r="AFH5" s="9"/>
      <c r="AFI5" s="9"/>
      <c r="AFJ5" s="9"/>
      <c r="AFK5" s="9"/>
      <c r="AFL5" s="9"/>
      <c r="AFM5" s="9"/>
      <c r="AFN5" s="9"/>
      <c r="AFO5" s="9"/>
      <c r="AFP5" s="9"/>
      <c r="AFQ5" s="9"/>
      <c r="AFR5" s="9"/>
      <c r="AFS5" s="9"/>
      <c r="AFT5" s="9"/>
      <c r="AFU5" s="9"/>
      <c r="AFV5" s="9"/>
      <c r="AFW5" s="9"/>
      <c r="AFX5" s="9"/>
      <c r="AFY5" s="9"/>
      <c r="AFZ5" s="9"/>
      <c r="AGA5" s="9"/>
      <c r="AGB5" s="9"/>
      <c r="AGC5" s="9"/>
      <c r="AGD5" s="9"/>
      <c r="AGE5" s="9"/>
      <c r="AGF5" s="9"/>
      <c r="AGG5" s="9"/>
      <c r="AGH5" s="9"/>
      <c r="AGI5" s="9"/>
      <c r="AGJ5" s="9"/>
      <c r="AGK5" s="9"/>
      <c r="AGL5" s="9"/>
      <c r="AGM5" s="9"/>
      <c r="AGN5" s="9"/>
      <c r="AGO5" s="9"/>
      <c r="AGP5" s="9"/>
      <c r="AGQ5" s="9"/>
      <c r="AGR5" s="9"/>
      <c r="AGS5" s="9"/>
      <c r="AGT5" s="9"/>
      <c r="AGU5" s="9"/>
      <c r="AGV5" s="9"/>
      <c r="AGW5" s="9"/>
      <c r="AGX5" s="9"/>
      <c r="AGY5" s="9"/>
      <c r="AGZ5" s="9"/>
      <c r="AHA5" s="9"/>
      <c r="AHB5" s="9"/>
      <c r="AHC5" s="9"/>
      <c r="AHD5" s="9"/>
      <c r="AHE5" s="9"/>
      <c r="AHF5" s="9"/>
      <c r="AHG5" s="9"/>
      <c r="AHH5" s="9"/>
      <c r="AHI5" s="9"/>
      <c r="AHJ5" s="9"/>
      <c r="AHK5" s="9"/>
      <c r="AHL5" s="9"/>
      <c r="AHM5" s="9"/>
      <c r="AHN5" s="9"/>
      <c r="AHO5" s="9"/>
      <c r="AHP5" s="9"/>
      <c r="AHQ5" s="9"/>
      <c r="AHR5" s="9"/>
      <c r="AHS5" s="9"/>
      <c r="AHT5" s="9"/>
      <c r="AHU5" s="9"/>
      <c r="AHV5" s="9"/>
      <c r="AHW5" s="9"/>
      <c r="AHX5" s="9"/>
      <c r="AHY5" s="9"/>
      <c r="AHZ5" s="9"/>
      <c r="AIA5" s="9"/>
      <c r="AIB5" s="9"/>
      <c r="AIC5" s="9"/>
      <c r="AID5" s="9"/>
      <c r="AIE5" s="9"/>
      <c r="AIF5" s="9"/>
      <c r="AIG5" s="9"/>
      <c r="AIH5" s="9"/>
      <c r="AII5" s="9"/>
      <c r="AIJ5" s="9"/>
      <c r="AIK5" s="9"/>
      <c r="AIL5" s="9"/>
      <c r="AIM5" s="9"/>
      <c r="AIN5" s="9"/>
      <c r="AIO5" s="9"/>
      <c r="AIP5" s="9"/>
      <c r="AIQ5" s="9"/>
      <c r="AIR5" s="9"/>
      <c r="AIS5" s="9"/>
      <c r="AIT5" s="9"/>
      <c r="AIU5" s="9"/>
      <c r="AIV5" s="9"/>
      <c r="AIW5" s="9"/>
      <c r="AIX5" s="9"/>
      <c r="AIY5" s="9"/>
      <c r="AIZ5" s="9"/>
      <c r="AJA5" s="9"/>
      <c r="AJB5" s="9"/>
      <c r="AJC5" s="9"/>
      <c r="AJD5" s="9"/>
      <c r="AJE5" s="9"/>
      <c r="AJF5" s="9"/>
      <c r="AJG5" s="9"/>
      <c r="AJH5" s="9"/>
      <c r="AJI5" s="9"/>
      <c r="AJJ5" s="9"/>
      <c r="AJK5" s="9"/>
      <c r="AJL5" s="9"/>
      <c r="AJM5" s="9"/>
      <c r="AJN5" s="9"/>
      <c r="AJO5" s="9"/>
      <c r="AJP5" s="9"/>
      <c r="AJQ5" s="9"/>
      <c r="AJR5" s="9"/>
      <c r="AJS5" s="9"/>
      <c r="AJT5" s="9"/>
      <c r="AJU5" s="9"/>
      <c r="AJV5" s="9"/>
      <c r="AJW5" s="9"/>
      <c r="AJX5" s="9"/>
      <c r="AJY5" s="9"/>
      <c r="AJZ5" s="9"/>
      <c r="AKA5" s="9"/>
      <c r="AKB5" s="9"/>
      <c r="AKC5" s="9"/>
      <c r="AKD5" s="9"/>
      <c r="AKE5" s="9"/>
      <c r="AKF5" s="9"/>
      <c r="AKG5" s="9"/>
      <c r="AKH5" s="9"/>
      <c r="AKI5" s="9"/>
      <c r="AKJ5" s="9"/>
      <c r="AKK5" s="9"/>
      <c r="AKL5" s="9"/>
      <c r="AKM5" s="9"/>
      <c r="AKN5" s="9"/>
      <c r="AKO5" s="9"/>
      <c r="AKP5" s="9"/>
      <c r="AKQ5" s="9"/>
      <c r="AKR5" s="9"/>
      <c r="AKS5" s="9"/>
      <c r="AKT5" s="9"/>
      <c r="AKU5" s="9"/>
      <c r="AKV5" s="9"/>
      <c r="AKW5" s="9"/>
      <c r="AKX5" s="9"/>
      <c r="AKY5" s="9"/>
      <c r="AKZ5" s="9"/>
      <c r="ALA5" s="9"/>
      <c r="ALB5" s="9"/>
      <c r="ALC5" s="9"/>
      <c r="ALD5" s="9"/>
      <c r="ALE5" s="9"/>
      <c r="ALF5" s="9"/>
      <c r="ALG5" s="9"/>
      <c r="ALH5" s="9"/>
      <c r="ALI5" s="9"/>
      <c r="ALJ5" s="9"/>
      <c r="ALK5" s="9"/>
      <c r="ALL5" s="9"/>
      <c r="ALM5" s="9"/>
      <c r="ALN5" s="9"/>
      <c r="ALO5" s="9"/>
      <c r="ALP5" s="9"/>
      <c r="ALQ5" s="9"/>
      <c r="ALR5" s="9"/>
      <c r="ALS5" s="9"/>
      <c r="ALT5" s="9"/>
      <c r="ALU5" s="9"/>
      <c r="ALV5" s="9"/>
      <c r="ALW5" s="9"/>
      <c r="ALX5" s="9"/>
      <c r="ALY5" s="9"/>
      <c r="ALZ5" s="9"/>
      <c r="AMA5" s="9"/>
      <c r="AMB5" s="9"/>
      <c r="AMC5" s="9"/>
      <c r="AMD5" s="9"/>
      <c r="AME5" s="9"/>
      <c r="AMF5" s="9"/>
      <c r="AMG5" s="9"/>
      <c r="AMH5" s="9"/>
      <c r="AMI5" s="9"/>
      <c r="AMJ5" s="9"/>
    </row>
    <row r="6" spans="1:1024" ht="67.150000000000006" customHeight="1" x14ac:dyDescent="0.35">
      <c r="A6" s="2" t="s">
        <v>12</v>
      </c>
      <c r="B6" s="9" t="s">
        <v>8</v>
      </c>
      <c r="C6" s="2" t="s">
        <v>13</v>
      </c>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C6" s="9"/>
      <c r="JD6" s="9"/>
      <c r="JE6" s="9"/>
      <c r="JF6" s="9"/>
      <c r="JG6" s="9"/>
      <c r="JH6" s="9"/>
      <c r="JI6" s="9"/>
      <c r="JJ6" s="9"/>
      <c r="JK6" s="9"/>
      <c r="JL6" s="9"/>
      <c r="JM6" s="9"/>
      <c r="JN6" s="9"/>
      <c r="JO6" s="9"/>
      <c r="JP6" s="9"/>
      <c r="JQ6" s="9"/>
      <c r="JR6" s="9"/>
      <c r="JS6" s="9"/>
      <c r="JT6" s="9"/>
      <c r="JU6" s="9"/>
      <c r="JV6" s="9"/>
      <c r="JW6" s="9"/>
      <c r="JX6" s="9"/>
      <c r="JY6" s="9"/>
      <c r="JZ6" s="9"/>
      <c r="KA6" s="9"/>
      <c r="KB6" s="9"/>
      <c r="KC6" s="9"/>
      <c r="KD6" s="9"/>
      <c r="KE6" s="9"/>
      <c r="KF6" s="9"/>
      <c r="KG6" s="9"/>
      <c r="KH6" s="9"/>
      <c r="KI6" s="9"/>
      <c r="KJ6" s="9"/>
      <c r="KK6" s="9"/>
      <c r="KL6" s="9"/>
      <c r="KM6" s="9"/>
      <c r="KN6" s="9"/>
      <c r="KO6" s="9"/>
      <c r="KP6" s="9"/>
      <c r="KQ6" s="9"/>
      <c r="KR6" s="9"/>
      <c r="KS6" s="9"/>
      <c r="KT6" s="9"/>
      <c r="KU6" s="9"/>
      <c r="KV6" s="9"/>
      <c r="KW6" s="9"/>
      <c r="KX6" s="9"/>
      <c r="KY6" s="9"/>
      <c r="KZ6" s="9"/>
      <c r="LA6" s="9"/>
      <c r="LB6" s="9"/>
      <c r="LC6" s="9"/>
      <c r="LD6" s="9"/>
      <c r="LE6" s="9"/>
      <c r="LF6" s="9"/>
      <c r="LG6" s="9"/>
      <c r="LH6" s="9"/>
      <c r="LI6" s="9"/>
      <c r="LJ6" s="9"/>
      <c r="LK6" s="9"/>
      <c r="LL6" s="9"/>
      <c r="LM6" s="9"/>
      <c r="LN6" s="9"/>
      <c r="LO6" s="9"/>
      <c r="LP6" s="9"/>
      <c r="LQ6" s="9"/>
      <c r="LR6" s="9"/>
      <c r="LS6" s="9"/>
      <c r="LT6" s="9"/>
      <c r="LU6" s="9"/>
      <c r="LV6" s="9"/>
      <c r="LW6" s="9"/>
      <c r="LX6" s="9"/>
      <c r="LY6" s="9"/>
      <c r="LZ6" s="9"/>
      <c r="MA6" s="9"/>
      <c r="MB6" s="9"/>
      <c r="MC6" s="9"/>
      <c r="MD6" s="9"/>
      <c r="ME6" s="9"/>
      <c r="MF6" s="9"/>
      <c r="MG6" s="9"/>
      <c r="MH6" s="9"/>
      <c r="MI6" s="9"/>
      <c r="MJ6" s="9"/>
      <c r="MK6" s="9"/>
      <c r="ML6" s="9"/>
      <c r="MM6" s="9"/>
      <c r="MN6" s="9"/>
      <c r="MO6" s="9"/>
      <c r="MP6" s="9"/>
      <c r="MQ6" s="9"/>
      <c r="MR6" s="9"/>
      <c r="MS6" s="9"/>
      <c r="MT6" s="9"/>
      <c r="MU6" s="9"/>
      <c r="MV6" s="9"/>
      <c r="MW6" s="9"/>
      <c r="MX6" s="9"/>
      <c r="MY6" s="9"/>
      <c r="MZ6" s="9"/>
      <c r="NA6" s="9"/>
      <c r="NB6" s="9"/>
      <c r="NC6" s="9"/>
      <c r="ND6" s="9"/>
      <c r="NE6" s="9"/>
      <c r="NF6" s="9"/>
      <c r="NG6" s="9"/>
      <c r="NH6" s="9"/>
      <c r="NI6" s="9"/>
      <c r="NJ6" s="9"/>
      <c r="NK6" s="9"/>
      <c r="NL6" s="9"/>
      <c r="NM6" s="9"/>
      <c r="NN6" s="9"/>
      <c r="NO6" s="9"/>
      <c r="NP6" s="9"/>
      <c r="NQ6" s="9"/>
      <c r="NR6" s="9"/>
      <c r="NS6" s="9"/>
      <c r="NT6" s="9"/>
      <c r="NU6" s="9"/>
      <c r="NV6" s="9"/>
      <c r="NW6" s="9"/>
      <c r="NX6" s="9"/>
      <c r="NY6" s="9"/>
      <c r="NZ6" s="9"/>
      <c r="OA6" s="9"/>
      <c r="OB6" s="9"/>
      <c r="OC6" s="9"/>
      <c r="OD6" s="9"/>
      <c r="OE6" s="9"/>
      <c r="OF6" s="9"/>
      <c r="OG6" s="9"/>
      <c r="OH6" s="9"/>
      <c r="OI6" s="9"/>
      <c r="OJ6" s="9"/>
      <c r="OK6" s="9"/>
      <c r="OL6" s="9"/>
      <c r="OM6" s="9"/>
      <c r="ON6" s="9"/>
      <c r="OO6" s="9"/>
      <c r="OP6" s="9"/>
      <c r="OQ6" s="9"/>
      <c r="OR6" s="9"/>
      <c r="OS6" s="9"/>
      <c r="OT6" s="9"/>
      <c r="OU6" s="9"/>
      <c r="OV6" s="9"/>
      <c r="OW6" s="9"/>
      <c r="OX6" s="9"/>
      <c r="OY6" s="9"/>
      <c r="OZ6" s="9"/>
      <c r="PA6" s="9"/>
      <c r="PB6" s="9"/>
      <c r="PC6" s="9"/>
      <c r="PD6" s="9"/>
      <c r="PE6" s="9"/>
      <c r="PF6" s="9"/>
      <c r="PG6" s="9"/>
      <c r="PH6" s="9"/>
      <c r="PI6" s="9"/>
      <c r="PJ6" s="9"/>
      <c r="PK6" s="9"/>
      <c r="PL6" s="9"/>
      <c r="PM6" s="9"/>
      <c r="PN6" s="9"/>
      <c r="PO6" s="9"/>
      <c r="PP6" s="9"/>
      <c r="PQ6" s="9"/>
      <c r="PR6" s="9"/>
      <c r="PS6" s="9"/>
      <c r="PT6" s="9"/>
      <c r="PU6" s="9"/>
      <c r="PV6" s="9"/>
      <c r="PW6" s="9"/>
      <c r="PX6" s="9"/>
      <c r="PY6" s="9"/>
      <c r="PZ6" s="9"/>
      <c r="QA6" s="9"/>
      <c r="QB6" s="9"/>
      <c r="QC6" s="9"/>
      <c r="QD6" s="9"/>
      <c r="QE6" s="9"/>
      <c r="QF6" s="9"/>
      <c r="QG6" s="9"/>
      <c r="QH6" s="9"/>
      <c r="QI6" s="9"/>
      <c r="QJ6" s="9"/>
      <c r="QK6" s="9"/>
      <c r="QL6" s="9"/>
      <c r="QM6" s="9"/>
      <c r="QN6" s="9"/>
      <c r="QO6" s="9"/>
      <c r="QP6" s="9"/>
      <c r="QQ6" s="9"/>
      <c r="QR6" s="9"/>
      <c r="QS6" s="9"/>
      <c r="QT6" s="9"/>
      <c r="QU6" s="9"/>
      <c r="QV6" s="9"/>
      <c r="QW6" s="9"/>
      <c r="QX6" s="9"/>
      <c r="QY6" s="9"/>
      <c r="QZ6" s="9"/>
      <c r="RA6" s="9"/>
      <c r="RB6" s="9"/>
      <c r="RC6" s="9"/>
      <c r="RD6" s="9"/>
      <c r="RE6" s="9"/>
      <c r="RF6" s="9"/>
      <c r="RG6" s="9"/>
      <c r="RH6" s="9"/>
      <c r="RI6" s="9"/>
      <c r="RJ6" s="9"/>
      <c r="RK6" s="9"/>
      <c r="RL6" s="9"/>
      <c r="RM6" s="9"/>
      <c r="RN6" s="9"/>
      <c r="RO6" s="9"/>
      <c r="RP6" s="9"/>
      <c r="RQ6" s="9"/>
      <c r="RR6" s="9"/>
      <c r="RS6" s="9"/>
      <c r="RT6" s="9"/>
      <c r="RU6" s="9"/>
      <c r="RV6" s="9"/>
      <c r="RW6" s="9"/>
      <c r="RX6" s="9"/>
      <c r="RY6" s="9"/>
      <c r="RZ6" s="9"/>
      <c r="SA6" s="9"/>
      <c r="SB6" s="9"/>
      <c r="SC6" s="9"/>
      <c r="SD6" s="9"/>
      <c r="SE6" s="9"/>
      <c r="SF6" s="9"/>
      <c r="SG6" s="9"/>
      <c r="SH6" s="9"/>
      <c r="SI6" s="9"/>
      <c r="SJ6" s="9"/>
      <c r="SK6" s="9"/>
      <c r="SL6" s="9"/>
      <c r="SM6" s="9"/>
      <c r="SN6" s="9"/>
      <c r="SO6" s="9"/>
      <c r="SP6" s="9"/>
      <c r="SQ6" s="9"/>
      <c r="SR6" s="9"/>
      <c r="SS6" s="9"/>
      <c r="ST6" s="9"/>
      <c r="SU6" s="9"/>
      <c r="SV6" s="9"/>
      <c r="SW6" s="9"/>
      <c r="SX6" s="9"/>
      <c r="SY6" s="9"/>
      <c r="SZ6" s="9"/>
      <c r="TA6" s="9"/>
      <c r="TB6" s="9"/>
      <c r="TC6" s="9"/>
      <c r="TD6" s="9"/>
      <c r="TE6" s="9"/>
      <c r="TF6" s="9"/>
      <c r="TG6" s="9"/>
      <c r="TH6" s="9"/>
      <c r="TI6" s="9"/>
      <c r="TJ6" s="9"/>
      <c r="TK6" s="9"/>
      <c r="TL6" s="9"/>
      <c r="TM6" s="9"/>
      <c r="TN6" s="9"/>
      <c r="TO6" s="9"/>
      <c r="TP6" s="9"/>
      <c r="TQ6" s="9"/>
      <c r="TR6" s="9"/>
      <c r="TS6" s="9"/>
      <c r="TT6" s="9"/>
      <c r="TU6" s="9"/>
      <c r="TV6" s="9"/>
      <c r="TW6" s="9"/>
      <c r="TX6" s="9"/>
      <c r="TY6" s="9"/>
      <c r="TZ6" s="9"/>
      <c r="UA6" s="9"/>
      <c r="UB6" s="9"/>
      <c r="UC6" s="9"/>
      <c r="UD6" s="9"/>
      <c r="UE6" s="9"/>
      <c r="UF6" s="9"/>
      <c r="UG6" s="9"/>
      <c r="UH6" s="9"/>
      <c r="UI6" s="9"/>
      <c r="UJ6" s="9"/>
      <c r="UK6" s="9"/>
      <c r="UL6" s="9"/>
      <c r="UM6" s="9"/>
      <c r="UN6" s="9"/>
      <c r="UO6" s="9"/>
      <c r="UP6" s="9"/>
      <c r="UQ6" s="9"/>
      <c r="UR6" s="9"/>
      <c r="US6" s="9"/>
      <c r="UT6" s="9"/>
      <c r="UU6" s="9"/>
      <c r="UV6" s="9"/>
      <c r="UW6" s="9"/>
      <c r="UX6" s="9"/>
      <c r="UY6" s="9"/>
      <c r="UZ6" s="9"/>
      <c r="VA6" s="9"/>
      <c r="VB6" s="9"/>
      <c r="VC6" s="9"/>
      <c r="VD6" s="9"/>
      <c r="VE6" s="9"/>
      <c r="VF6" s="9"/>
      <c r="VG6" s="9"/>
      <c r="VH6" s="9"/>
      <c r="VI6" s="9"/>
      <c r="VJ6" s="9"/>
      <c r="VK6" s="9"/>
      <c r="VL6" s="9"/>
      <c r="VM6" s="9"/>
      <c r="VN6" s="9"/>
      <c r="VO6" s="9"/>
      <c r="VP6" s="9"/>
      <c r="VQ6" s="9"/>
      <c r="VR6" s="9"/>
      <c r="VS6" s="9"/>
      <c r="VT6" s="9"/>
      <c r="VU6" s="9"/>
      <c r="VV6" s="9"/>
      <c r="VW6" s="9"/>
      <c r="VX6" s="9"/>
      <c r="VY6" s="9"/>
      <c r="VZ6" s="9"/>
      <c r="WA6" s="9"/>
      <c r="WB6" s="9"/>
      <c r="WC6" s="9"/>
      <c r="WD6" s="9"/>
      <c r="WE6" s="9"/>
      <c r="WF6" s="9"/>
      <c r="WG6" s="9"/>
      <c r="WH6" s="9"/>
      <c r="WI6" s="9"/>
      <c r="WJ6" s="9"/>
      <c r="WK6" s="9"/>
      <c r="WL6" s="9"/>
      <c r="WM6" s="9"/>
      <c r="WN6" s="9"/>
      <c r="WO6" s="9"/>
      <c r="WP6" s="9"/>
      <c r="WQ6" s="9"/>
      <c r="WR6" s="9"/>
      <c r="WS6" s="9"/>
      <c r="WT6" s="9"/>
      <c r="WU6" s="9"/>
      <c r="WV6" s="9"/>
      <c r="WW6" s="9"/>
      <c r="WX6" s="9"/>
      <c r="WY6" s="9"/>
      <c r="WZ6" s="9"/>
      <c r="XA6" s="9"/>
      <c r="XB6" s="9"/>
      <c r="XC6" s="9"/>
      <c r="XD6" s="9"/>
      <c r="XE6" s="9"/>
      <c r="XF6" s="9"/>
      <c r="XG6" s="9"/>
      <c r="XH6" s="9"/>
      <c r="XI6" s="9"/>
      <c r="XJ6" s="9"/>
      <c r="XK6" s="9"/>
      <c r="XL6" s="9"/>
      <c r="XM6" s="9"/>
      <c r="XN6" s="9"/>
      <c r="XO6" s="9"/>
      <c r="XP6" s="9"/>
      <c r="XQ6" s="9"/>
      <c r="XR6" s="9"/>
      <c r="XS6" s="9"/>
      <c r="XT6" s="9"/>
      <c r="XU6" s="9"/>
      <c r="XV6" s="9"/>
      <c r="XW6" s="9"/>
      <c r="XX6" s="9"/>
      <c r="XY6" s="9"/>
      <c r="XZ6" s="9"/>
      <c r="YA6" s="9"/>
      <c r="YB6" s="9"/>
      <c r="YC6" s="9"/>
      <c r="YD6" s="9"/>
      <c r="YE6" s="9"/>
      <c r="YF6" s="9"/>
      <c r="YG6" s="9"/>
      <c r="YH6" s="9"/>
      <c r="YI6" s="9"/>
      <c r="YJ6" s="9"/>
      <c r="YK6" s="9"/>
      <c r="YL6" s="9"/>
      <c r="YM6" s="9"/>
      <c r="YN6" s="9"/>
      <c r="YO6" s="9"/>
      <c r="YP6" s="9"/>
      <c r="YQ6" s="9"/>
      <c r="YR6" s="9"/>
      <c r="YS6" s="9"/>
      <c r="YT6" s="9"/>
      <c r="YU6" s="9"/>
      <c r="YV6" s="9"/>
      <c r="YW6" s="9"/>
      <c r="YX6" s="9"/>
      <c r="YY6" s="9"/>
      <c r="YZ6" s="9"/>
      <c r="ZA6" s="9"/>
      <c r="ZB6" s="9"/>
      <c r="ZC6" s="9"/>
      <c r="ZD6" s="9"/>
      <c r="ZE6" s="9"/>
      <c r="ZF6" s="9"/>
      <c r="ZG6" s="9"/>
      <c r="ZH6" s="9"/>
      <c r="ZI6" s="9"/>
      <c r="ZJ6" s="9"/>
      <c r="ZK6" s="9"/>
      <c r="ZL6" s="9"/>
      <c r="ZM6" s="9"/>
      <c r="ZN6" s="9"/>
      <c r="ZO6" s="9"/>
      <c r="ZP6" s="9"/>
      <c r="ZQ6" s="9"/>
      <c r="ZR6" s="9"/>
      <c r="ZS6" s="9"/>
      <c r="ZT6" s="9"/>
      <c r="ZU6" s="9"/>
      <c r="ZV6" s="9"/>
      <c r="ZW6" s="9"/>
      <c r="ZX6" s="9"/>
      <c r="ZY6" s="9"/>
      <c r="ZZ6" s="9"/>
      <c r="AAA6" s="9"/>
      <c r="AAB6" s="9"/>
      <c r="AAC6" s="9"/>
      <c r="AAD6" s="9"/>
      <c r="AAE6" s="9"/>
      <c r="AAF6" s="9"/>
      <c r="AAG6" s="9"/>
      <c r="AAH6" s="9"/>
      <c r="AAI6" s="9"/>
      <c r="AAJ6" s="9"/>
      <c r="AAK6" s="9"/>
      <c r="AAL6" s="9"/>
      <c r="AAM6" s="9"/>
      <c r="AAN6" s="9"/>
      <c r="AAO6" s="9"/>
      <c r="AAP6" s="9"/>
      <c r="AAQ6" s="9"/>
      <c r="AAR6" s="9"/>
      <c r="AAS6" s="9"/>
      <c r="AAT6" s="9"/>
      <c r="AAU6" s="9"/>
      <c r="AAV6" s="9"/>
      <c r="AAW6" s="9"/>
      <c r="AAX6" s="9"/>
      <c r="AAY6" s="9"/>
      <c r="AAZ6" s="9"/>
      <c r="ABA6" s="9"/>
      <c r="ABB6" s="9"/>
      <c r="ABC6" s="9"/>
      <c r="ABD6" s="9"/>
      <c r="ABE6" s="9"/>
      <c r="ABF6" s="9"/>
      <c r="ABG6" s="9"/>
      <c r="ABH6" s="9"/>
      <c r="ABI6" s="9"/>
      <c r="ABJ6" s="9"/>
      <c r="ABK6" s="9"/>
      <c r="ABL6" s="9"/>
      <c r="ABM6" s="9"/>
      <c r="ABN6" s="9"/>
      <c r="ABO6" s="9"/>
      <c r="ABP6" s="9"/>
      <c r="ABQ6" s="9"/>
      <c r="ABR6" s="9"/>
      <c r="ABS6" s="9"/>
      <c r="ABT6" s="9"/>
      <c r="ABU6" s="9"/>
      <c r="ABV6" s="9"/>
      <c r="ABW6" s="9"/>
      <c r="ABX6" s="9"/>
      <c r="ABY6" s="9"/>
      <c r="ABZ6" s="9"/>
      <c r="ACA6" s="9"/>
      <c r="ACB6" s="9"/>
      <c r="ACC6" s="9"/>
      <c r="ACD6" s="9"/>
      <c r="ACE6" s="9"/>
      <c r="ACF6" s="9"/>
      <c r="ACG6" s="9"/>
      <c r="ACH6" s="9"/>
      <c r="ACI6" s="9"/>
      <c r="ACJ6" s="9"/>
      <c r="ACK6" s="9"/>
      <c r="ACL6" s="9"/>
      <c r="ACM6" s="9"/>
      <c r="ACN6" s="9"/>
      <c r="ACO6" s="9"/>
      <c r="ACP6" s="9"/>
      <c r="ACQ6" s="9"/>
      <c r="ACR6" s="9"/>
      <c r="ACS6" s="9"/>
      <c r="ACT6" s="9"/>
      <c r="ACU6" s="9"/>
      <c r="ACV6" s="9"/>
      <c r="ACW6" s="9"/>
      <c r="ACX6" s="9"/>
      <c r="ACY6" s="9"/>
      <c r="ACZ6" s="9"/>
      <c r="ADA6" s="9"/>
      <c r="ADB6" s="9"/>
      <c r="ADC6" s="9"/>
      <c r="ADD6" s="9"/>
      <c r="ADE6" s="9"/>
      <c r="ADF6" s="9"/>
      <c r="ADG6" s="9"/>
      <c r="ADH6" s="9"/>
      <c r="ADI6" s="9"/>
      <c r="ADJ6" s="9"/>
      <c r="ADK6" s="9"/>
      <c r="ADL6" s="9"/>
      <c r="ADM6" s="9"/>
      <c r="ADN6" s="9"/>
      <c r="ADO6" s="9"/>
      <c r="ADP6" s="9"/>
      <c r="ADQ6" s="9"/>
      <c r="ADR6" s="9"/>
      <c r="ADS6" s="9"/>
      <c r="ADT6" s="9"/>
      <c r="ADU6" s="9"/>
      <c r="ADV6" s="9"/>
      <c r="ADW6" s="9"/>
      <c r="ADX6" s="9"/>
      <c r="ADY6" s="9"/>
      <c r="ADZ6" s="9"/>
      <c r="AEA6" s="9"/>
      <c r="AEB6" s="9"/>
      <c r="AEC6" s="9"/>
      <c r="AED6" s="9"/>
      <c r="AEE6" s="9"/>
      <c r="AEF6" s="9"/>
      <c r="AEG6" s="9"/>
      <c r="AEH6" s="9"/>
      <c r="AEI6" s="9"/>
      <c r="AEJ6" s="9"/>
      <c r="AEK6" s="9"/>
      <c r="AEL6" s="9"/>
      <c r="AEM6" s="9"/>
      <c r="AEN6" s="9"/>
      <c r="AEO6" s="9"/>
      <c r="AEP6" s="9"/>
      <c r="AEQ6" s="9"/>
      <c r="AER6" s="9"/>
      <c r="AES6" s="9"/>
      <c r="AET6" s="9"/>
      <c r="AEU6" s="9"/>
      <c r="AEV6" s="9"/>
      <c r="AEW6" s="9"/>
      <c r="AEX6" s="9"/>
      <c r="AEY6" s="9"/>
      <c r="AEZ6" s="9"/>
      <c r="AFA6" s="9"/>
      <c r="AFB6" s="9"/>
      <c r="AFC6" s="9"/>
      <c r="AFD6" s="9"/>
      <c r="AFE6" s="9"/>
      <c r="AFF6" s="9"/>
      <c r="AFG6" s="9"/>
      <c r="AFH6" s="9"/>
      <c r="AFI6" s="9"/>
      <c r="AFJ6" s="9"/>
      <c r="AFK6" s="9"/>
      <c r="AFL6" s="9"/>
      <c r="AFM6" s="9"/>
      <c r="AFN6" s="9"/>
      <c r="AFO6" s="9"/>
      <c r="AFP6" s="9"/>
      <c r="AFQ6" s="9"/>
      <c r="AFR6" s="9"/>
      <c r="AFS6" s="9"/>
      <c r="AFT6" s="9"/>
      <c r="AFU6" s="9"/>
      <c r="AFV6" s="9"/>
      <c r="AFW6" s="9"/>
      <c r="AFX6" s="9"/>
      <c r="AFY6" s="9"/>
      <c r="AFZ6" s="9"/>
      <c r="AGA6" s="9"/>
      <c r="AGB6" s="9"/>
      <c r="AGC6" s="9"/>
      <c r="AGD6" s="9"/>
      <c r="AGE6" s="9"/>
      <c r="AGF6" s="9"/>
      <c r="AGG6" s="9"/>
      <c r="AGH6" s="9"/>
      <c r="AGI6" s="9"/>
      <c r="AGJ6" s="9"/>
      <c r="AGK6" s="9"/>
      <c r="AGL6" s="9"/>
      <c r="AGM6" s="9"/>
      <c r="AGN6" s="9"/>
      <c r="AGO6" s="9"/>
      <c r="AGP6" s="9"/>
      <c r="AGQ6" s="9"/>
      <c r="AGR6" s="9"/>
      <c r="AGS6" s="9"/>
      <c r="AGT6" s="9"/>
      <c r="AGU6" s="9"/>
      <c r="AGV6" s="9"/>
      <c r="AGW6" s="9"/>
      <c r="AGX6" s="9"/>
      <c r="AGY6" s="9"/>
      <c r="AGZ6" s="9"/>
      <c r="AHA6" s="9"/>
      <c r="AHB6" s="9"/>
      <c r="AHC6" s="9"/>
      <c r="AHD6" s="9"/>
      <c r="AHE6" s="9"/>
      <c r="AHF6" s="9"/>
      <c r="AHG6" s="9"/>
      <c r="AHH6" s="9"/>
      <c r="AHI6" s="9"/>
      <c r="AHJ6" s="9"/>
      <c r="AHK6" s="9"/>
      <c r="AHL6" s="9"/>
      <c r="AHM6" s="9"/>
      <c r="AHN6" s="9"/>
      <c r="AHO6" s="9"/>
      <c r="AHP6" s="9"/>
      <c r="AHQ6" s="9"/>
      <c r="AHR6" s="9"/>
      <c r="AHS6" s="9"/>
      <c r="AHT6" s="9"/>
      <c r="AHU6" s="9"/>
      <c r="AHV6" s="9"/>
      <c r="AHW6" s="9"/>
      <c r="AHX6" s="9"/>
      <c r="AHY6" s="9"/>
      <c r="AHZ6" s="9"/>
      <c r="AIA6" s="9"/>
      <c r="AIB6" s="9"/>
      <c r="AIC6" s="9"/>
      <c r="AID6" s="9"/>
      <c r="AIE6" s="9"/>
      <c r="AIF6" s="9"/>
      <c r="AIG6" s="9"/>
      <c r="AIH6" s="9"/>
      <c r="AII6" s="9"/>
      <c r="AIJ6" s="9"/>
      <c r="AIK6" s="9"/>
      <c r="AIL6" s="9"/>
      <c r="AIM6" s="9"/>
      <c r="AIN6" s="9"/>
      <c r="AIO6" s="9"/>
      <c r="AIP6" s="9"/>
      <c r="AIQ6" s="9"/>
      <c r="AIR6" s="9"/>
      <c r="AIS6" s="9"/>
      <c r="AIT6" s="9"/>
      <c r="AIU6" s="9"/>
      <c r="AIV6" s="9"/>
      <c r="AIW6" s="9"/>
      <c r="AIX6" s="9"/>
      <c r="AIY6" s="9"/>
      <c r="AIZ6" s="9"/>
      <c r="AJA6" s="9"/>
      <c r="AJB6" s="9"/>
      <c r="AJC6" s="9"/>
      <c r="AJD6" s="9"/>
      <c r="AJE6" s="9"/>
      <c r="AJF6" s="9"/>
      <c r="AJG6" s="9"/>
      <c r="AJH6" s="9"/>
      <c r="AJI6" s="9"/>
      <c r="AJJ6" s="9"/>
      <c r="AJK6" s="9"/>
      <c r="AJL6" s="9"/>
      <c r="AJM6" s="9"/>
      <c r="AJN6" s="9"/>
      <c r="AJO6" s="9"/>
      <c r="AJP6" s="9"/>
      <c r="AJQ6" s="9"/>
      <c r="AJR6" s="9"/>
      <c r="AJS6" s="9"/>
      <c r="AJT6" s="9"/>
      <c r="AJU6" s="9"/>
      <c r="AJV6" s="9"/>
      <c r="AJW6" s="9"/>
      <c r="AJX6" s="9"/>
      <c r="AJY6" s="9"/>
      <c r="AJZ6" s="9"/>
      <c r="AKA6" s="9"/>
      <c r="AKB6" s="9"/>
      <c r="AKC6" s="9"/>
      <c r="AKD6" s="9"/>
      <c r="AKE6" s="9"/>
      <c r="AKF6" s="9"/>
      <c r="AKG6" s="9"/>
      <c r="AKH6" s="9"/>
      <c r="AKI6" s="9"/>
      <c r="AKJ6" s="9"/>
      <c r="AKK6" s="9"/>
      <c r="AKL6" s="9"/>
      <c r="AKM6" s="9"/>
      <c r="AKN6" s="9"/>
      <c r="AKO6" s="9"/>
      <c r="AKP6" s="9"/>
      <c r="AKQ6" s="9"/>
      <c r="AKR6" s="9"/>
      <c r="AKS6" s="9"/>
      <c r="AKT6" s="9"/>
      <c r="AKU6" s="9"/>
      <c r="AKV6" s="9"/>
      <c r="AKW6" s="9"/>
      <c r="AKX6" s="9"/>
      <c r="AKY6" s="9"/>
      <c r="AKZ6" s="9"/>
      <c r="ALA6" s="9"/>
      <c r="ALB6" s="9"/>
      <c r="ALC6" s="9"/>
      <c r="ALD6" s="9"/>
      <c r="ALE6" s="9"/>
      <c r="ALF6" s="9"/>
      <c r="ALG6" s="9"/>
      <c r="ALH6" s="9"/>
      <c r="ALI6" s="9"/>
      <c r="ALJ6" s="9"/>
      <c r="ALK6" s="9"/>
      <c r="ALL6" s="9"/>
      <c r="ALM6" s="9"/>
      <c r="ALN6" s="9"/>
      <c r="ALO6" s="9"/>
      <c r="ALP6" s="9"/>
      <c r="ALQ6" s="9"/>
      <c r="ALR6" s="9"/>
      <c r="ALS6" s="9"/>
      <c r="ALT6" s="9"/>
      <c r="ALU6" s="9"/>
      <c r="ALV6" s="9"/>
      <c r="ALW6" s="9"/>
      <c r="ALX6" s="9"/>
      <c r="ALY6" s="9"/>
      <c r="ALZ6" s="9"/>
      <c r="AMA6" s="9"/>
      <c r="AMB6" s="9"/>
      <c r="AMC6" s="9"/>
      <c r="AMD6" s="9"/>
      <c r="AME6" s="9"/>
      <c r="AMF6" s="9"/>
      <c r="AMG6" s="9"/>
      <c r="AMH6" s="9"/>
      <c r="AMI6" s="9"/>
      <c r="AMJ6" s="9"/>
    </row>
    <row r="7" spans="1:1024" ht="67.150000000000006" customHeight="1" x14ac:dyDescent="0.35">
      <c r="A7" s="2" t="s">
        <v>14</v>
      </c>
      <c r="B7" s="9" t="s">
        <v>15</v>
      </c>
      <c r="C7" s="2" t="s">
        <v>16</v>
      </c>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row>
    <row r="8" spans="1:1024" ht="67.150000000000006" customHeight="1" x14ac:dyDescent="0.35">
      <c r="A8" s="2" t="s">
        <v>17</v>
      </c>
      <c r="B8" s="9" t="s">
        <v>18</v>
      </c>
      <c r="C8" s="2" t="s">
        <v>19</v>
      </c>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row>
    <row r="9" spans="1:1024" x14ac:dyDescent="0.35">
      <c r="A9" s="2"/>
      <c r="B9" s="9"/>
      <c r="C9" s="2"/>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B9" s="9"/>
      <c r="JC9" s="9"/>
      <c r="JD9" s="9"/>
      <c r="JE9" s="9"/>
      <c r="JF9" s="9"/>
      <c r="JG9" s="9"/>
      <c r="JH9" s="9"/>
      <c r="JI9" s="9"/>
      <c r="JJ9" s="9"/>
      <c r="JK9" s="9"/>
      <c r="JL9" s="9"/>
      <c r="JM9" s="9"/>
      <c r="JN9" s="9"/>
      <c r="JO9" s="9"/>
      <c r="JP9" s="9"/>
      <c r="JQ9" s="9"/>
      <c r="JR9" s="9"/>
      <c r="JS9" s="9"/>
      <c r="JT9" s="9"/>
      <c r="JU9" s="9"/>
      <c r="JV9" s="9"/>
      <c r="JW9" s="9"/>
      <c r="JX9" s="9"/>
      <c r="JY9" s="9"/>
      <c r="JZ9" s="9"/>
      <c r="KA9" s="9"/>
      <c r="KB9" s="9"/>
      <c r="KC9" s="9"/>
      <c r="KD9" s="9"/>
      <c r="KE9" s="9"/>
      <c r="KF9" s="9"/>
      <c r="KG9" s="9"/>
      <c r="KH9" s="9"/>
      <c r="KI9" s="9"/>
      <c r="KJ9" s="9"/>
      <c r="KK9" s="9"/>
      <c r="KL9" s="9"/>
      <c r="KM9" s="9"/>
      <c r="KN9" s="9"/>
      <c r="KO9" s="9"/>
      <c r="KP9" s="9"/>
      <c r="KQ9" s="9"/>
      <c r="KR9" s="9"/>
      <c r="KS9" s="9"/>
      <c r="KT9" s="9"/>
      <c r="KU9" s="9"/>
      <c r="KV9" s="9"/>
      <c r="KW9" s="9"/>
      <c r="KX9" s="9"/>
      <c r="KY9" s="9"/>
      <c r="KZ9" s="9"/>
      <c r="LA9" s="9"/>
      <c r="LB9" s="9"/>
      <c r="LC9" s="9"/>
      <c r="LD9" s="9"/>
      <c r="LE9" s="9"/>
      <c r="LF9" s="9"/>
      <c r="LG9" s="9"/>
      <c r="LH9" s="9"/>
      <c r="LI9" s="9"/>
      <c r="LJ9" s="9"/>
      <c r="LK9" s="9"/>
      <c r="LL9" s="9"/>
      <c r="LM9" s="9"/>
      <c r="LN9" s="9"/>
      <c r="LO9" s="9"/>
      <c r="LP9" s="9"/>
      <c r="LQ9" s="9"/>
      <c r="LR9" s="9"/>
      <c r="LS9" s="9"/>
      <c r="LT9" s="9"/>
      <c r="LU9" s="9"/>
      <c r="LV9" s="9"/>
      <c r="LW9" s="9"/>
      <c r="LX9" s="9"/>
      <c r="LY9" s="9"/>
      <c r="LZ9" s="9"/>
      <c r="MA9" s="9"/>
      <c r="MB9" s="9"/>
      <c r="MC9" s="9"/>
      <c r="MD9" s="9"/>
      <c r="ME9" s="9"/>
      <c r="MF9" s="9"/>
      <c r="MG9" s="9"/>
      <c r="MH9" s="9"/>
      <c r="MI9" s="9"/>
      <c r="MJ9" s="9"/>
      <c r="MK9" s="9"/>
      <c r="ML9" s="9"/>
      <c r="MM9" s="9"/>
      <c r="MN9" s="9"/>
      <c r="MO9" s="9"/>
      <c r="MP9" s="9"/>
      <c r="MQ9" s="9"/>
      <c r="MR9" s="9"/>
      <c r="MS9" s="9"/>
      <c r="MT9" s="9"/>
      <c r="MU9" s="9"/>
      <c r="MV9" s="9"/>
      <c r="MW9" s="9"/>
      <c r="MX9" s="9"/>
      <c r="MY9" s="9"/>
      <c r="MZ9" s="9"/>
      <c r="NA9" s="9"/>
      <c r="NB9" s="9"/>
      <c r="NC9" s="9"/>
      <c r="ND9" s="9"/>
      <c r="NE9" s="9"/>
      <c r="NF9" s="9"/>
      <c r="NG9" s="9"/>
      <c r="NH9" s="9"/>
      <c r="NI9" s="9"/>
      <c r="NJ9" s="9"/>
      <c r="NK9" s="9"/>
      <c r="NL9" s="9"/>
      <c r="NM9" s="9"/>
      <c r="NN9" s="9"/>
      <c r="NO9" s="9"/>
      <c r="NP9" s="9"/>
      <c r="NQ9" s="9"/>
      <c r="NR9" s="9"/>
      <c r="NS9" s="9"/>
      <c r="NT9" s="9"/>
      <c r="NU9" s="9"/>
      <c r="NV9" s="9"/>
      <c r="NW9" s="9"/>
      <c r="NX9" s="9"/>
      <c r="NY9" s="9"/>
      <c r="NZ9" s="9"/>
      <c r="OA9" s="9"/>
      <c r="OB9" s="9"/>
      <c r="OC9" s="9"/>
      <c r="OD9" s="9"/>
      <c r="OE9" s="9"/>
      <c r="OF9" s="9"/>
      <c r="OG9" s="9"/>
      <c r="OH9" s="9"/>
      <c r="OI9" s="9"/>
      <c r="OJ9" s="9"/>
      <c r="OK9" s="9"/>
      <c r="OL9" s="9"/>
      <c r="OM9" s="9"/>
      <c r="ON9" s="9"/>
      <c r="OO9" s="9"/>
      <c r="OP9" s="9"/>
      <c r="OQ9" s="9"/>
      <c r="OR9" s="9"/>
      <c r="OS9" s="9"/>
      <c r="OT9" s="9"/>
      <c r="OU9" s="9"/>
      <c r="OV9" s="9"/>
      <c r="OW9" s="9"/>
      <c r="OX9" s="9"/>
      <c r="OY9" s="9"/>
      <c r="OZ9" s="9"/>
      <c r="PA9" s="9"/>
      <c r="PB9" s="9"/>
      <c r="PC9" s="9"/>
      <c r="PD9" s="9"/>
      <c r="PE9" s="9"/>
      <c r="PF9" s="9"/>
      <c r="PG9" s="9"/>
      <c r="PH9" s="9"/>
      <c r="PI9" s="9"/>
      <c r="PJ9" s="9"/>
      <c r="PK9" s="9"/>
      <c r="PL9" s="9"/>
      <c r="PM9" s="9"/>
      <c r="PN9" s="9"/>
      <c r="PO9" s="9"/>
      <c r="PP9" s="9"/>
      <c r="PQ9" s="9"/>
      <c r="PR9" s="9"/>
      <c r="PS9" s="9"/>
      <c r="PT9" s="9"/>
      <c r="PU9" s="9"/>
      <c r="PV9" s="9"/>
      <c r="PW9" s="9"/>
      <c r="PX9" s="9"/>
      <c r="PY9" s="9"/>
      <c r="PZ9" s="9"/>
      <c r="QA9" s="9"/>
      <c r="QB9" s="9"/>
      <c r="QC9" s="9"/>
      <c r="QD9" s="9"/>
      <c r="QE9" s="9"/>
      <c r="QF9" s="9"/>
      <c r="QG9" s="9"/>
      <c r="QH9" s="9"/>
      <c r="QI9" s="9"/>
      <c r="QJ9" s="9"/>
      <c r="QK9" s="9"/>
      <c r="QL9" s="9"/>
      <c r="QM9" s="9"/>
      <c r="QN9" s="9"/>
      <c r="QO9" s="9"/>
      <c r="QP9" s="9"/>
      <c r="QQ9" s="9"/>
      <c r="QR9" s="9"/>
      <c r="QS9" s="9"/>
      <c r="QT9" s="9"/>
      <c r="QU9" s="9"/>
      <c r="QV9" s="9"/>
      <c r="QW9" s="9"/>
      <c r="QX9" s="9"/>
      <c r="QY9" s="9"/>
      <c r="QZ9" s="9"/>
      <c r="RA9" s="9"/>
      <c r="RB9" s="9"/>
      <c r="RC9" s="9"/>
      <c r="RD9" s="9"/>
      <c r="RE9" s="9"/>
      <c r="RF9" s="9"/>
      <c r="RG9" s="9"/>
      <c r="RH9" s="9"/>
      <c r="RI9" s="9"/>
      <c r="RJ9" s="9"/>
      <c r="RK9" s="9"/>
      <c r="RL9" s="9"/>
      <c r="RM9" s="9"/>
      <c r="RN9" s="9"/>
      <c r="RO9" s="9"/>
      <c r="RP9" s="9"/>
      <c r="RQ9" s="9"/>
      <c r="RR9" s="9"/>
      <c r="RS9" s="9"/>
      <c r="RT9" s="9"/>
      <c r="RU9" s="9"/>
      <c r="RV9" s="9"/>
      <c r="RW9" s="9"/>
      <c r="RX9" s="9"/>
      <c r="RY9" s="9"/>
      <c r="RZ9" s="9"/>
      <c r="SA9" s="9"/>
      <c r="SB9" s="9"/>
      <c r="SC9" s="9"/>
      <c r="SD9" s="9"/>
      <c r="SE9" s="9"/>
      <c r="SF9" s="9"/>
      <c r="SG9" s="9"/>
      <c r="SH9" s="9"/>
      <c r="SI9" s="9"/>
      <c r="SJ9" s="9"/>
      <c r="SK9" s="9"/>
      <c r="SL9" s="9"/>
      <c r="SM9" s="9"/>
      <c r="SN9" s="9"/>
      <c r="SO9" s="9"/>
      <c r="SP9" s="9"/>
      <c r="SQ9" s="9"/>
      <c r="SR9" s="9"/>
      <c r="SS9" s="9"/>
      <c r="ST9" s="9"/>
      <c r="SU9" s="9"/>
      <c r="SV9" s="9"/>
      <c r="SW9" s="9"/>
      <c r="SX9" s="9"/>
      <c r="SY9" s="9"/>
      <c r="SZ9" s="9"/>
      <c r="TA9" s="9"/>
      <c r="TB9" s="9"/>
      <c r="TC9" s="9"/>
      <c r="TD9" s="9"/>
      <c r="TE9" s="9"/>
      <c r="TF9" s="9"/>
      <c r="TG9" s="9"/>
      <c r="TH9" s="9"/>
      <c r="TI9" s="9"/>
      <c r="TJ9" s="9"/>
      <c r="TK9" s="9"/>
      <c r="TL9" s="9"/>
      <c r="TM9" s="9"/>
      <c r="TN9" s="9"/>
      <c r="TO9" s="9"/>
      <c r="TP9" s="9"/>
      <c r="TQ9" s="9"/>
      <c r="TR9" s="9"/>
      <c r="TS9" s="9"/>
      <c r="TT9" s="9"/>
      <c r="TU9" s="9"/>
      <c r="TV9" s="9"/>
      <c r="TW9" s="9"/>
      <c r="TX9" s="9"/>
      <c r="TY9" s="9"/>
      <c r="TZ9" s="9"/>
      <c r="UA9" s="9"/>
      <c r="UB9" s="9"/>
      <c r="UC9" s="9"/>
      <c r="UD9" s="9"/>
      <c r="UE9" s="9"/>
      <c r="UF9" s="9"/>
      <c r="UG9" s="9"/>
      <c r="UH9" s="9"/>
      <c r="UI9" s="9"/>
      <c r="UJ9" s="9"/>
      <c r="UK9" s="9"/>
      <c r="UL9" s="9"/>
      <c r="UM9" s="9"/>
      <c r="UN9" s="9"/>
      <c r="UO9" s="9"/>
      <c r="UP9" s="9"/>
      <c r="UQ9" s="9"/>
      <c r="UR9" s="9"/>
      <c r="US9" s="9"/>
      <c r="UT9" s="9"/>
      <c r="UU9" s="9"/>
      <c r="UV9" s="9"/>
      <c r="UW9" s="9"/>
      <c r="UX9" s="9"/>
      <c r="UY9" s="9"/>
      <c r="UZ9" s="9"/>
      <c r="VA9" s="9"/>
      <c r="VB9" s="9"/>
      <c r="VC9" s="9"/>
      <c r="VD9" s="9"/>
      <c r="VE9" s="9"/>
      <c r="VF9" s="9"/>
      <c r="VG9" s="9"/>
      <c r="VH9" s="9"/>
      <c r="VI9" s="9"/>
      <c r="VJ9" s="9"/>
      <c r="VK9" s="9"/>
      <c r="VL9" s="9"/>
      <c r="VM9" s="9"/>
      <c r="VN9" s="9"/>
      <c r="VO9" s="9"/>
      <c r="VP9" s="9"/>
      <c r="VQ9" s="9"/>
      <c r="VR9" s="9"/>
      <c r="VS9" s="9"/>
      <c r="VT9" s="9"/>
      <c r="VU9" s="9"/>
      <c r="VV9" s="9"/>
      <c r="VW9" s="9"/>
      <c r="VX9" s="9"/>
      <c r="VY9" s="9"/>
      <c r="VZ9" s="9"/>
      <c r="WA9" s="9"/>
      <c r="WB9" s="9"/>
      <c r="WC9" s="9"/>
      <c r="WD9" s="9"/>
      <c r="WE9" s="9"/>
      <c r="WF9" s="9"/>
      <c r="WG9" s="9"/>
      <c r="WH9" s="9"/>
      <c r="WI9" s="9"/>
      <c r="WJ9" s="9"/>
      <c r="WK9" s="9"/>
      <c r="WL9" s="9"/>
      <c r="WM9" s="9"/>
      <c r="WN9" s="9"/>
      <c r="WO9" s="9"/>
      <c r="WP9" s="9"/>
      <c r="WQ9" s="9"/>
      <c r="WR9" s="9"/>
      <c r="WS9" s="9"/>
      <c r="WT9" s="9"/>
      <c r="WU9" s="9"/>
      <c r="WV9" s="9"/>
      <c r="WW9" s="9"/>
      <c r="WX9" s="9"/>
      <c r="WY9" s="9"/>
      <c r="WZ9" s="9"/>
      <c r="XA9" s="9"/>
      <c r="XB9" s="9"/>
      <c r="XC9" s="9"/>
      <c r="XD9" s="9"/>
      <c r="XE9" s="9"/>
      <c r="XF9" s="9"/>
      <c r="XG9" s="9"/>
      <c r="XH9" s="9"/>
      <c r="XI9" s="9"/>
      <c r="XJ9" s="9"/>
      <c r="XK9" s="9"/>
      <c r="XL9" s="9"/>
      <c r="XM9" s="9"/>
      <c r="XN9" s="9"/>
      <c r="XO9" s="9"/>
      <c r="XP9" s="9"/>
      <c r="XQ9" s="9"/>
      <c r="XR9" s="9"/>
      <c r="XS9" s="9"/>
      <c r="XT9" s="9"/>
      <c r="XU9" s="9"/>
      <c r="XV9" s="9"/>
      <c r="XW9" s="9"/>
      <c r="XX9" s="9"/>
      <c r="XY9" s="9"/>
      <c r="XZ9" s="9"/>
      <c r="YA9" s="9"/>
      <c r="YB9" s="9"/>
      <c r="YC9" s="9"/>
      <c r="YD9" s="9"/>
      <c r="YE9" s="9"/>
      <c r="YF9" s="9"/>
      <c r="YG9" s="9"/>
      <c r="YH9" s="9"/>
      <c r="YI9" s="9"/>
      <c r="YJ9" s="9"/>
      <c r="YK9" s="9"/>
      <c r="YL9" s="9"/>
      <c r="YM9" s="9"/>
      <c r="YN9" s="9"/>
      <c r="YO9" s="9"/>
      <c r="YP9" s="9"/>
      <c r="YQ9" s="9"/>
      <c r="YR9" s="9"/>
      <c r="YS9" s="9"/>
      <c r="YT9" s="9"/>
      <c r="YU9" s="9"/>
      <c r="YV9" s="9"/>
      <c r="YW9" s="9"/>
      <c r="YX9" s="9"/>
      <c r="YY9" s="9"/>
      <c r="YZ9" s="9"/>
      <c r="ZA9" s="9"/>
      <c r="ZB9" s="9"/>
      <c r="ZC9" s="9"/>
      <c r="ZD9" s="9"/>
      <c r="ZE9" s="9"/>
      <c r="ZF9" s="9"/>
      <c r="ZG9" s="9"/>
      <c r="ZH9" s="9"/>
      <c r="ZI9" s="9"/>
      <c r="ZJ9" s="9"/>
      <c r="ZK9" s="9"/>
      <c r="ZL9" s="9"/>
      <c r="ZM9" s="9"/>
      <c r="ZN9" s="9"/>
      <c r="ZO9" s="9"/>
      <c r="ZP9" s="9"/>
      <c r="ZQ9" s="9"/>
      <c r="ZR9" s="9"/>
      <c r="ZS9" s="9"/>
      <c r="ZT9" s="9"/>
      <c r="ZU9" s="9"/>
      <c r="ZV9" s="9"/>
      <c r="ZW9" s="9"/>
      <c r="ZX9" s="9"/>
      <c r="ZY9" s="9"/>
      <c r="ZZ9" s="9"/>
      <c r="AAA9" s="9"/>
      <c r="AAB9" s="9"/>
      <c r="AAC9" s="9"/>
      <c r="AAD9" s="9"/>
      <c r="AAE9" s="9"/>
      <c r="AAF9" s="9"/>
      <c r="AAG9" s="9"/>
      <c r="AAH9" s="9"/>
      <c r="AAI9" s="9"/>
      <c r="AAJ9" s="9"/>
      <c r="AAK9" s="9"/>
      <c r="AAL9" s="9"/>
      <c r="AAM9" s="9"/>
      <c r="AAN9" s="9"/>
      <c r="AAO9" s="9"/>
      <c r="AAP9" s="9"/>
      <c r="AAQ9" s="9"/>
      <c r="AAR9" s="9"/>
      <c r="AAS9" s="9"/>
      <c r="AAT9" s="9"/>
      <c r="AAU9" s="9"/>
      <c r="AAV9" s="9"/>
      <c r="AAW9" s="9"/>
      <c r="AAX9" s="9"/>
      <c r="AAY9" s="9"/>
      <c r="AAZ9" s="9"/>
      <c r="ABA9" s="9"/>
      <c r="ABB9" s="9"/>
      <c r="ABC9" s="9"/>
      <c r="ABD9" s="9"/>
      <c r="ABE9" s="9"/>
      <c r="ABF9" s="9"/>
      <c r="ABG9" s="9"/>
      <c r="ABH9" s="9"/>
      <c r="ABI9" s="9"/>
      <c r="ABJ9" s="9"/>
      <c r="ABK9" s="9"/>
      <c r="ABL9" s="9"/>
      <c r="ABM9" s="9"/>
      <c r="ABN9" s="9"/>
      <c r="ABO9" s="9"/>
      <c r="ABP9" s="9"/>
      <c r="ABQ9" s="9"/>
      <c r="ABR9" s="9"/>
      <c r="ABS9" s="9"/>
      <c r="ABT9" s="9"/>
      <c r="ABU9" s="9"/>
      <c r="ABV9" s="9"/>
      <c r="ABW9" s="9"/>
      <c r="ABX9" s="9"/>
      <c r="ABY9" s="9"/>
      <c r="ABZ9" s="9"/>
      <c r="ACA9" s="9"/>
      <c r="ACB9" s="9"/>
      <c r="ACC9" s="9"/>
      <c r="ACD9" s="9"/>
      <c r="ACE9" s="9"/>
      <c r="ACF9" s="9"/>
      <c r="ACG9" s="9"/>
      <c r="ACH9" s="9"/>
      <c r="ACI9" s="9"/>
      <c r="ACJ9" s="9"/>
      <c r="ACK9" s="9"/>
      <c r="ACL9" s="9"/>
      <c r="ACM9" s="9"/>
      <c r="ACN9" s="9"/>
      <c r="ACO9" s="9"/>
      <c r="ACP9" s="9"/>
      <c r="ACQ9" s="9"/>
      <c r="ACR9" s="9"/>
      <c r="ACS9" s="9"/>
      <c r="ACT9" s="9"/>
      <c r="ACU9" s="9"/>
      <c r="ACV9" s="9"/>
      <c r="ACW9" s="9"/>
      <c r="ACX9" s="9"/>
      <c r="ACY9" s="9"/>
      <c r="ACZ9" s="9"/>
      <c r="ADA9" s="9"/>
      <c r="ADB9" s="9"/>
      <c r="ADC9" s="9"/>
      <c r="ADD9" s="9"/>
      <c r="ADE9" s="9"/>
      <c r="ADF9" s="9"/>
      <c r="ADG9" s="9"/>
      <c r="ADH9" s="9"/>
      <c r="ADI9" s="9"/>
      <c r="ADJ9" s="9"/>
      <c r="ADK9" s="9"/>
      <c r="ADL9" s="9"/>
      <c r="ADM9" s="9"/>
      <c r="ADN9" s="9"/>
      <c r="ADO9" s="9"/>
      <c r="ADP9" s="9"/>
      <c r="ADQ9" s="9"/>
      <c r="ADR9" s="9"/>
      <c r="ADS9" s="9"/>
      <c r="ADT9" s="9"/>
      <c r="ADU9" s="9"/>
      <c r="ADV9" s="9"/>
      <c r="ADW9" s="9"/>
      <c r="ADX9" s="9"/>
      <c r="ADY9" s="9"/>
      <c r="ADZ9" s="9"/>
      <c r="AEA9" s="9"/>
      <c r="AEB9" s="9"/>
      <c r="AEC9" s="9"/>
      <c r="AED9" s="9"/>
      <c r="AEE9" s="9"/>
      <c r="AEF9" s="9"/>
      <c r="AEG9" s="9"/>
      <c r="AEH9" s="9"/>
      <c r="AEI9" s="9"/>
      <c r="AEJ9" s="9"/>
      <c r="AEK9" s="9"/>
      <c r="AEL9" s="9"/>
      <c r="AEM9" s="9"/>
      <c r="AEN9" s="9"/>
      <c r="AEO9" s="9"/>
      <c r="AEP9" s="9"/>
      <c r="AEQ9" s="9"/>
      <c r="AER9" s="9"/>
      <c r="AES9" s="9"/>
      <c r="AET9" s="9"/>
      <c r="AEU9" s="9"/>
      <c r="AEV9" s="9"/>
      <c r="AEW9" s="9"/>
      <c r="AEX9" s="9"/>
      <c r="AEY9" s="9"/>
      <c r="AEZ9" s="9"/>
      <c r="AFA9" s="9"/>
      <c r="AFB9" s="9"/>
      <c r="AFC9" s="9"/>
      <c r="AFD9" s="9"/>
      <c r="AFE9" s="9"/>
      <c r="AFF9" s="9"/>
      <c r="AFG9" s="9"/>
      <c r="AFH9" s="9"/>
      <c r="AFI9" s="9"/>
      <c r="AFJ9" s="9"/>
      <c r="AFK9" s="9"/>
      <c r="AFL9" s="9"/>
      <c r="AFM9" s="9"/>
      <c r="AFN9" s="9"/>
      <c r="AFO9" s="9"/>
      <c r="AFP9" s="9"/>
      <c r="AFQ9" s="9"/>
      <c r="AFR9" s="9"/>
      <c r="AFS9" s="9"/>
      <c r="AFT9" s="9"/>
      <c r="AFU9" s="9"/>
      <c r="AFV9" s="9"/>
      <c r="AFW9" s="9"/>
      <c r="AFX9" s="9"/>
      <c r="AFY9" s="9"/>
      <c r="AFZ9" s="9"/>
      <c r="AGA9" s="9"/>
      <c r="AGB9" s="9"/>
      <c r="AGC9" s="9"/>
      <c r="AGD9" s="9"/>
      <c r="AGE9" s="9"/>
      <c r="AGF9" s="9"/>
      <c r="AGG9" s="9"/>
      <c r="AGH9" s="9"/>
      <c r="AGI9" s="9"/>
      <c r="AGJ9" s="9"/>
      <c r="AGK9" s="9"/>
      <c r="AGL9" s="9"/>
      <c r="AGM9" s="9"/>
      <c r="AGN9" s="9"/>
      <c r="AGO9" s="9"/>
      <c r="AGP9" s="9"/>
      <c r="AGQ9" s="9"/>
      <c r="AGR9" s="9"/>
      <c r="AGS9" s="9"/>
      <c r="AGT9" s="9"/>
      <c r="AGU9" s="9"/>
      <c r="AGV9" s="9"/>
      <c r="AGW9" s="9"/>
      <c r="AGX9" s="9"/>
      <c r="AGY9" s="9"/>
      <c r="AGZ9" s="9"/>
      <c r="AHA9" s="9"/>
      <c r="AHB9" s="9"/>
      <c r="AHC9" s="9"/>
      <c r="AHD9" s="9"/>
      <c r="AHE9" s="9"/>
      <c r="AHF9" s="9"/>
      <c r="AHG9" s="9"/>
      <c r="AHH9" s="9"/>
      <c r="AHI9" s="9"/>
      <c r="AHJ9" s="9"/>
      <c r="AHK9" s="9"/>
      <c r="AHL9" s="9"/>
      <c r="AHM9" s="9"/>
      <c r="AHN9" s="9"/>
      <c r="AHO9" s="9"/>
      <c r="AHP9" s="9"/>
      <c r="AHQ9" s="9"/>
      <c r="AHR9" s="9"/>
      <c r="AHS9" s="9"/>
      <c r="AHT9" s="9"/>
      <c r="AHU9" s="9"/>
      <c r="AHV9" s="9"/>
      <c r="AHW9" s="9"/>
      <c r="AHX9" s="9"/>
      <c r="AHY9" s="9"/>
      <c r="AHZ9" s="9"/>
      <c r="AIA9" s="9"/>
      <c r="AIB9" s="9"/>
      <c r="AIC9" s="9"/>
      <c r="AID9" s="9"/>
      <c r="AIE9" s="9"/>
      <c r="AIF9" s="9"/>
      <c r="AIG9" s="9"/>
      <c r="AIH9" s="9"/>
      <c r="AII9" s="9"/>
      <c r="AIJ9" s="9"/>
      <c r="AIK9" s="9"/>
      <c r="AIL9" s="9"/>
      <c r="AIM9" s="9"/>
      <c r="AIN9" s="9"/>
      <c r="AIO9" s="9"/>
      <c r="AIP9" s="9"/>
      <c r="AIQ9" s="9"/>
      <c r="AIR9" s="9"/>
      <c r="AIS9" s="9"/>
      <c r="AIT9" s="9"/>
      <c r="AIU9" s="9"/>
      <c r="AIV9" s="9"/>
      <c r="AIW9" s="9"/>
      <c r="AIX9" s="9"/>
      <c r="AIY9" s="9"/>
      <c r="AIZ9" s="9"/>
      <c r="AJA9" s="9"/>
      <c r="AJB9" s="9"/>
      <c r="AJC9" s="9"/>
      <c r="AJD9" s="9"/>
      <c r="AJE9" s="9"/>
      <c r="AJF9" s="9"/>
      <c r="AJG9" s="9"/>
      <c r="AJH9" s="9"/>
      <c r="AJI9" s="9"/>
      <c r="AJJ9" s="9"/>
      <c r="AJK9" s="9"/>
      <c r="AJL9" s="9"/>
      <c r="AJM9" s="9"/>
      <c r="AJN9" s="9"/>
      <c r="AJO9" s="9"/>
      <c r="AJP9" s="9"/>
      <c r="AJQ9" s="9"/>
      <c r="AJR9" s="9"/>
      <c r="AJS9" s="9"/>
      <c r="AJT9" s="9"/>
      <c r="AJU9" s="9"/>
      <c r="AJV9" s="9"/>
      <c r="AJW9" s="9"/>
      <c r="AJX9" s="9"/>
      <c r="AJY9" s="9"/>
      <c r="AJZ9" s="9"/>
      <c r="AKA9" s="9"/>
      <c r="AKB9" s="9"/>
      <c r="AKC9" s="9"/>
      <c r="AKD9" s="9"/>
      <c r="AKE9" s="9"/>
      <c r="AKF9" s="9"/>
      <c r="AKG9" s="9"/>
      <c r="AKH9" s="9"/>
      <c r="AKI9" s="9"/>
      <c r="AKJ9" s="9"/>
      <c r="AKK9" s="9"/>
      <c r="AKL9" s="9"/>
      <c r="AKM9" s="9"/>
      <c r="AKN9" s="9"/>
      <c r="AKO9" s="9"/>
      <c r="AKP9" s="9"/>
      <c r="AKQ9" s="9"/>
      <c r="AKR9" s="9"/>
      <c r="AKS9" s="9"/>
      <c r="AKT9" s="9"/>
      <c r="AKU9" s="9"/>
      <c r="AKV9" s="9"/>
      <c r="AKW9" s="9"/>
      <c r="AKX9" s="9"/>
      <c r="AKY9" s="9"/>
      <c r="AKZ9" s="9"/>
      <c r="ALA9" s="9"/>
      <c r="ALB9" s="9"/>
      <c r="ALC9" s="9"/>
      <c r="ALD9" s="9"/>
      <c r="ALE9" s="9"/>
      <c r="ALF9" s="9"/>
      <c r="ALG9" s="9"/>
      <c r="ALH9" s="9"/>
      <c r="ALI9" s="9"/>
      <c r="ALJ9" s="9"/>
      <c r="ALK9" s="9"/>
      <c r="ALL9" s="9"/>
      <c r="ALM9" s="9"/>
      <c r="ALN9" s="9"/>
      <c r="ALO9" s="9"/>
      <c r="ALP9" s="9"/>
      <c r="ALQ9" s="9"/>
      <c r="ALR9" s="9"/>
      <c r="ALS9" s="9"/>
      <c r="ALT9" s="9"/>
      <c r="ALU9" s="9"/>
      <c r="ALV9" s="9"/>
      <c r="ALW9" s="9"/>
      <c r="ALX9" s="9"/>
      <c r="ALY9" s="9"/>
      <c r="ALZ9" s="9"/>
      <c r="AMA9" s="9"/>
      <c r="AMB9" s="9"/>
      <c r="AMC9" s="9"/>
      <c r="AMD9" s="9"/>
      <c r="AME9" s="9"/>
      <c r="AMF9" s="9"/>
      <c r="AMG9" s="9"/>
      <c r="AMH9" s="9"/>
      <c r="AMI9" s="9"/>
      <c r="AMJ9" s="9"/>
    </row>
    <row r="10" spans="1:1024" x14ac:dyDescent="0.35">
      <c r="A10" s="2"/>
      <c r="C10"/>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B10" s="9"/>
      <c r="JC10" s="9"/>
      <c r="JD10" s="9"/>
      <c r="JE10" s="9"/>
      <c r="JF10" s="9"/>
      <c r="JG10" s="9"/>
      <c r="JH10" s="9"/>
      <c r="JI10" s="9"/>
      <c r="JJ10" s="9"/>
      <c r="JK10" s="9"/>
      <c r="JL10" s="9"/>
      <c r="JM10" s="9"/>
      <c r="JN10" s="9"/>
      <c r="JO10" s="9"/>
      <c r="JP10" s="9"/>
      <c r="JQ10" s="9"/>
      <c r="JR10" s="9"/>
      <c r="JS10" s="9"/>
      <c r="JT10" s="9"/>
      <c r="JU10" s="9"/>
      <c r="JV10" s="9"/>
      <c r="JW10" s="9"/>
      <c r="JX10" s="9"/>
      <c r="JY10" s="9"/>
      <c r="JZ10" s="9"/>
      <c r="KA10" s="9"/>
      <c r="KB10" s="9"/>
      <c r="KC10" s="9"/>
      <c r="KD10" s="9"/>
      <c r="KE10" s="9"/>
      <c r="KF10" s="9"/>
      <c r="KG10" s="9"/>
      <c r="KH10" s="9"/>
      <c r="KI10" s="9"/>
      <c r="KJ10" s="9"/>
      <c r="KK10" s="9"/>
      <c r="KL10" s="9"/>
      <c r="KM10" s="9"/>
      <c r="KN10" s="9"/>
      <c r="KO10" s="9"/>
      <c r="KP10" s="9"/>
      <c r="KQ10" s="9"/>
      <c r="KR10" s="9"/>
      <c r="KS10" s="9"/>
      <c r="KT10" s="9"/>
      <c r="KU10" s="9"/>
      <c r="KV10" s="9"/>
      <c r="KW10" s="9"/>
      <c r="KX10" s="9"/>
      <c r="KY10" s="9"/>
      <c r="KZ10" s="9"/>
      <c r="LA10" s="9"/>
      <c r="LB10" s="9"/>
      <c r="LC10" s="9"/>
      <c r="LD10" s="9"/>
      <c r="LE10" s="9"/>
      <c r="LF10" s="9"/>
      <c r="LG10" s="9"/>
      <c r="LH10" s="9"/>
      <c r="LI10" s="9"/>
      <c r="LJ10" s="9"/>
      <c r="LK10" s="9"/>
      <c r="LL10" s="9"/>
      <c r="LM10" s="9"/>
      <c r="LN10" s="9"/>
      <c r="LO10" s="9"/>
      <c r="LP10" s="9"/>
      <c r="LQ10" s="9"/>
      <c r="LR10" s="9"/>
      <c r="LS10" s="9"/>
      <c r="LT10" s="9"/>
      <c r="LU10" s="9"/>
      <c r="LV10" s="9"/>
      <c r="LW10" s="9"/>
      <c r="LX10" s="9"/>
      <c r="LY10" s="9"/>
      <c r="LZ10" s="9"/>
      <c r="MA10" s="9"/>
      <c r="MB10" s="9"/>
      <c r="MC10" s="9"/>
      <c r="MD10" s="9"/>
      <c r="ME10" s="9"/>
      <c r="MF10" s="9"/>
      <c r="MG10" s="9"/>
      <c r="MH10" s="9"/>
      <c r="MI10" s="9"/>
      <c r="MJ10" s="9"/>
      <c r="MK10" s="9"/>
      <c r="ML10" s="9"/>
      <c r="MM10" s="9"/>
      <c r="MN10" s="9"/>
      <c r="MO10" s="9"/>
      <c r="MP10" s="9"/>
      <c r="MQ10" s="9"/>
      <c r="MR10" s="9"/>
      <c r="MS10" s="9"/>
      <c r="MT10" s="9"/>
      <c r="MU10" s="9"/>
      <c r="MV10" s="9"/>
      <c r="MW10" s="9"/>
      <c r="MX10" s="9"/>
      <c r="MY10" s="9"/>
      <c r="MZ10" s="9"/>
      <c r="NA10" s="9"/>
      <c r="NB10" s="9"/>
      <c r="NC10" s="9"/>
      <c r="ND10" s="9"/>
      <c r="NE10" s="9"/>
      <c r="NF10" s="9"/>
      <c r="NG10" s="9"/>
      <c r="NH10" s="9"/>
      <c r="NI10" s="9"/>
      <c r="NJ10" s="9"/>
      <c r="NK10" s="9"/>
      <c r="NL10" s="9"/>
      <c r="NM10" s="9"/>
      <c r="NN10" s="9"/>
      <c r="NO10" s="9"/>
      <c r="NP10" s="9"/>
      <c r="NQ10" s="9"/>
      <c r="NR10" s="9"/>
      <c r="NS10" s="9"/>
      <c r="NT10" s="9"/>
      <c r="NU10" s="9"/>
      <c r="NV10" s="9"/>
      <c r="NW10" s="9"/>
      <c r="NX10" s="9"/>
      <c r="NY10" s="9"/>
      <c r="NZ10" s="9"/>
      <c r="OA10" s="9"/>
      <c r="OB10" s="9"/>
      <c r="OC10" s="9"/>
      <c r="OD10" s="9"/>
      <c r="OE10" s="9"/>
      <c r="OF10" s="9"/>
      <c r="OG10" s="9"/>
      <c r="OH10" s="9"/>
      <c r="OI10" s="9"/>
      <c r="OJ10" s="9"/>
      <c r="OK10" s="9"/>
      <c r="OL10" s="9"/>
      <c r="OM10" s="9"/>
      <c r="ON10" s="9"/>
      <c r="OO10" s="9"/>
      <c r="OP10" s="9"/>
      <c r="OQ10" s="9"/>
      <c r="OR10" s="9"/>
      <c r="OS10" s="9"/>
      <c r="OT10" s="9"/>
      <c r="OU10" s="9"/>
      <c r="OV10" s="9"/>
      <c r="OW10" s="9"/>
      <c r="OX10" s="9"/>
      <c r="OY10" s="9"/>
      <c r="OZ10" s="9"/>
      <c r="PA10" s="9"/>
      <c r="PB10" s="9"/>
      <c r="PC10" s="9"/>
      <c r="PD10" s="9"/>
      <c r="PE10" s="9"/>
      <c r="PF10" s="9"/>
      <c r="PG10" s="9"/>
      <c r="PH10" s="9"/>
      <c r="PI10" s="9"/>
      <c r="PJ10" s="9"/>
      <c r="PK10" s="9"/>
      <c r="PL10" s="9"/>
      <c r="PM10" s="9"/>
      <c r="PN10" s="9"/>
      <c r="PO10" s="9"/>
      <c r="PP10" s="9"/>
      <c r="PQ10" s="9"/>
      <c r="PR10" s="9"/>
      <c r="PS10" s="9"/>
      <c r="PT10" s="9"/>
      <c r="PU10" s="9"/>
      <c r="PV10" s="9"/>
      <c r="PW10" s="9"/>
      <c r="PX10" s="9"/>
      <c r="PY10" s="9"/>
      <c r="PZ10" s="9"/>
      <c r="QA10" s="9"/>
      <c r="QB10" s="9"/>
      <c r="QC10" s="9"/>
      <c r="QD10" s="9"/>
      <c r="QE10" s="9"/>
      <c r="QF10" s="9"/>
      <c r="QG10" s="9"/>
      <c r="QH10" s="9"/>
      <c r="QI10" s="9"/>
      <c r="QJ10" s="9"/>
      <c r="QK10" s="9"/>
      <c r="QL10" s="9"/>
      <c r="QM10" s="9"/>
      <c r="QN10" s="9"/>
      <c r="QO10" s="9"/>
      <c r="QP10" s="9"/>
      <c r="QQ10" s="9"/>
      <c r="QR10" s="9"/>
      <c r="QS10" s="9"/>
      <c r="QT10" s="9"/>
      <c r="QU10" s="9"/>
      <c r="QV10" s="9"/>
      <c r="QW10" s="9"/>
      <c r="QX10" s="9"/>
      <c r="QY10" s="9"/>
      <c r="QZ10" s="9"/>
      <c r="RA10" s="9"/>
      <c r="RB10" s="9"/>
      <c r="RC10" s="9"/>
      <c r="RD10" s="9"/>
      <c r="RE10" s="9"/>
      <c r="RF10" s="9"/>
      <c r="RG10" s="9"/>
      <c r="RH10" s="9"/>
      <c r="RI10" s="9"/>
      <c r="RJ10" s="9"/>
      <c r="RK10" s="9"/>
      <c r="RL10" s="9"/>
      <c r="RM10" s="9"/>
      <c r="RN10" s="9"/>
      <c r="RO10" s="9"/>
      <c r="RP10" s="9"/>
      <c r="RQ10" s="9"/>
      <c r="RR10" s="9"/>
      <c r="RS10" s="9"/>
      <c r="RT10" s="9"/>
      <c r="RU10" s="9"/>
      <c r="RV10" s="9"/>
      <c r="RW10" s="9"/>
      <c r="RX10" s="9"/>
      <c r="RY10" s="9"/>
      <c r="RZ10" s="9"/>
      <c r="SA10" s="9"/>
      <c r="SB10" s="9"/>
      <c r="SC10" s="9"/>
      <c r="SD10" s="9"/>
      <c r="SE10" s="9"/>
      <c r="SF10" s="9"/>
      <c r="SG10" s="9"/>
      <c r="SH10" s="9"/>
      <c r="SI10" s="9"/>
      <c r="SJ10" s="9"/>
      <c r="SK10" s="9"/>
      <c r="SL10" s="9"/>
      <c r="SM10" s="9"/>
      <c r="SN10" s="9"/>
      <c r="SO10" s="9"/>
      <c r="SP10" s="9"/>
      <c r="SQ10" s="9"/>
      <c r="SR10" s="9"/>
      <c r="SS10" s="9"/>
      <c r="ST10" s="9"/>
      <c r="SU10" s="9"/>
      <c r="SV10" s="9"/>
      <c r="SW10" s="9"/>
      <c r="SX10" s="9"/>
      <c r="SY10" s="9"/>
      <c r="SZ10" s="9"/>
      <c r="TA10" s="9"/>
      <c r="TB10" s="9"/>
      <c r="TC10" s="9"/>
      <c r="TD10" s="9"/>
      <c r="TE10" s="9"/>
      <c r="TF10" s="9"/>
      <c r="TG10" s="9"/>
      <c r="TH10" s="9"/>
      <c r="TI10" s="9"/>
      <c r="TJ10" s="9"/>
      <c r="TK10" s="9"/>
      <c r="TL10" s="9"/>
      <c r="TM10" s="9"/>
      <c r="TN10" s="9"/>
      <c r="TO10" s="9"/>
      <c r="TP10" s="9"/>
      <c r="TQ10" s="9"/>
      <c r="TR10" s="9"/>
      <c r="TS10" s="9"/>
      <c r="TT10" s="9"/>
      <c r="TU10" s="9"/>
      <c r="TV10" s="9"/>
      <c r="TW10" s="9"/>
      <c r="TX10" s="9"/>
      <c r="TY10" s="9"/>
      <c r="TZ10" s="9"/>
      <c r="UA10" s="9"/>
      <c r="UB10" s="9"/>
      <c r="UC10" s="9"/>
      <c r="UD10" s="9"/>
      <c r="UE10" s="9"/>
      <c r="UF10" s="9"/>
      <c r="UG10" s="9"/>
      <c r="UH10" s="9"/>
      <c r="UI10" s="9"/>
      <c r="UJ10" s="9"/>
      <c r="UK10" s="9"/>
      <c r="UL10" s="9"/>
      <c r="UM10" s="9"/>
      <c r="UN10" s="9"/>
      <c r="UO10" s="9"/>
      <c r="UP10" s="9"/>
      <c r="UQ10" s="9"/>
      <c r="UR10" s="9"/>
      <c r="US10" s="9"/>
      <c r="UT10" s="9"/>
      <c r="UU10" s="9"/>
      <c r="UV10" s="9"/>
      <c r="UW10" s="9"/>
      <c r="UX10" s="9"/>
      <c r="UY10" s="9"/>
      <c r="UZ10" s="9"/>
      <c r="VA10" s="9"/>
      <c r="VB10" s="9"/>
      <c r="VC10" s="9"/>
      <c r="VD10" s="9"/>
      <c r="VE10" s="9"/>
      <c r="VF10" s="9"/>
      <c r="VG10" s="9"/>
      <c r="VH10" s="9"/>
      <c r="VI10" s="9"/>
      <c r="VJ10" s="9"/>
      <c r="VK10" s="9"/>
      <c r="VL10" s="9"/>
      <c r="VM10" s="9"/>
      <c r="VN10" s="9"/>
      <c r="VO10" s="9"/>
      <c r="VP10" s="9"/>
      <c r="VQ10" s="9"/>
      <c r="VR10" s="9"/>
      <c r="VS10" s="9"/>
      <c r="VT10" s="9"/>
      <c r="VU10" s="9"/>
      <c r="VV10" s="9"/>
      <c r="VW10" s="9"/>
      <c r="VX10" s="9"/>
      <c r="VY10" s="9"/>
      <c r="VZ10" s="9"/>
      <c r="WA10" s="9"/>
      <c r="WB10" s="9"/>
      <c r="WC10" s="9"/>
      <c r="WD10" s="9"/>
      <c r="WE10" s="9"/>
      <c r="WF10" s="9"/>
      <c r="WG10" s="9"/>
      <c r="WH10" s="9"/>
      <c r="WI10" s="9"/>
      <c r="WJ10" s="9"/>
      <c r="WK10" s="9"/>
      <c r="WL10" s="9"/>
      <c r="WM10" s="9"/>
      <c r="WN10" s="9"/>
      <c r="WO10" s="9"/>
      <c r="WP10" s="9"/>
      <c r="WQ10" s="9"/>
      <c r="WR10" s="9"/>
      <c r="WS10" s="9"/>
      <c r="WT10" s="9"/>
      <c r="WU10" s="9"/>
      <c r="WV10" s="9"/>
      <c r="WW10" s="9"/>
      <c r="WX10" s="9"/>
      <c r="WY10" s="9"/>
      <c r="WZ10" s="9"/>
      <c r="XA10" s="9"/>
      <c r="XB10" s="9"/>
      <c r="XC10" s="9"/>
      <c r="XD10" s="9"/>
      <c r="XE10" s="9"/>
      <c r="XF10" s="9"/>
      <c r="XG10" s="9"/>
      <c r="XH10" s="9"/>
      <c r="XI10" s="9"/>
      <c r="XJ10" s="9"/>
      <c r="XK10" s="9"/>
      <c r="XL10" s="9"/>
      <c r="XM10" s="9"/>
      <c r="XN10" s="9"/>
      <c r="XO10" s="9"/>
      <c r="XP10" s="9"/>
      <c r="XQ10" s="9"/>
      <c r="XR10" s="9"/>
      <c r="XS10" s="9"/>
      <c r="XT10" s="9"/>
      <c r="XU10" s="9"/>
      <c r="XV10" s="9"/>
      <c r="XW10" s="9"/>
      <c r="XX10" s="9"/>
      <c r="XY10" s="9"/>
      <c r="XZ10" s="9"/>
      <c r="YA10" s="9"/>
      <c r="YB10" s="9"/>
      <c r="YC10" s="9"/>
      <c r="YD10" s="9"/>
      <c r="YE10" s="9"/>
      <c r="YF10" s="9"/>
      <c r="YG10" s="9"/>
      <c r="YH10" s="9"/>
      <c r="YI10" s="9"/>
      <c r="YJ10" s="9"/>
      <c r="YK10" s="9"/>
      <c r="YL10" s="9"/>
      <c r="YM10" s="9"/>
      <c r="YN10" s="9"/>
      <c r="YO10" s="9"/>
      <c r="YP10" s="9"/>
      <c r="YQ10" s="9"/>
      <c r="YR10" s="9"/>
      <c r="YS10" s="9"/>
      <c r="YT10" s="9"/>
      <c r="YU10" s="9"/>
      <c r="YV10" s="9"/>
      <c r="YW10" s="9"/>
      <c r="YX10" s="9"/>
      <c r="YY10" s="9"/>
      <c r="YZ10" s="9"/>
      <c r="ZA10" s="9"/>
      <c r="ZB10" s="9"/>
      <c r="ZC10" s="9"/>
      <c r="ZD10" s="9"/>
      <c r="ZE10" s="9"/>
      <c r="ZF10" s="9"/>
      <c r="ZG10" s="9"/>
      <c r="ZH10" s="9"/>
      <c r="ZI10" s="9"/>
      <c r="ZJ10" s="9"/>
      <c r="ZK10" s="9"/>
      <c r="ZL10" s="9"/>
      <c r="ZM10" s="9"/>
      <c r="ZN10" s="9"/>
      <c r="ZO10" s="9"/>
      <c r="ZP10" s="9"/>
      <c r="ZQ10" s="9"/>
      <c r="ZR10" s="9"/>
      <c r="ZS10" s="9"/>
      <c r="ZT10" s="9"/>
      <c r="ZU10" s="9"/>
      <c r="ZV10" s="9"/>
      <c r="ZW10" s="9"/>
      <c r="ZX10" s="9"/>
      <c r="ZY10" s="9"/>
      <c r="ZZ10" s="9"/>
      <c r="AAA10" s="9"/>
      <c r="AAB10" s="9"/>
      <c r="AAC10" s="9"/>
      <c r="AAD10" s="9"/>
      <c r="AAE10" s="9"/>
      <c r="AAF10" s="9"/>
      <c r="AAG10" s="9"/>
      <c r="AAH10" s="9"/>
      <c r="AAI10" s="9"/>
      <c r="AAJ10" s="9"/>
      <c r="AAK10" s="9"/>
      <c r="AAL10" s="9"/>
      <c r="AAM10" s="9"/>
      <c r="AAN10" s="9"/>
      <c r="AAO10" s="9"/>
      <c r="AAP10" s="9"/>
      <c r="AAQ10" s="9"/>
      <c r="AAR10" s="9"/>
      <c r="AAS10" s="9"/>
      <c r="AAT10" s="9"/>
      <c r="AAU10" s="9"/>
      <c r="AAV10" s="9"/>
      <c r="AAW10" s="9"/>
      <c r="AAX10" s="9"/>
      <c r="AAY10" s="9"/>
      <c r="AAZ10" s="9"/>
      <c r="ABA10" s="9"/>
      <c r="ABB10" s="9"/>
      <c r="ABC10" s="9"/>
      <c r="ABD10" s="9"/>
      <c r="ABE10" s="9"/>
      <c r="ABF10" s="9"/>
      <c r="ABG10" s="9"/>
      <c r="ABH10" s="9"/>
      <c r="ABI10" s="9"/>
      <c r="ABJ10" s="9"/>
      <c r="ABK10" s="9"/>
      <c r="ABL10" s="9"/>
      <c r="ABM10" s="9"/>
      <c r="ABN10" s="9"/>
      <c r="ABO10" s="9"/>
      <c r="ABP10" s="9"/>
      <c r="ABQ10" s="9"/>
      <c r="ABR10" s="9"/>
      <c r="ABS10" s="9"/>
      <c r="ABT10" s="9"/>
      <c r="ABU10" s="9"/>
      <c r="ABV10" s="9"/>
      <c r="ABW10" s="9"/>
      <c r="ABX10" s="9"/>
      <c r="ABY10" s="9"/>
      <c r="ABZ10" s="9"/>
      <c r="ACA10" s="9"/>
      <c r="ACB10" s="9"/>
      <c r="ACC10" s="9"/>
      <c r="ACD10" s="9"/>
      <c r="ACE10" s="9"/>
      <c r="ACF10" s="9"/>
      <c r="ACG10" s="9"/>
      <c r="ACH10" s="9"/>
      <c r="ACI10" s="9"/>
      <c r="ACJ10" s="9"/>
      <c r="ACK10" s="9"/>
      <c r="ACL10" s="9"/>
      <c r="ACM10" s="9"/>
      <c r="ACN10" s="9"/>
      <c r="ACO10" s="9"/>
      <c r="ACP10" s="9"/>
      <c r="ACQ10" s="9"/>
      <c r="ACR10" s="9"/>
      <c r="ACS10" s="9"/>
      <c r="ACT10" s="9"/>
      <c r="ACU10" s="9"/>
      <c r="ACV10" s="9"/>
      <c r="ACW10" s="9"/>
      <c r="ACX10" s="9"/>
      <c r="ACY10" s="9"/>
      <c r="ACZ10" s="9"/>
      <c r="ADA10" s="9"/>
      <c r="ADB10" s="9"/>
      <c r="ADC10" s="9"/>
      <c r="ADD10" s="9"/>
      <c r="ADE10" s="9"/>
      <c r="ADF10" s="9"/>
      <c r="ADG10" s="9"/>
      <c r="ADH10" s="9"/>
      <c r="ADI10" s="9"/>
      <c r="ADJ10" s="9"/>
      <c r="ADK10" s="9"/>
      <c r="ADL10" s="9"/>
      <c r="ADM10" s="9"/>
      <c r="ADN10" s="9"/>
      <c r="ADO10" s="9"/>
      <c r="ADP10" s="9"/>
      <c r="ADQ10" s="9"/>
      <c r="ADR10" s="9"/>
      <c r="ADS10" s="9"/>
      <c r="ADT10" s="9"/>
      <c r="ADU10" s="9"/>
      <c r="ADV10" s="9"/>
      <c r="ADW10" s="9"/>
      <c r="ADX10" s="9"/>
      <c r="ADY10" s="9"/>
      <c r="ADZ10" s="9"/>
      <c r="AEA10" s="9"/>
      <c r="AEB10" s="9"/>
      <c r="AEC10" s="9"/>
      <c r="AED10" s="9"/>
      <c r="AEE10" s="9"/>
      <c r="AEF10" s="9"/>
      <c r="AEG10" s="9"/>
      <c r="AEH10" s="9"/>
      <c r="AEI10" s="9"/>
      <c r="AEJ10" s="9"/>
      <c r="AEK10" s="9"/>
      <c r="AEL10" s="9"/>
      <c r="AEM10" s="9"/>
      <c r="AEN10" s="9"/>
      <c r="AEO10" s="9"/>
      <c r="AEP10" s="9"/>
      <c r="AEQ10" s="9"/>
      <c r="AER10" s="9"/>
      <c r="AES10" s="9"/>
      <c r="AET10" s="9"/>
      <c r="AEU10" s="9"/>
      <c r="AEV10" s="9"/>
      <c r="AEW10" s="9"/>
      <c r="AEX10" s="9"/>
      <c r="AEY10" s="9"/>
      <c r="AEZ10" s="9"/>
      <c r="AFA10" s="9"/>
      <c r="AFB10" s="9"/>
      <c r="AFC10" s="9"/>
      <c r="AFD10" s="9"/>
      <c r="AFE10" s="9"/>
      <c r="AFF10" s="9"/>
      <c r="AFG10" s="9"/>
      <c r="AFH10" s="9"/>
      <c r="AFI10" s="9"/>
      <c r="AFJ10" s="9"/>
      <c r="AFK10" s="9"/>
      <c r="AFL10" s="9"/>
      <c r="AFM10" s="9"/>
      <c r="AFN10" s="9"/>
      <c r="AFO10" s="9"/>
      <c r="AFP10" s="9"/>
      <c r="AFQ10" s="9"/>
      <c r="AFR10" s="9"/>
      <c r="AFS10" s="9"/>
      <c r="AFT10" s="9"/>
      <c r="AFU10" s="9"/>
      <c r="AFV10" s="9"/>
      <c r="AFW10" s="9"/>
      <c r="AFX10" s="9"/>
      <c r="AFY10" s="9"/>
      <c r="AFZ10" s="9"/>
      <c r="AGA10" s="9"/>
      <c r="AGB10" s="9"/>
      <c r="AGC10" s="9"/>
      <c r="AGD10" s="9"/>
      <c r="AGE10" s="9"/>
      <c r="AGF10" s="9"/>
      <c r="AGG10" s="9"/>
      <c r="AGH10" s="9"/>
      <c r="AGI10" s="9"/>
      <c r="AGJ10" s="9"/>
      <c r="AGK10" s="9"/>
      <c r="AGL10" s="9"/>
      <c r="AGM10" s="9"/>
      <c r="AGN10" s="9"/>
      <c r="AGO10" s="9"/>
      <c r="AGP10" s="9"/>
      <c r="AGQ10" s="9"/>
      <c r="AGR10" s="9"/>
      <c r="AGS10" s="9"/>
      <c r="AGT10" s="9"/>
      <c r="AGU10" s="9"/>
      <c r="AGV10" s="9"/>
      <c r="AGW10" s="9"/>
      <c r="AGX10" s="9"/>
      <c r="AGY10" s="9"/>
      <c r="AGZ10" s="9"/>
      <c r="AHA10" s="9"/>
      <c r="AHB10" s="9"/>
      <c r="AHC10" s="9"/>
      <c r="AHD10" s="9"/>
      <c r="AHE10" s="9"/>
      <c r="AHF10" s="9"/>
      <c r="AHG10" s="9"/>
      <c r="AHH10" s="9"/>
      <c r="AHI10" s="9"/>
      <c r="AHJ10" s="9"/>
      <c r="AHK10" s="9"/>
      <c r="AHL10" s="9"/>
      <c r="AHM10" s="9"/>
      <c r="AHN10" s="9"/>
      <c r="AHO10" s="9"/>
      <c r="AHP10" s="9"/>
      <c r="AHQ10" s="9"/>
      <c r="AHR10" s="9"/>
      <c r="AHS10" s="9"/>
      <c r="AHT10" s="9"/>
      <c r="AHU10" s="9"/>
      <c r="AHV10" s="9"/>
      <c r="AHW10" s="9"/>
      <c r="AHX10" s="9"/>
      <c r="AHY10" s="9"/>
      <c r="AHZ10" s="9"/>
      <c r="AIA10" s="9"/>
      <c r="AIB10" s="9"/>
      <c r="AIC10" s="9"/>
      <c r="AID10" s="9"/>
      <c r="AIE10" s="9"/>
      <c r="AIF10" s="9"/>
      <c r="AIG10" s="9"/>
      <c r="AIH10" s="9"/>
      <c r="AII10" s="9"/>
      <c r="AIJ10" s="9"/>
      <c r="AIK10" s="9"/>
      <c r="AIL10" s="9"/>
      <c r="AIM10" s="9"/>
      <c r="AIN10" s="9"/>
      <c r="AIO10" s="9"/>
      <c r="AIP10" s="9"/>
      <c r="AIQ10" s="9"/>
      <c r="AIR10" s="9"/>
      <c r="AIS10" s="9"/>
      <c r="AIT10" s="9"/>
      <c r="AIU10" s="9"/>
      <c r="AIV10" s="9"/>
      <c r="AIW10" s="9"/>
      <c r="AIX10" s="9"/>
      <c r="AIY10" s="9"/>
      <c r="AIZ10" s="9"/>
      <c r="AJA10" s="9"/>
      <c r="AJB10" s="9"/>
      <c r="AJC10" s="9"/>
      <c r="AJD10" s="9"/>
      <c r="AJE10" s="9"/>
      <c r="AJF10" s="9"/>
      <c r="AJG10" s="9"/>
      <c r="AJH10" s="9"/>
      <c r="AJI10" s="9"/>
      <c r="AJJ10" s="9"/>
      <c r="AJK10" s="9"/>
      <c r="AJL10" s="9"/>
      <c r="AJM10" s="9"/>
      <c r="AJN10" s="9"/>
      <c r="AJO10" s="9"/>
      <c r="AJP10" s="9"/>
      <c r="AJQ10" s="9"/>
      <c r="AJR10" s="9"/>
      <c r="AJS10" s="9"/>
      <c r="AJT10" s="9"/>
      <c r="AJU10" s="9"/>
      <c r="AJV10" s="9"/>
      <c r="AJW10" s="9"/>
      <c r="AJX10" s="9"/>
      <c r="AJY10" s="9"/>
      <c r="AJZ10" s="9"/>
      <c r="AKA10" s="9"/>
      <c r="AKB10" s="9"/>
      <c r="AKC10" s="9"/>
      <c r="AKD10" s="9"/>
      <c r="AKE10" s="9"/>
      <c r="AKF10" s="9"/>
      <c r="AKG10" s="9"/>
      <c r="AKH10" s="9"/>
      <c r="AKI10" s="9"/>
      <c r="AKJ10" s="9"/>
      <c r="AKK10" s="9"/>
      <c r="AKL10" s="9"/>
      <c r="AKM10" s="9"/>
      <c r="AKN10" s="9"/>
      <c r="AKO10" s="9"/>
      <c r="AKP10" s="9"/>
      <c r="AKQ10" s="9"/>
      <c r="AKR10" s="9"/>
      <c r="AKS10" s="9"/>
      <c r="AKT10" s="9"/>
      <c r="AKU10" s="9"/>
      <c r="AKV10" s="9"/>
      <c r="AKW10" s="9"/>
      <c r="AKX10" s="9"/>
      <c r="AKY10" s="9"/>
      <c r="AKZ10" s="9"/>
      <c r="ALA10" s="9"/>
      <c r="ALB10" s="9"/>
      <c r="ALC10" s="9"/>
      <c r="ALD10" s="9"/>
      <c r="ALE10" s="9"/>
      <c r="ALF10" s="9"/>
      <c r="ALG10" s="9"/>
      <c r="ALH10" s="9"/>
      <c r="ALI10" s="9"/>
      <c r="ALJ10" s="9"/>
      <c r="ALK10" s="9"/>
      <c r="ALL10" s="9"/>
      <c r="ALM10" s="9"/>
      <c r="ALN10" s="9"/>
      <c r="ALO10" s="9"/>
      <c r="ALP10" s="9"/>
      <c r="ALQ10" s="9"/>
      <c r="ALR10" s="9"/>
      <c r="ALS10" s="9"/>
      <c r="ALT10" s="9"/>
      <c r="ALU10" s="9"/>
      <c r="ALV10" s="9"/>
      <c r="ALW10" s="9"/>
      <c r="ALX10" s="9"/>
      <c r="ALY10" s="9"/>
      <c r="ALZ10" s="9"/>
      <c r="AMA10" s="9"/>
      <c r="AMB10" s="9"/>
      <c r="AMC10" s="9"/>
      <c r="AMD10" s="9"/>
      <c r="AME10" s="9"/>
      <c r="AMF10" s="9"/>
      <c r="AMG10" s="9"/>
      <c r="AMH10" s="9"/>
      <c r="AMI10" s="9"/>
      <c r="AMJ10" s="9"/>
    </row>
    <row r="11" spans="1:1024" x14ac:dyDescent="0.35">
      <c r="A11" s="2" t="s">
        <v>320</v>
      </c>
      <c r="B11" s="9"/>
      <c r="C11" s="2"/>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B11" s="9"/>
      <c r="JC11" s="9"/>
      <c r="JD11" s="9"/>
      <c r="JE11" s="9"/>
      <c r="JF11" s="9"/>
      <c r="JG11" s="9"/>
      <c r="JH11" s="9"/>
      <c r="JI11" s="9"/>
      <c r="JJ11" s="9"/>
      <c r="JK11" s="9"/>
      <c r="JL11" s="9"/>
      <c r="JM11" s="9"/>
      <c r="JN11" s="9"/>
      <c r="JO11" s="9"/>
      <c r="JP11" s="9"/>
      <c r="JQ11" s="9"/>
      <c r="JR11" s="9"/>
      <c r="JS11" s="9"/>
      <c r="JT11" s="9"/>
      <c r="JU11" s="9"/>
      <c r="JV11" s="9"/>
      <c r="JW11" s="9"/>
      <c r="JX11" s="9"/>
      <c r="JY11" s="9"/>
      <c r="JZ11" s="9"/>
      <c r="KA11" s="9"/>
      <c r="KB11" s="9"/>
      <c r="KC11" s="9"/>
      <c r="KD11" s="9"/>
      <c r="KE11" s="9"/>
      <c r="KF11" s="9"/>
      <c r="KG11" s="9"/>
      <c r="KH11" s="9"/>
      <c r="KI11" s="9"/>
      <c r="KJ11" s="9"/>
      <c r="KK11" s="9"/>
      <c r="KL11" s="9"/>
      <c r="KM11" s="9"/>
      <c r="KN11" s="9"/>
      <c r="KO11" s="9"/>
      <c r="KP11" s="9"/>
      <c r="KQ11" s="9"/>
      <c r="KR11" s="9"/>
      <c r="KS11" s="9"/>
      <c r="KT11" s="9"/>
      <c r="KU11" s="9"/>
      <c r="KV11" s="9"/>
      <c r="KW11" s="9"/>
      <c r="KX11" s="9"/>
      <c r="KY11" s="9"/>
      <c r="KZ11" s="9"/>
      <c r="LA11" s="9"/>
      <c r="LB11" s="9"/>
      <c r="LC11" s="9"/>
      <c r="LD11" s="9"/>
      <c r="LE11" s="9"/>
      <c r="LF11" s="9"/>
      <c r="LG11" s="9"/>
      <c r="LH11" s="9"/>
      <c r="LI11" s="9"/>
      <c r="LJ11" s="9"/>
      <c r="LK11" s="9"/>
      <c r="LL11" s="9"/>
      <c r="LM11" s="9"/>
      <c r="LN11" s="9"/>
      <c r="LO11" s="9"/>
      <c r="LP11" s="9"/>
      <c r="LQ11" s="9"/>
      <c r="LR11" s="9"/>
      <c r="LS11" s="9"/>
      <c r="LT11" s="9"/>
      <c r="LU11" s="9"/>
      <c r="LV11" s="9"/>
      <c r="LW11" s="9"/>
      <c r="LX11" s="9"/>
      <c r="LY11" s="9"/>
      <c r="LZ11" s="9"/>
      <c r="MA11" s="9"/>
      <c r="MB11" s="9"/>
      <c r="MC11" s="9"/>
      <c r="MD11" s="9"/>
      <c r="ME11" s="9"/>
      <c r="MF11" s="9"/>
      <c r="MG11" s="9"/>
      <c r="MH11" s="9"/>
      <c r="MI11" s="9"/>
      <c r="MJ11" s="9"/>
      <c r="MK11" s="9"/>
      <c r="ML11" s="9"/>
      <c r="MM11" s="9"/>
      <c r="MN11" s="9"/>
      <c r="MO11" s="9"/>
      <c r="MP11" s="9"/>
      <c r="MQ11" s="9"/>
      <c r="MR11" s="9"/>
      <c r="MS11" s="9"/>
      <c r="MT11" s="9"/>
      <c r="MU11" s="9"/>
      <c r="MV11" s="9"/>
      <c r="MW11" s="9"/>
      <c r="MX11" s="9"/>
      <c r="MY11" s="9"/>
      <c r="MZ11" s="9"/>
      <c r="NA11" s="9"/>
      <c r="NB11" s="9"/>
      <c r="NC11" s="9"/>
      <c r="ND11" s="9"/>
      <c r="NE11" s="9"/>
      <c r="NF11" s="9"/>
      <c r="NG11" s="9"/>
      <c r="NH11" s="9"/>
      <c r="NI11" s="9"/>
      <c r="NJ11" s="9"/>
      <c r="NK11" s="9"/>
      <c r="NL11" s="9"/>
      <c r="NM11" s="9"/>
      <c r="NN11" s="9"/>
      <c r="NO11" s="9"/>
      <c r="NP11" s="9"/>
      <c r="NQ11" s="9"/>
      <c r="NR11" s="9"/>
      <c r="NS11" s="9"/>
      <c r="NT11" s="9"/>
      <c r="NU11" s="9"/>
      <c r="NV11" s="9"/>
      <c r="NW11" s="9"/>
      <c r="NX11" s="9"/>
      <c r="NY11" s="9"/>
      <c r="NZ11" s="9"/>
      <c r="OA11" s="9"/>
      <c r="OB11" s="9"/>
      <c r="OC11" s="9"/>
      <c r="OD11" s="9"/>
      <c r="OE11" s="9"/>
      <c r="OF11" s="9"/>
      <c r="OG11" s="9"/>
      <c r="OH11" s="9"/>
      <c r="OI11" s="9"/>
      <c r="OJ11" s="9"/>
      <c r="OK11" s="9"/>
      <c r="OL11" s="9"/>
      <c r="OM11" s="9"/>
      <c r="ON11" s="9"/>
      <c r="OO11" s="9"/>
      <c r="OP11" s="9"/>
      <c r="OQ11" s="9"/>
      <c r="OR11" s="9"/>
      <c r="OS11" s="9"/>
      <c r="OT11" s="9"/>
      <c r="OU11" s="9"/>
      <c r="OV11" s="9"/>
      <c r="OW11" s="9"/>
      <c r="OX11" s="9"/>
      <c r="OY11" s="9"/>
      <c r="OZ11" s="9"/>
      <c r="PA11" s="9"/>
      <c r="PB11" s="9"/>
      <c r="PC11" s="9"/>
      <c r="PD11" s="9"/>
      <c r="PE11" s="9"/>
      <c r="PF11" s="9"/>
      <c r="PG11" s="9"/>
      <c r="PH11" s="9"/>
      <c r="PI11" s="9"/>
      <c r="PJ11" s="9"/>
      <c r="PK11" s="9"/>
      <c r="PL11" s="9"/>
      <c r="PM11" s="9"/>
      <c r="PN11" s="9"/>
      <c r="PO11" s="9"/>
      <c r="PP11" s="9"/>
      <c r="PQ11" s="9"/>
      <c r="PR11" s="9"/>
      <c r="PS11" s="9"/>
      <c r="PT11" s="9"/>
      <c r="PU11" s="9"/>
      <c r="PV11" s="9"/>
      <c r="PW11" s="9"/>
      <c r="PX11" s="9"/>
      <c r="PY11" s="9"/>
      <c r="PZ11" s="9"/>
      <c r="QA11" s="9"/>
      <c r="QB11" s="9"/>
      <c r="QC11" s="9"/>
      <c r="QD11" s="9"/>
      <c r="QE11" s="9"/>
      <c r="QF11" s="9"/>
      <c r="QG11" s="9"/>
      <c r="QH11" s="9"/>
      <c r="QI11" s="9"/>
      <c r="QJ11" s="9"/>
      <c r="QK11" s="9"/>
      <c r="QL11" s="9"/>
      <c r="QM11" s="9"/>
      <c r="QN11" s="9"/>
      <c r="QO11" s="9"/>
      <c r="QP11" s="9"/>
      <c r="QQ11" s="9"/>
      <c r="QR11" s="9"/>
      <c r="QS11" s="9"/>
      <c r="QT11" s="9"/>
      <c r="QU11" s="9"/>
      <c r="QV11" s="9"/>
      <c r="QW11" s="9"/>
      <c r="QX11" s="9"/>
      <c r="QY11" s="9"/>
      <c r="QZ11" s="9"/>
      <c r="RA11" s="9"/>
      <c r="RB11" s="9"/>
      <c r="RC11" s="9"/>
      <c r="RD11" s="9"/>
      <c r="RE11" s="9"/>
      <c r="RF11" s="9"/>
      <c r="RG11" s="9"/>
      <c r="RH11" s="9"/>
      <c r="RI11" s="9"/>
      <c r="RJ11" s="9"/>
      <c r="RK11" s="9"/>
      <c r="RL11" s="9"/>
      <c r="RM11" s="9"/>
      <c r="RN11" s="9"/>
      <c r="RO11" s="9"/>
      <c r="RP11" s="9"/>
      <c r="RQ11" s="9"/>
      <c r="RR11" s="9"/>
      <c r="RS11" s="9"/>
      <c r="RT11" s="9"/>
      <c r="RU11" s="9"/>
      <c r="RV11" s="9"/>
      <c r="RW11" s="9"/>
      <c r="RX11" s="9"/>
      <c r="RY11" s="9"/>
      <c r="RZ11" s="9"/>
      <c r="SA11" s="9"/>
      <c r="SB11" s="9"/>
      <c r="SC11" s="9"/>
      <c r="SD11" s="9"/>
      <c r="SE11" s="9"/>
      <c r="SF11" s="9"/>
      <c r="SG11" s="9"/>
      <c r="SH11" s="9"/>
      <c r="SI11" s="9"/>
      <c r="SJ11" s="9"/>
      <c r="SK11" s="9"/>
      <c r="SL11" s="9"/>
      <c r="SM11" s="9"/>
      <c r="SN11" s="9"/>
      <c r="SO11" s="9"/>
      <c r="SP11" s="9"/>
      <c r="SQ11" s="9"/>
      <c r="SR11" s="9"/>
      <c r="SS11" s="9"/>
      <c r="ST11" s="9"/>
      <c r="SU11" s="9"/>
      <c r="SV11" s="9"/>
      <c r="SW11" s="9"/>
      <c r="SX11" s="9"/>
      <c r="SY11" s="9"/>
      <c r="SZ11" s="9"/>
      <c r="TA11" s="9"/>
      <c r="TB11" s="9"/>
      <c r="TC11" s="9"/>
      <c r="TD11" s="9"/>
      <c r="TE11" s="9"/>
      <c r="TF11" s="9"/>
      <c r="TG11" s="9"/>
      <c r="TH11" s="9"/>
      <c r="TI11" s="9"/>
      <c r="TJ11" s="9"/>
      <c r="TK11" s="9"/>
      <c r="TL11" s="9"/>
      <c r="TM11" s="9"/>
      <c r="TN11" s="9"/>
      <c r="TO11" s="9"/>
      <c r="TP11" s="9"/>
      <c r="TQ11" s="9"/>
      <c r="TR11" s="9"/>
      <c r="TS11" s="9"/>
      <c r="TT11" s="9"/>
      <c r="TU11" s="9"/>
      <c r="TV11" s="9"/>
      <c r="TW11" s="9"/>
      <c r="TX11" s="9"/>
      <c r="TY11" s="9"/>
      <c r="TZ11" s="9"/>
      <c r="UA11" s="9"/>
      <c r="UB11" s="9"/>
      <c r="UC11" s="9"/>
      <c r="UD11" s="9"/>
      <c r="UE11" s="9"/>
      <c r="UF11" s="9"/>
      <c r="UG11" s="9"/>
      <c r="UH11" s="9"/>
      <c r="UI11" s="9"/>
      <c r="UJ11" s="9"/>
      <c r="UK11" s="9"/>
      <c r="UL11" s="9"/>
      <c r="UM11" s="9"/>
      <c r="UN11" s="9"/>
      <c r="UO11" s="9"/>
      <c r="UP11" s="9"/>
      <c r="UQ11" s="9"/>
      <c r="UR11" s="9"/>
      <c r="US11" s="9"/>
      <c r="UT11" s="9"/>
      <c r="UU11" s="9"/>
      <c r="UV11" s="9"/>
      <c r="UW11" s="9"/>
      <c r="UX11" s="9"/>
      <c r="UY11" s="9"/>
      <c r="UZ11" s="9"/>
      <c r="VA11" s="9"/>
      <c r="VB11" s="9"/>
      <c r="VC11" s="9"/>
      <c r="VD11" s="9"/>
      <c r="VE11" s="9"/>
      <c r="VF11" s="9"/>
      <c r="VG11" s="9"/>
      <c r="VH11" s="9"/>
      <c r="VI11" s="9"/>
      <c r="VJ11" s="9"/>
      <c r="VK11" s="9"/>
      <c r="VL11" s="9"/>
      <c r="VM11" s="9"/>
      <c r="VN11" s="9"/>
      <c r="VO11" s="9"/>
      <c r="VP11" s="9"/>
      <c r="VQ11" s="9"/>
      <c r="VR11" s="9"/>
      <c r="VS11" s="9"/>
      <c r="VT11" s="9"/>
      <c r="VU11" s="9"/>
      <c r="VV11" s="9"/>
      <c r="VW11" s="9"/>
      <c r="VX11" s="9"/>
      <c r="VY11" s="9"/>
      <c r="VZ11" s="9"/>
      <c r="WA11" s="9"/>
      <c r="WB11" s="9"/>
      <c r="WC11" s="9"/>
      <c r="WD11" s="9"/>
      <c r="WE11" s="9"/>
      <c r="WF11" s="9"/>
      <c r="WG11" s="9"/>
      <c r="WH11" s="9"/>
      <c r="WI11" s="9"/>
      <c r="WJ11" s="9"/>
      <c r="WK11" s="9"/>
      <c r="WL11" s="9"/>
      <c r="WM11" s="9"/>
      <c r="WN11" s="9"/>
      <c r="WO11" s="9"/>
      <c r="WP11" s="9"/>
      <c r="WQ11" s="9"/>
      <c r="WR11" s="9"/>
      <c r="WS11" s="9"/>
      <c r="WT11" s="9"/>
      <c r="WU11" s="9"/>
      <c r="WV11" s="9"/>
      <c r="WW11" s="9"/>
      <c r="WX11" s="9"/>
      <c r="WY11" s="9"/>
      <c r="WZ11" s="9"/>
      <c r="XA11" s="9"/>
      <c r="XB11" s="9"/>
      <c r="XC11" s="9"/>
      <c r="XD11" s="9"/>
      <c r="XE11" s="9"/>
      <c r="XF11" s="9"/>
      <c r="XG11" s="9"/>
      <c r="XH11" s="9"/>
      <c r="XI11" s="9"/>
      <c r="XJ11" s="9"/>
      <c r="XK11" s="9"/>
      <c r="XL11" s="9"/>
      <c r="XM11" s="9"/>
      <c r="XN11" s="9"/>
      <c r="XO11" s="9"/>
      <c r="XP11" s="9"/>
      <c r="XQ11" s="9"/>
      <c r="XR11" s="9"/>
      <c r="XS11" s="9"/>
      <c r="XT11" s="9"/>
      <c r="XU11" s="9"/>
      <c r="XV11" s="9"/>
      <c r="XW11" s="9"/>
      <c r="XX11" s="9"/>
      <c r="XY11" s="9"/>
      <c r="XZ11" s="9"/>
      <c r="YA11" s="9"/>
      <c r="YB11" s="9"/>
      <c r="YC11" s="9"/>
      <c r="YD11" s="9"/>
      <c r="YE11" s="9"/>
      <c r="YF11" s="9"/>
      <c r="YG11" s="9"/>
      <c r="YH11" s="9"/>
      <c r="YI11" s="9"/>
      <c r="YJ11" s="9"/>
      <c r="YK11" s="9"/>
      <c r="YL11" s="9"/>
      <c r="YM11" s="9"/>
      <c r="YN11" s="9"/>
      <c r="YO11" s="9"/>
      <c r="YP11" s="9"/>
      <c r="YQ11" s="9"/>
      <c r="YR11" s="9"/>
      <c r="YS11" s="9"/>
      <c r="YT11" s="9"/>
      <c r="YU11" s="9"/>
      <c r="YV11" s="9"/>
      <c r="YW11" s="9"/>
      <c r="YX11" s="9"/>
      <c r="YY11" s="9"/>
      <c r="YZ11" s="9"/>
      <c r="ZA11" s="9"/>
      <c r="ZB11" s="9"/>
      <c r="ZC11" s="9"/>
      <c r="ZD11" s="9"/>
      <c r="ZE11" s="9"/>
      <c r="ZF11" s="9"/>
      <c r="ZG11" s="9"/>
      <c r="ZH11" s="9"/>
      <c r="ZI11" s="9"/>
      <c r="ZJ11" s="9"/>
      <c r="ZK11" s="9"/>
      <c r="ZL11" s="9"/>
      <c r="ZM11" s="9"/>
      <c r="ZN11" s="9"/>
      <c r="ZO11" s="9"/>
      <c r="ZP11" s="9"/>
      <c r="ZQ11" s="9"/>
      <c r="ZR11" s="9"/>
      <c r="ZS11" s="9"/>
      <c r="ZT11" s="9"/>
      <c r="ZU11" s="9"/>
      <c r="ZV11" s="9"/>
      <c r="ZW11" s="9"/>
      <c r="ZX11" s="9"/>
      <c r="ZY11" s="9"/>
      <c r="ZZ11" s="9"/>
      <c r="AAA11" s="9"/>
      <c r="AAB11" s="9"/>
      <c r="AAC11" s="9"/>
      <c r="AAD11" s="9"/>
      <c r="AAE11" s="9"/>
      <c r="AAF11" s="9"/>
      <c r="AAG11" s="9"/>
      <c r="AAH11" s="9"/>
      <c r="AAI11" s="9"/>
      <c r="AAJ11" s="9"/>
      <c r="AAK11" s="9"/>
      <c r="AAL11" s="9"/>
      <c r="AAM11" s="9"/>
      <c r="AAN11" s="9"/>
      <c r="AAO11" s="9"/>
      <c r="AAP11" s="9"/>
      <c r="AAQ11" s="9"/>
      <c r="AAR11" s="9"/>
      <c r="AAS11" s="9"/>
      <c r="AAT11" s="9"/>
      <c r="AAU11" s="9"/>
      <c r="AAV11" s="9"/>
      <c r="AAW11" s="9"/>
      <c r="AAX11" s="9"/>
      <c r="AAY11" s="9"/>
      <c r="AAZ11" s="9"/>
      <c r="ABA11" s="9"/>
      <c r="ABB11" s="9"/>
      <c r="ABC11" s="9"/>
      <c r="ABD11" s="9"/>
      <c r="ABE11" s="9"/>
      <c r="ABF11" s="9"/>
      <c r="ABG11" s="9"/>
      <c r="ABH11" s="9"/>
      <c r="ABI11" s="9"/>
      <c r="ABJ11" s="9"/>
      <c r="ABK11" s="9"/>
      <c r="ABL11" s="9"/>
      <c r="ABM11" s="9"/>
      <c r="ABN11" s="9"/>
      <c r="ABO11" s="9"/>
      <c r="ABP11" s="9"/>
      <c r="ABQ11" s="9"/>
      <c r="ABR11" s="9"/>
      <c r="ABS11" s="9"/>
      <c r="ABT11" s="9"/>
      <c r="ABU11" s="9"/>
      <c r="ABV11" s="9"/>
      <c r="ABW11" s="9"/>
      <c r="ABX11" s="9"/>
      <c r="ABY11" s="9"/>
      <c r="ABZ11" s="9"/>
      <c r="ACA11" s="9"/>
      <c r="ACB11" s="9"/>
      <c r="ACC11" s="9"/>
      <c r="ACD11" s="9"/>
      <c r="ACE11" s="9"/>
      <c r="ACF11" s="9"/>
      <c r="ACG11" s="9"/>
      <c r="ACH11" s="9"/>
      <c r="ACI11" s="9"/>
      <c r="ACJ11" s="9"/>
      <c r="ACK11" s="9"/>
      <c r="ACL11" s="9"/>
      <c r="ACM11" s="9"/>
      <c r="ACN11" s="9"/>
      <c r="ACO11" s="9"/>
      <c r="ACP11" s="9"/>
      <c r="ACQ11" s="9"/>
      <c r="ACR11" s="9"/>
      <c r="ACS11" s="9"/>
      <c r="ACT11" s="9"/>
      <c r="ACU11" s="9"/>
      <c r="ACV11" s="9"/>
      <c r="ACW11" s="9"/>
      <c r="ACX11" s="9"/>
      <c r="ACY11" s="9"/>
      <c r="ACZ11" s="9"/>
      <c r="ADA11" s="9"/>
      <c r="ADB11" s="9"/>
      <c r="ADC11" s="9"/>
      <c r="ADD11" s="9"/>
      <c r="ADE11" s="9"/>
      <c r="ADF11" s="9"/>
      <c r="ADG11" s="9"/>
      <c r="ADH11" s="9"/>
      <c r="ADI11" s="9"/>
      <c r="ADJ11" s="9"/>
      <c r="ADK11" s="9"/>
      <c r="ADL11" s="9"/>
      <c r="ADM11" s="9"/>
      <c r="ADN11" s="9"/>
      <c r="ADO11" s="9"/>
      <c r="ADP11" s="9"/>
      <c r="ADQ11" s="9"/>
      <c r="ADR11" s="9"/>
      <c r="ADS11" s="9"/>
      <c r="ADT11" s="9"/>
      <c r="ADU11" s="9"/>
      <c r="ADV11" s="9"/>
      <c r="ADW11" s="9"/>
      <c r="ADX11" s="9"/>
      <c r="ADY11" s="9"/>
      <c r="ADZ11" s="9"/>
      <c r="AEA11" s="9"/>
      <c r="AEB11" s="9"/>
      <c r="AEC11" s="9"/>
      <c r="AED11" s="9"/>
      <c r="AEE11" s="9"/>
      <c r="AEF11" s="9"/>
      <c r="AEG11" s="9"/>
      <c r="AEH11" s="9"/>
      <c r="AEI11" s="9"/>
      <c r="AEJ11" s="9"/>
      <c r="AEK11" s="9"/>
      <c r="AEL11" s="9"/>
      <c r="AEM11" s="9"/>
      <c r="AEN11" s="9"/>
      <c r="AEO11" s="9"/>
      <c r="AEP11" s="9"/>
      <c r="AEQ11" s="9"/>
      <c r="AER11" s="9"/>
      <c r="AES11" s="9"/>
      <c r="AET11" s="9"/>
      <c r="AEU11" s="9"/>
      <c r="AEV11" s="9"/>
      <c r="AEW11" s="9"/>
      <c r="AEX11" s="9"/>
      <c r="AEY11" s="9"/>
      <c r="AEZ11" s="9"/>
      <c r="AFA11" s="9"/>
      <c r="AFB11" s="9"/>
      <c r="AFC11" s="9"/>
      <c r="AFD11" s="9"/>
      <c r="AFE11" s="9"/>
      <c r="AFF11" s="9"/>
      <c r="AFG11" s="9"/>
      <c r="AFH11" s="9"/>
      <c r="AFI11" s="9"/>
      <c r="AFJ11" s="9"/>
      <c r="AFK11" s="9"/>
      <c r="AFL11" s="9"/>
      <c r="AFM11" s="9"/>
      <c r="AFN11" s="9"/>
      <c r="AFO11" s="9"/>
      <c r="AFP11" s="9"/>
      <c r="AFQ11" s="9"/>
      <c r="AFR11" s="9"/>
      <c r="AFS11" s="9"/>
      <c r="AFT11" s="9"/>
      <c r="AFU11" s="9"/>
      <c r="AFV11" s="9"/>
      <c r="AFW11" s="9"/>
      <c r="AFX11" s="9"/>
      <c r="AFY11" s="9"/>
      <c r="AFZ11" s="9"/>
      <c r="AGA11" s="9"/>
      <c r="AGB11" s="9"/>
      <c r="AGC11" s="9"/>
      <c r="AGD11" s="9"/>
      <c r="AGE11" s="9"/>
      <c r="AGF11" s="9"/>
      <c r="AGG11" s="9"/>
      <c r="AGH11" s="9"/>
      <c r="AGI11" s="9"/>
      <c r="AGJ11" s="9"/>
      <c r="AGK11" s="9"/>
      <c r="AGL11" s="9"/>
      <c r="AGM11" s="9"/>
      <c r="AGN11" s="9"/>
      <c r="AGO11" s="9"/>
      <c r="AGP11" s="9"/>
      <c r="AGQ11" s="9"/>
      <c r="AGR11" s="9"/>
      <c r="AGS11" s="9"/>
      <c r="AGT11" s="9"/>
      <c r="AGU11" s="9"/>
      <c r="AGV11" s="9"/>
      <c r="AGW11" s="9"/>
      <c r="AGX11" s="9"/>
      <c r="AGY11" s="9"/>
      <c r="AGZ11" s="9"/>
      <c r="AHA11" s="9"/>
      <c r="AHB11" s="9"/>
      <c r="AHC11" s="9"/>
      <c r="AHD11" s="9"/>
      <c r="AHE11" s="9"/>
      <c r="AHF11" s="9"/>
      <c r="AHG11" s="9"/>
      <c r="AHH11" s="9"/>
      <c r="AHI11" s="9"/>
      <c r="AHJ11" s="9"/>
      <c r="AHK11" s="9"/>
      <c r="AHL11" s="9"/>
      <c r="AHM11" s="9"/>
      <c r="AHN11" s="9"/>
      <c r="AHO11" s="9"/>
      <c r="AHP11" s="9"/>
      <c r="AHQ11" s="9"/>
      <c r="AHR11" s="9"/>
      <c r="AHS11" s="9"/>
      <c r="AHT11" s="9"/>
      <c r="AHU11" s="9"/>
      <c r="AHV11" s="9"/>
      <c r="AHW11" s="9"/>
      <c r="AHX11" s="9"/>
      <c r="AHY11" s="9"/>
      <c r="AHZ11" s="9"/>
      <c r="AIA11" s="9"/>
      <c r="AIB11" s="9"/>
      <c r="AIC11" s="9"/>
      <c r="AID11" s="9"/>
      <c r="AIE11" s="9"/>
      <c r="AIF11" s="9"/>
      <c r="AIG11" s="9"/>
      <c r="AIH11" s="9"/>
      <c r="AII11" s="9"/>
      <c r="AIJ11" s="9"/>
      <c r="AIK11" s="9"/>
      <c r="AIL11" s="9"/>
      <c r="AIM11" s="9"/>
      <c r="AIN11" s="9"/>
      <c r="AIO11" s="9"/>
      <c r="AIP11" s="9"/>
      <c r="AIQ11" s="9"/>
      <c r="AIR11" s="9"/>
      <c r="AIS11" s="9"/>
      <c r="AIT11" s="9"/>
      <c r="AIU11" s="9"/>
      <c r="AIV11" s="9"/>
      <c r="AIW11" s="9"/>
      <c r="AIX11" s="9"/>
      <c r="AIY11" s="9"/>
      <c r="AIZ11" s="9"/>
      <c r="AJA11" s="9"/>
      <c r="AJB11" s="9"/>
      <c r="AJC11" s="9"/>
      <c r="AJD11" s="9"/>
      <c r="AJE11" s="9"/>
      <c r="AJF11" s="9"/>
      <c r="AJG11" s="9"/>
      <c r="AJH11" s="9"/>
      <c r="AJI11" s="9"/>
      <c r="AJJ11" s="9"/>
      <c r="AJK11" s="9"/>
      <c r="AJL11" s="9"/>
      <c r="AJM11" s="9"/>
      <c r="AJN11" s="9"/>
      <c r="AJO11" s="9"/>
      <c r="AJP11" s="9"/>
      <c r="AJQ11" s="9"/>
      <c r="AJR11" s="9"/>
      <c r="AJS11" s="9"/>
      <c r="AJT11" s="9"/>
      <c r="AJU11" s="9"/>
      <c r="AJV11" s="9"/>
      <c r="AJW11" s="9"/>
      <c r="AJX11" s="9"/>
      <c r="AJY11" s="9"/>
      <c r="AJZ11" s="9"/>
      <c r="AKA11" s="9"/>
      <c r="AKB11" s="9"/>
      <c r="AKC11" s="9"/>
      <c r="AKD11" s="9"/>
      <c r="AKE11" s="9"/>
      <c r="AKF11" s="9"/>
      <c r="AKG11" s="9"/>
      <c r="AKH11" s="9"/>
      <c r="AKI11" s="9"/>
      <c r="AKJ11" s="9"/>
      <c r="AKK11" s="9"/>
      <c r="AKL11" s="9"/>
      <c r="AKM11" s="9"/>
      <c r="AKN11" s="9"/>
      <c r="AKO11" s="9"/>
      <c r="AKP11" s="9"/>
      <c r="AKQ11" s="9"/>
      <c r="AKR11" s="9"/>
      <c r="AKS11" s="9"/>
      <c r="AKT11" s="9"/>
      <c r="AKU11" s="9"/>
      <c r="AKV11" s="9"/>
      <c r="AKW11" s="9"/>
      <c r="AKX11" s="9"/>
      <c r="AKY11" s="9"/>
      <c r="AKZ11" s="9"/>
      <c r="ALA11" s="9"/>
      <c r="ALB11" s="9"/>
      <c r="ALC11" s="9"/>
      <c r="ALD11" s="9"/>
      <c r="ALE11" s="9"/>
      <c r="ALF11" s="9"/>
      <c r="ALG11" s="9"/>
      <c r="ALH11" s="9"/>
      <c r="ALI11" s="9"/>
      <c r="ALJ11" s="9"/>
      <c r="ALK11" s="9"/>
      <c r="ALL11" s="9"/>
      <c r="ALM11" s="9"/>
      <c r="ALN11" s="9"/>
      <c r="ALO11" s="9"/>
      <c r="ALP11" s="9"/>
      <c r="ALQ11" s="9"/>
      <c r="ALR11" s="9"/>
      <c r="ALS11" s="9"/>
      <c r="ALT11" s="9"/>
      <c r="ALU11" s="9"/>
      <c r="ALV11" s="9"/>
      <c r="ALW11" s="9"/>
      <c r="ALX11" s="9"/>
      <c r="ALY11" s="9"/>
      <c r="ALZ11" s="9"/>
      <c r="AMA11" s="9"/>
      <c r="AMB11" s="9"/>
      <c r="AMC11" s="9"/>
      <c r="AMD11" s="9"/>
      <c r="AME11" s="9"/>
      <c r="AMF11" s="9"/>
      <c r="AMG11" s="9"/>
      <c r="AMH11" s="9"/>
      <c r="AMI11" s="9"/>
      <c r="AMJ11" s="9"/>
    </row>
    <row r="12" spans="1:1024" x14ac:dyDescent="0.35">
      <c r="A12" s="2"/>
      <c r="B12" s="9"/>
      <c r="C12" s="2"/>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B12" s="9"/>
      <c r="JC12" s="9"/>
      <c r="JD12" s="9"/>
      <c r="JE12" s="9"/>
      <c r="JF12" s="9"/>
      <c r="JG12" s="9"/>
      <c r="JH12" s="9"/>
      <c r="JI12" s="9"/>
      <c r="JJ12" s="9"/>
      <c r="JK12" s="9"/>
      <c r="JL12" s="9"/>
      <c r="JM12" s="9"/>
      <c r="JN12" s="9"/>
      <c r="JO12" s="9"/>
      <c r="JP12" s="9"/>
      <c r="JQ12" s="9"/>
      <c r="JR12" s="9"/>
      <c r="JS12" s="9"/>
      <c r="JT12" s="9"/>
      <c r="JU12" s="9"/>
      <c r="JV12" s="9"/>
      <c r="JW12" s="9"/>
      <c r="JX12" s="9"/>
      <c r="JY12" s="9"/>
      <c r="JZ12" s="9"/>
      <c r="KA12" s="9"/>
      <c r="KB12" s="9"/>
      <c r="KC12" s="9"/>
      <c r="KD12" s="9"/>
      <c r="KE12" s="9"/>
      <c r="KF12" s="9"/>
      <c r="KG12" s="9"/>
      <c r="KH12" s="9"/>
      <c r="KI12" s="9"/>
      <c r="KJ12" s="9"/>
      <c r="KK12" s="9"/>
      <c r="KL12" s="9"/>
      <c r="KM12" s="9"/>
      <c r="KN12" s="9"/>
      <c r="KO12" s="9"/>
      <c r="KP12" s="9"/>
      <c r="KQ12" s="9"/>
      <c r="KR12" s="9"/>
      <c r="KS12" s="9"/>
      <c r="KT12" s="9"/>
      <c r="KU12" s="9"/>
      <c r="KV12" s="9"/>
      <c r="KW12" s="9"/>
      <c r="KX12" s="9"/>
      <c r="KY12" s="9"/>
      <c r="KZ12" s="9"/>
      <c r="LA12" s="9"/>
      <c r="LB12" s="9"/>
      <c r="LC12" s="9"/>
      <c r="LD12" s="9"/>
      <c r="LE12" s="9"/>
      <c r="LF12" s="9"/>
      <c r="LG12" s="9"/>
      <c r="LH12" s="9"/>
      <c r="LI12" s="9"/>
      <c r="LJ12" s="9"/>
      <c r="LK12" s="9"/>
      <c r="LL12" s="9"/>
      <c r="LM12" s="9"/>
      <c r="LN12" s="9"/>
      <c r="LO12" s="9"/>
      <c r="LP12" s="9"/>
      <c r="LQ12" s="9"/>
      <c r="LR12" s="9"/>
      <c r="LS12" s="9"/>
      <c r="LT12" s="9"/>
      <c r="LU12" s="9"/>
      <c r="LV12" s="9"/>
      <c r="LW12" s="9"/>
      <c r="LX12" s="9"/>
      <c r="LY12" s="9"/>
      <c r="LZ12" s="9"/>
      <c r="MA12" s="9"/>
      <c r="MB12" s="9"/>
      <c r="MC12" s="9"/>
      <c r="MD12" s="9"/>
      <c r="ME12" s="9"/>
      <c r="MF12" s="9"/>
      <c r="MG12" s="9"/>
      <c r="MH12" s="9"/>
      <c r="MI12" s="9"/>
      <c r="MJ12" s="9"/>
      <c r="MK12" s="9"/>
      <c r="ML12" s="9"/>
      <c r="MM12" s="9"/>
      <c r="MN12" s="9"/>
      <c r="MO12" s="9"/>
      <c r="MP12" s="9"/>
      <c r="MQ12" s="9"/>
      <c r="MR12" s="9"/>
      <c r="MS12" s="9"/>
      <c r="MT12" s="9"/>
      <c r="MU12" s="9"/>
      <c r="MV12" s="9"/>
      <c r="MW12" s="9"/>
      <c r="MX12" s="9"/>
      <c r="MY12" s="9"/>
      <c r="MZ12" s="9"/>
      <c r="NA12" s="9"/>
      <c r="NB12" s="9"/>
      <c r="NC12" s="9"/>
      <c r="ND12" s="9"/>
      <c r="NE12" s="9"/>
      <c r="NF12" s="9"/>
      <c r="NG12" s="9"/>
      <c r="NH12" s="9"/>
      <c r="NI12" s="9"/>
      <c r="NJ12" s="9"/>
      <c r="NK12" s="9"/>
      <c r="NL12" s="9"/>
      <c r="NM12" s="9"/>
      <c r="NN12" s="9"/>
      <c r="NO12" s="9"/>
      <c r="NP12" s="9"/>
      <c r="NQ12" s="9"/>
      <c r="NR12" s="9"/>
      <c r="NS12" s="9"/>
      <c r="NT12" s="9"/>
      <c r="NU12" s="9"/>
      <c r="NV12" s="9"/>
      <c r="NW12" s="9"/>
      <c r="NX12" s="9"/>
      <c r="NY12" s="9"/>
      <c r="NZ12" s="9"/>
      <c r="OA12" s="9"/>
      <c r="OB12" s="9"/>
      <c r="OC12" s="9"/>
      <c r="OD12" s="9"/>
      <c r="OE12" s="9"/>
      <c r="OF12" s="9"/>
      <c r="OG12" s="9"/>
      <c r="OH12" s="9"/>
      <c r="OI12" s="9"/>
      <c r="OJ12" s="9"/>
      <c r="OK12" s="9"/>
      <c r="OL12" s="9"/>
      <c r="OM12" s="9"/>
      <c r="ON12" s="9"/>
      <c r="OO12" s="9"/>
      <c r="OP12" s="9"/>
      <c r="OQ12" s="9"/>
      <c r="OR12" s="9"/>
      <c r="OS12" s="9"/>
      <c r="OT12" s="9"/>
      <c r="OU12" s="9"/>
      <c r="OV12" s="9"/>
      <c r="OW12" s="9"/>
      <c r="OX12" s="9"/>
      <c r="OY12" s="9"/>
      <c r="OZ12" s="9"/>
      <c r="PA12" s="9"/>
      <c r="PB12" s="9"/>
      <c r="PC12" s="9"/>
      <c r="PD12" s="9"/>
      <c r="PE12" s="9"/>
      <c r="PF12" s="9"/>
      <c r="PG12" s="9"/>
      <c r="PH12" s="9"/>
      <c r="PI12" s="9"/>
      <c r="PJ12" s="9"/>
      <c r="PK12" s="9"/>
      <c r="PL12" s="9"/>
      <c r="PM12" s="9"/>
      <c r="PN12" s="9"/>
      <c r="PO12" s="9"/>
      <c r="PP12" s="9"/>
      <c r="PQ12" s="9"/>
      <c r="PR12" s="9"/>
      <c r="PS12" s="9"/>
      <c r="PT12" s="9"/>
      <c r="PU12" s="9"/>
      <c r="PV12" s="9"/>
      <c r="PW12" s="9"/>
      <c r="PX12" s="9"/>
      <c r="PY12" s="9"/>
      <c r="PZ12" s="9"/>
      <c r="QA12" s="9"/>
      <c r="QB12" s="9"/>
      <c r="QC12" s="9"/>
      <c r="QD12" s="9"/>
      <c r="QE12" s="9"/>
      <c r="QF12" s="9"/>
      <c r="QG12" s="9"/>
      <c r="QH12" s="9"/>
      <c r="QI12" s="9"/>
      <c r="QJ12" s="9"/>
      <c r="QK12" s="9"/>
      <c r="QL12" s="9"/>
      <c r="QM12" s="9"/>
      <c r="QN12" s="9"/>
      <c r="QO12" s="9"/>
      <c r="QP12" s="9"/>
      <c r="QQ12" s="9"/>
      <c r="QR12" s="9"/>
      <c r="QS12" s="9"/>
      <c r="QT12" s="9"/>
      <c r="QU12" s="9"/>
      <c r="QV12" s="9"/>
      <c r="QW12" s="9"/>
      <c r="QX12" s="9"/>
      <c r="QY12" s="9"/>
      <c r="QZ12" s="9"/>
      <c r="RA12" s="9"/>
      <c r="RB12" s="9"/>
      <c r="RC12" s="9"/>
      <c r="RD12" s="9"/>
      <c r="RE12" s="9"/>
      <c r="RF12" s="9"/>
      <c r="RG12" s="9"/>
      <c r="RH12" s="9"/>
      <c r="RI12" s="9"/>
      <c r="RJ12" s="9"/>
      <c r="RK12" s="9"/>
      <c r="RL12" s="9"/>
      <c r="RM12" s="9"/>
      <c r="RN12" s="9"/>
      <c r="RO12" s="9"/>
      <c r="RP12" s="9"/>
      <c r="RQ12" s="9"/>
      <c r="RR12" s="9"/>
      <c r="RS12" s="9"/>
      <c r="RT12" s="9"/>
      <c r="RU12" s="9"/>
      <c r="RV12" s="9"/>
      <c r="RW12" s="9"/>
      <c r="RX12" s="9"/>
      <c r="RY12" s="9"/>
      <c r="RZ12" s="9"/>
      <c r="SA12" s="9"/>
      <c r="SB12" s="9"/>
      <c r="SC12" s="9"/>
      <c r="SD12" s="9"/>
      <c r="SE12" s="9"/>
      <c r="SF12" s="9"/>
      <c r="SG12" s="9"/>
      <c r="SH12" s="9"/>
      <c r="SI12" s="9"/>
      <c r="SJ12" s="9"/>
      <c r="SK12" s="9"/>
      <c r="SL12" s="9"/>
      <c r="SM12" s="9"/>
      <c r="SN12" s="9"/>
      <c r="SO12" s="9"/>
      <c r="SP12" s="9"/>
      <c r="SQ12" s="9"/>
      <c r="SR12" s="9"/>
      <c r="SS12" s="9"/>
      <c r="ST12" s="9"/>
      <c r="SU12" s="9"/>
      <c r="SV12" s="9"/>
      <c r="SW12" s="9"/>
      <c r="SX12" s="9"/>
      <c r="SY12" s="9"/>
      <c r="SZ12" s="9"/>
      <c r="TA12" s="9"/>
      <c r="TB12" s="9"/>
      <c r="TC12" s="9"/>
      <c r="TD12" s="9"/>
      <c r="TE12" s="9"/>
      <c r="TF12" s="9"/>
      <c r="TG12" s="9"/>
      <c r="TH12" s="9"/>
      <c r="TI12" s="9"/>
      <c r="TJ12" s="9"/>
      <c r="TK12" s="9"/>
      <c r="TL12" s="9"/>
      <c r="TM12" s="9"/>
      <c r="TN12" s="9"/>
      <c r="TO12" s="9"/>
      <c r="TP12" s="9"/>
      <c r="TQ12" s="9"/>
      <c r="TR12" s="9"/>
      <c r="TS12" s="9"/>
      <c r="TT12" s="9"/>
      <c r="TU12" s="9"/>
      <c r="TV12" s="9"/>
      <c r="TW12" s="9"/>
      <c r="TX12" s="9"/>
      <c r="TY12" s="9"/>
      <c r="TZ12" s="9"/>
      <c r="UA12" s="9"/>
      <c r="UB12" s="9"/>
      <c r="UC12" s="9"/>
      <c r="UD12" s="9"/>
      <c r="UE12" s="9"/>
      <c r="UF12" s="9"/>
      <c r="UG12" s="9"/>
      <c r="UH12" s="9"/>
      <c r="UI12" s="9"/>
      <c r="UJ12" s="9"/>
      <c r="UK12" s="9"/>
      <c r="UL12" s="9"/>
      <c r="UM12" s="9"/>
      <c r="UN12" s="9"/>
      <c r="UO12" s="9"/>
      <c r="UP12" s="9"/>
      <c r="UQ12" s="9"/>
      <c r="UR12" s="9"/>
      <c r="US12" s="9"/>
      <c r="UT12" s="9"/>
      <c r="UU12" s="9"/>
      <c r="UV12" s="9"/>
      <c r="UW12" s="9"/>
      <c r="UX12" s="9"/>
      <c r="UY12" s="9"/>
      <c r="UZ12" s="9"/>
      <c r="VA12" s="9"/>
      <c r="VB12" s="9"/>
      <c r="VC12" s="9"/>
      <c r="VD12" s="9"/>
      <c r="VE12" s="9"/>
      <c r="VF12" s="9"/>
      <c r="VG12" s="9"/>
      <c r="VH12" s="9"/>
      <c r="VI12" s="9"/>
      <c r="VJ12" s="9"/>
      <c r="VK12" s="9"/>
      <c r="VL12" s="9"/>
      <c r="VM12" s="9"/>
      <c r="VN12" s="9"/>
      <c r="VO12" s="9"/>
      <c r="VP12" s="9"/>
      <c r="VQ12" s="9"/>
      <c r="VR12" s="9"/>
      <c r="VS12" s="9"/>
      <c r="VT12" s="9"/>
      <c r="VU12" s="9"/>
      <c r="VV12" s="9"/>
      <c r="VW12" s="9"/>
      <c r="VX12" s="9"/>
      <c r="VY12" s="9"/>
      <c r="VZ12" s="9"/>
      <c r="WA12" s="9"/>
      <c r="WB12" s="9"/>
      <c r="WC12" s="9"/>
      <c r="WD12" s="9"/>
      <c r="WE12" s="9"/>
      <c r="WF12" s="9"/>
      <c r="WG12" s="9"/>
      <c r="WH12" s="9"/>
      <c r="WI12" s="9"/>
      <c r="WJ12" s="9"/>
      <c r="WK12" s="9"/>
      <c r="WL12" s="9"/>
      <c r="WM12" s="9"/>
      <c r="WN12" s="9"/>
      <c r="WO12" s="9"/>
      <c r="WP12" s="9"/>
      <c r="WQ12" s="9"/>
      <c r="WR12" s="9"/>
      <c r="WS12" s="9"/>
      <c r="WT12" s="9"/>
      <c r="WU12" s="9"/>
      <c r="WV12" s="9"/>
      <c r="WW12" s="9"/>
      <c r="WX12" s="9"/>
      <c r="WY12" s="9"/>
      <c r="WZ12" s="9"/>
      <c r="XA12" s="9"/>
      <c r="XB12" s="9"/>
      <c r="XC12" s="9"/>
      <c r="XD12" s="9"/>
      <c r="XE12" s="9"/>
      <c r="XF12" s="9"/>
      <c r="XG12" s="9"/>
      <c r="XH12" s="9"/>
      <c r="XI12" s="9"/>
      <c r="XJ12" s="9"/>
      <c r="XK12" s="9"/>
      <c r="XL12" s="9"/>
      <c r="XM12" s="9"/>
      <c r="XN12" s="9"/>
      <c r="XO12" s="9"/>
      <c r="XP12" s="9"/>
      <c r="XQ12" s="9"/>
      <c r="XR12" s="9"/>
      <c r="XS12" s="9"/>
      <c r="XT12" s="9"/>
      <c r="XU12" s="9"/>
      <c r="XV12" s="9"/>
      <c r="XW12" s="9"/>
      <c r="XX12" s="9"/>
      <c r="XY12" s="9"/>
      <c r="XZ12" s="9"/>
      <c r="YA12" s="9"/>
      <c r="YB12" s="9"/>
      <c r="YC12" s="9"/>
      <c r="YD12" s="9"/>
      <c r="YE12" s="9"/>
      <c r="YF12" s="9"/>
      <c r="YG12" s="9"/>
      <c r="YH12" s="9"/>
      <c r="YI12" s="9"/>
      <c r="YJ12" s="9"/>
      <c r="YK12" s="9"/>
      <c r="YL12" s="9"/>
      <c r="YM12" s="9"/>
      <c r="YN12" s="9"/>
      <c r="YO12" s="9"/>
      <c r="YP12" s="9"/>
      <c r="YQ12" s="9"/>
      <c r="YR12" s="9"/>
      <c r="YS12" s="9"/>
      <c r="YT12" s="9"/>
      <c r="YU12" s="9"/>
      <c r="YV12" s="9"/>
      <c r="YW12" s="9"/>
      <c r="YX12" s="9"/>
      <c r="YY12" s="9"/>
      <c r="YZ12" s="9"/>
      <c r="ZA12" s="9"/>
      <c r="ZB12" s="9"/>
      <c r="ZC12" s="9"/>
      <c r="ZD12" s="9"/>
      <c r="ZE12" s="9"/>
      <c r="ZF12" s="9"/>
      <c r="ZG12" s="9"/>
      <c r="ZH12" s="9"/>
      <c r="ZI12" s="9"/>
      <c r="ZJ12" s="9"/>
      <c r="ZK12" s="9"/>
      <c r="ZL12" s="9"/>
      <c r="ZM12" s="9"/>
      <c r="ZN12" s="9"/>
      <c r="ZO12" s="9"/>
      <c r="ZP12" s="9"/>
      <c r="ZQ12" s="9"/>
      <c r="ZR12" s="9"/>
      <c r="ZS12" s="9"/>
      <c r="ZT12" s="9"/>
      <c r="ZU12" s="9"/>
      <c r="ZV12" s="9"/>
      <c r="ZW12" s="9"/>
      <c r="ZX12" s="9"/>
      <c r="ZY12" s="9"/>
      <c r="ZZ12" s="9"/>
      <c r="AAA12" s="9"/>
      <c r="AAB12" s="9"/>
      <c r="AAC12" s="9"/>
      <c r="AAD12" s="9"/>
      <c r="AAE12" s="9"/>
      <c r="AAF12" s="9"/>
      <c r="AAG12" s="9"/>
      <c r="AAH12" s="9"/>
      <c r="AAI12" s="9"/>
      <c r="AAJ12" s="9"/>
      <c r="AAK12" s="9"/>
      <c r="AAL12" s="9"/>
      <c r="AAM12" s="9"/>
      <c r="AAN12" s="9"/>
      <c r="AAO12" s="9"/>
      <c r="AAP12" s="9"/>
      <c r="AAQ12" s="9"/>
      <c r="AAR12" s="9"/>
      <c r="AAS12" s="9"/>
      <c r="AAT12" s="9"/>
      <c r="AAU12" s="9"/>
      <c r="AAV12" s="9"/>
      <c r="AAW12" s="9"/>
      <c r="AAX12" s="9"/>
      <c r="AAY12" s="9"/>
      <c r="AAZ12" s="9"/>
      <c r="ABA12" s="9"/>
      <c r="ABB12" s="9"/>
      <c r="ABC12" s="9"/>
      <c r="ABD12" s="9"/>
      <c r="ABE12" s="9"/>
      <c r="ABF12" s="9"/>
      <c r="ABG12" s="9"/>
      <c r="ABH12" s="9"/>
      <c r="ABI12" s="9"/>
      <c r="ABJ12" s="9"/>
      <c r="ABK12" s="9"/>
      <c r="ABL12" s="9"/>
      <c r="ABM12" s="9"/>
      <c r="ABN12" s="9"/>
      <c r="ABO12" s="9"/>
      <c r="ABP12" s="9"/>
      <c r="ABQ12" s="9"/>
      <c r="ABR12" s="9"/>
      <c r="ABS12" s="9"/>
      <c r="ABT12" s="9"/>
      <c r="ABU12" s="9"/>
      <c r="ABV12" s="9"/>
      <c r="ABW12" s="9"/>
      <c r="ABX12" s="9"/>
      <c r="ABY12" s="9"/>
      <c r="ABZ12" s="9"/>
      <c r="ACA12" s="9"/>
      <c r="ACB12" s="9"/>
      <c r="ACC12" s="9"/>
      <c r="ACD12" s="9"/>
      <c r="ACE12" s="9"/>
      <c r="ACF12" s="9"/>
      <c r="ACG12" s="9"/>
      <c r="ACH12" s="9"/>
      <c r="ACI12" s="9"/>
      <c r="ACJ12" s="9"/>
      <c r="ACK12" s="9"/>
      <c r="ACL12" s="9"/>
      <c r="ACM12" s="9"/>
      <c r="ACN12" s="9"/>
      <c r="ACO12" s="9"/>
      <c r="ACP12" s="9"/>
      <c r="ACQ12" s="9"/>
      <c r="ACR12" s="9"/>
      <c r="ACS12" s="9"/>
      <c r="ACT12" s="9"/>
      <c r="ACU12" s="9"/>
      <c r="ACV12" s="9"/>
      <c r="ACW12" s="9"/>
      <c r="ACX12" s="9"/>
      <c r="ACY12" s="9"/>
      <c r="ACZ12" s="9"/>
      <c r="ADA12" s="9"/>
      <c r="ADB12" s="9"/>
      <c r="ADC12" s="9"/>
      <c r="ADD12" s="9"/>
      <c r="ADE12" s="9"/>
      <c r="ADF12" s="9"/>
      <c r="ADG12" s="9"/>
      <c r="ADH12" s="9"/>
      <c r="ADI12" s="9"/>
      <c r="ADJ12" s="9"/>
      <c r="ADK12" s="9"/>
      <c r="ADL12" s="9"/>
      <c r="ADM12" s="9"/>
      <c r="ADN12" s="9"/>
      <c r="ADO12" s="9"/>
      <c r="ADP12" s="9"/>
      <c r="ADQ12" s="9"/>
      <c r="ADR12" s="9"/>
      <c r="ADS12" s="9"/>
      <c r="ADT12" s="9"/>
      <c r="ADU12" s="9"/>
      <c r="ADV12" s="9"/>
      <c r="ADW12" s="9"/>
      <c r="ADX12" s="9"/>
      <c r="ADY12" s="9"/>
      <c r="ADZ12" s="9"/>
      <c r="AEA12" s="9"/>
      <c r="AEB12" s="9"/>
      <c r="AEC12" s="9"/>
      <c r="AED12" s="9"/>
      <c r="AEE12" s="9"/>
      <c r="AEF12" s="9"/>
      <c r="AEG12" s="9"/>
      <c r="AEH12" s="9"/>
      <c r="AEI12" s="9"/>
      <c r="AEJ12" s="9"/>
      <c r="AEK12" s="9"/>
      <c r="AEL12" s="9"/>
      <c r="AEM12" s="9"/>
      <c r="AEN12" s="9"/>
      <c r="AEO12" s="9"/>
      <c r="AEP12" s="9"/>
      <c r="AEQ12" s="9"/>
      <c r="AER12" s="9"/>
      <c r="AES12" s="9"/>
      <c r="AET12" s="9"/>
      <c r="AEU12" s="9"/>
      <c r="AEV12" s="9"/>
      <c r="AEW12" s="9"/>
      <c r="AEX12" s="9"/>
      <c r="AEY12" s="9"/>
      <c r="AEZ12" s="9"/>
      <c r="AFA12" s="9"/>
      <c r="AFB12" s="9"/>
      <c r="AFC12" s="9"/>
      <c r="AFD12" s="9"/>
      <c r="AFE12" s="9"/>
      <c r="AFF12" s="9"/>
      <c r="AFG12" s="9"/>
      <c r="AFH12" s="9"/>
      <c r="AFI12" s="9"/>
      <c r="AFJ12" s="9"/>
      <c r="AFK12" s="9"/>
      <c r="AFL12" s="9"/>
      <c r="AFM12" s="9"/>
      <c r="AFN12" s="9"/>
      <c r="AFO12" s="9"/>
      <c r="AFP12" s="9"/>
      <c r="AFQ12" s="9"/>
      <c r="AFR12" s="9"/>
      <c r="AFS12" s="9"/>
      <c r="AFT12" s="9"/>
      <c r="AFU12" s="9"/>
      <c r="AFV12" s="9"/>
      <c r="AFW12" s="9"/>
      <c r="AFX12" s="9"/>
      <c r="AFY12" s="9"/>
      <c r="AFZ12" s="9"/>
      <c r="AGA12" s="9"/>
      <c r="AGB12" s="9"/>
      <c r="AGC12" s="9"/>
      <c r="AGD12" s="9"/>
      <c r="AGE12" s="9"/>
      <c r="AGF12" s="9"/>
      <c r="AGG12" s="9"/>
      <c r="AGH12" s="9"/>
      <c r="AGI12" s="9"/>
      <c r="AGJ12" s="9"/>
      <c r="AGK12" s="9"/>
      <c r="AGL12" s="9"/>
      <c r="AGM12" s="9"/>
      <c r="AGN12" s="9"/>
      <c r="AGO12" s="9"/>
      <c r="AGP12" s="9"/>
      <c r="AGQ12" s="9"/>
      <c r="AGR12" s="9"/>
      <c r="AGS12" s="9"/>
      <c r="AGT12" s="9"/>
      <c r="AGU12" s="9"/>
      <c r="AGV12" s="9"/>
      <c r="AGW12" s="9"/>
      <c r="AGX12" s="9"/>
      <c r="AGY12" s="9"/>
      <c r="AGZ12" s="9"/>
      <c r="AHA12" s="9"/>
      <c r="AHB12" s="9"/>
      <c r="AHC12" s="9"/>
      <c r="AHD12" s="9"/>
      <c r="AHE12" s="9"/>
      <c r="AHF12" s="9"/>
      <c r="AHG12" s="9"/>
      <c r="AHH12" s="9"/>
      <c r="AHI12" s="9"/>
      <c r="AHJ12" s="9"/>
      <c r="AHK12" s="9"/>
      <c r="AHL12" s="9"/>
      <c r="AHM12" s="9"/>
      <c r="AHN12" s="9"/>
      <c r="AHO12" s="9"/>
      <c r="AHP12" s="9"/>
      <c r="AHQ12" s="9"/>
      <c r="AHR12" s="9"/>
      <c r="AHS12" s="9"/>
      <c r="AHT12" s="9"/>
      <c r="AHU12" s="9"/>
      <c r="AHV12" s="9"/>
      <c r="AHW12" s="9"/>
      <c r="AHX12" s="9"/>
      <c r="AHY12" s="9"/>
      <c r="AHZ12" s="9"/>
      <c r="AIA12" s="9"/>
      <c r="AIB12" s="9"/>
      <c r="AIC12" s="9"/>
      <c r="AID12" s="9"/>
      <c r="AIE12" s="9"/>
      <c r="AIF12" s="9"/>
      <c r="AIG12" s="9"/>
      <c r="AIH12" s="9"/>
      <c r="AII12" s="9"/>
      <c r="AIJ12" s="9"/>
      <c r="AIK12" s="9"/>
      <c r="AIL12" s="9"/>
      <c r="AIM12" s="9"/>
      <c r="AIN12" s="9"/>
      <c r="AIO12" s="9"/>
      <c r="AIP12" s="9"/>
      <c r="AIQ12" s="9"/>
      <c r="AIR12" s="9"/>
      <c r="AIS12" s="9"/>
      <c r="AIT12" s="9"/>
      <c r="AIU12" s="9"/>
      <c r="AIV12" s="9"/>
      <c r="AIW12" s="9"/>
      <c r="AIX12" s="9"/>
      <c r="AIY12" s="9"/>
      <c r="AIZ12" s="9"/>
      <c r="AJA12" s="9"/>
      <c r="AJB12" s="9"/>
      <c r="AJC12" s="9"/>
      <c r="AJD12" s="9"/>
      <c r="AJE12" s="9"/>
      <c r="AJF12" s="9"/>
      <c r="AJG12" s="9"/>
      <c r="AJH12" s="9"/>
      <c r="AJI12" s="9"/>
      <c r="AJJ12" s="9"/>
      <c r="AJK12" s="9"/>
      <c r="AJL12" s="9"/>
      <c r="AJM12" s="9"/>
      <c r="AJN12" s="9"/>
      <c r="AJO12" s="9"/>
      <c r="AJP12" s="9"/>
      <c r="AJQ12" s="9"/>
      <c r="AJR12" s="9"/>
      <c r="AJS12" s="9"/>
      <c r="AJT12" s="9"/>
      <c r="AJU12" s="9"/>
      <c r="AJV12" s="9"/>
      <c r="AJW12" s="9"/>
      <c r="AJX12" s="9"/>
      <c r="AJY12" s="9"/>
      <c r="AJZ12" s="9"/>
      <c r="AKA12" s="9"/>
      <c r="AKB12" s="9"/>
      <c r="AKC12" s="9"/>
      <c r="AKD12" s="9"/>
      <c r="AKE12" s="9"/>
      <c r="AKF12" s="9"/>
      <c r="AKG12" s="9"/>
      <c r="AKH12" s="9"/>
      <c r="AKI12" s="9"/>
      <c r="AKJ12" s="9"/>
      <c r="AKK12" s="9"/>
      <c r="AKL12" s="9"/>
      <c r="AKM12" s="9"/>
      <c r="AKN12" s="9"/>
      <c r="AKO12" s="9"/>
      <c r="AKP12" s="9"/>
      <c r="AKQ12" s="9"/>
      <c r="AKR12" s="9"/>
      <c r="AKS12" s="9"/>
      <c r="AKT12" s="9"/>
      <c r="AKU12" s="9"/>
      <c r="AKV12" s="9"/>
      <c r="AKW12" s="9"/>
      <c r="AKX12" s="9"/>
      <c r="AKY12" s="9"/>
      <c r="AKZ12" s="9"/>
      <c r="ALA12" s="9"/>
      <c r="ALB12" s="9"/>
      <c r="ALC12" s="9"/>
      <c r="ALD12" s="9"/>
      <c r="ALE12" s="9"/>
      <c r="ALF12" s="9"/>
      <c r="ALG12" s="9"/>
      <c r="ALH12" s="9"/>
      <c r="ALI12" s="9"/>
      <c r="ALJ12" s="9"/>
      <c r="ALK12" s="9"/>
      <c r="ALL12" s="9"/>
      <c r="ALM12" s="9"/>
      <c r="ALN12" s="9"/>
      <c r="ALO12" s="9"/>
      <c r="ALP12" s="9"/>
      <c r="ALQ12" s="9"/>
      <c r="ALR12" s="9"/>
      <c r="ALS12" s="9"/>
      <c r="ALT12" s="9"/>
      <c r="ALU12" s="9"/>
      <c r="ALV12" s="9"/>
      <c r="ALW12" s="9"/>
      <c r="ALX12" s="9"/>
      <c r="ALY12" s="9"/>
      <c r="ALZ12" s="9"/>
      <c r="AMA12" s="9"/>
      <c r="AMB12" s="9"/>
      <c r="AMC12" s="9"/>
      <c r="AMD12" s="9"/>
      <c r="AME12" s="9"/>
      <c r="AMF12" s="9"/>
      <c r="AMG12" s="9"/>
      <c r="AMH12" s="9"/>
      <c r="AMI12" s="9"/>
      <c r="AMJ12" s="9"/>
    </row>
    <row r="13" spans="1:1024" x14ac:dyDescent="0.35">
      <c r="A13" s="9" t="s">
        <v>321</v>
      </c>
      <c r="B13" s="9"/>
      <c r="C13" s="2" t="s">
        <v>322</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B13" s="9"/>
      <c r="JC13" s="9"/>
      <c r="JD13" s="9"/>
      <c r="JE13" s="9"/>
      <c r="JF13" s="9"/>
      <c r="JG13" s="9"/>
      <c r="JH13" s="9"/>
      <c r="JI13" s="9"/>
      <c r="JJ13" s="9"/>
      <c r="JK13" s="9"/>
      <c r="JL13" s="9"/>
      <c r="JM13" s="9"/>
      <c r="JN13" s="9"/>
      <c r="JO13" s="9"/>
      <c r="JP13" s="9"/>
      <c r="JQ13" s="9"/>
      <c r="JR13" s="9"/>
      <c r="JS13" s="9"/>
      <c r="JT13" s="9"/>
      <c r="JU13" s="9"/>
      <c r="JV13" s="9"/>
      <c r="JW13" s="9"/>
      <c r="JX13" s="9"/>
      <c r="JY13" s="9"/>
      <c r="JZ13" s="9"/>
      <c r="KA13" s="9"/>
      <c r="KB13" s="9"/>
      <c r="KC13" s="9"/>
      <c r="KD13" s="9"/>
      <c r="KE13" s="9"/>
      <c r="KF13" s="9"/>
      <c r="KG13" s="9"/>
      <c r="KH13" s="9"/>
      <c r="KI13" s="9"/>
      <c r="KJ13" s="9"/>
      <c r="KK13" s="9"/>
      <c r="KL13" s="9"/>
      <c r="KM13" s="9"/>
      <c r="KN13" s="9"/>
      <c r="KO13" s="9"/>
      <c r="KP13" s="9"/>
      <c r="KQ13" s="9"/>
      <c r="KR13" s="9"/>
      <c r="KS13" s="9"/>
      <c r="KT13" s="9"/>
      <c r="KU13" s="9"/>
      <c r="KV13" s="9"/>
      <c r="KW13" s="9"/>
      <c r="KX13" s="9"/>
      <c r="KY13" s="9"/>
      <c r="KZ13" s="9"/>
      <c r="LA13" s="9"/>
      <c r="LB13" s="9"/>
      <c r="LC13" s="9"/>
      <c r="LD13" s="9"/>
      <c r="LE13" s="9"/>
      <c r="LF13" s="9"/>
      <c r="LG13" s="9"/>
      <c r="LH13" s="9"/>
      <c r="LI13" s="9"/>
      <c r="LJ13" s="9"/>
      <c r="LK13" s="9"/>
      <c r="LL13" s="9"/>
      <c r="LM13" s="9"/>
      <c r="LN13" s="9"/>
      <c r="LO13" s="9"/>
      <c r="LP13" s="9"/>
      <c r="LQ13" s="9"/>
      <c r="LR13" s="9"/>
      <c r="LS13" s="9"/>
      <c r="LT13" s="9"/>
      <c r="LU13" s="9"/>
      <c r="LV13" s="9"/>
      <c r="LW13" s="9"/>
      <c r="LX13" s="9"/>
      <c r="LY13" s="9"/>
      <c r="LZ13" s="9"/>
      <c r="MA13" s="9"/>
      <c r="MB13" s="9"/>
      <c r="MC13" s="9"/>
      <c r="MD13" s="9"/>
      <c r="ME13" s="9"/>
      <c r="MF13" s="9"/>
      <c r="MG13" s="9"/>
      <c r="MH13" s="9"/>
      <c r="MI13" s="9"/>
      <c r="MJ13" s="9"/>
      <c r="MK13" s="9"/>
      <c r="ML13" s="9"/>
      <c r="MM13" s="9"/>
      <c r="MN13" s="9"/>
      <c r="MO13" s="9"/>
      <c r="MP13" s="9"/>
      <c r="MQ13" s="9"/>
      <c r="MR13" s="9"/>
      <c r="MS13" s="9"/>
      <c r="MT13" s="9"/>
      <c r="MU13" s="9"/>
      <c r="MV13" s="9"/>
      <c r="MW13" s="9"/>
      <c r="MX13" s="9"/>
      <c r="MY13" s="9"/>
      <c r="MZ13" s="9"/>
      <c r="NA13" s="9"/>
      <c r="NB13" s="9"/>
      <c r="NC13" s="9"/>
      <c r="ND13" s="9"/>
      <c r="NE13" s="9"/>
      <c r="NF13" s="9"/>
      <c r="NG13" s="9"/>
      <c r="NH13" s="9"/>
      <c r="NI13" s="9"/>
      <c r="NJ13" s="9"/>
      <c r="NK13" s="9"/>
      <c r="NL13" s="9"/>
      <c r="NM13" s="9"/>
      <c r="NN13" s="9"/>
      <c r="NO13" s="9"/>
      <c r="NP13" s="9"/>
      <c r="NQ13" s="9"/>
      <c r="NR13" s="9"/>
      <c r="NS13" s="9"/>
      <c r="NT13" s="9"/>
      <c r="NU13" s="9"/>
      <c r="NV13" s="9"/>
      <c r="NW13" s="9"/>
      <c r="NX13" s="9"/>
      <c r="NY13" s="9"/>
      <c r="NZ13" s="9"/>
      <c r="OA13" s="9"/>
      <c r="OB13" s="9"/>
      <c r="OC13" s="9"/>
      <c r="OD13" s="9"/>
      <c r="OE13" s="9"/>
      <c r="OF13" s="9"/>
      <c r="OG13" s="9"/>
      <c r="OH13" s="9"/>
      <c r="OI13" s="9"/>
      <c r="OJ13" s="9"/>
      <c r="OK13" s="9"/>
      <c r="OL13" s="9"/>
      <c r="OM13" s="9"/>
      <c r="ON13" s="9"/>
      <c r="OO13" s="9"/>
      <c r="OP13" s="9"/>
      <c r="OQ13" s="9"/>
      <c r="OR13" s="9"/>
      <c r="OS13" s="9"/>
      <c r="OT13" s="9"/>
      <c r="OU13" s="9"/>
      <c r="OV13" s="9"/>
      <c r="OW13" s="9"/>
      <c r="OX13" s="9"/>
      <c r="OY13" s="9"/>
      <c r="OZ13" s="9"/>
      <c r="PA13" s="9"/>
      <c r="PB13" s="9"/>
      <c r="PC13" s="9"/>
      <c r="PD13" s="9"/>
      <c r="PE13" s="9"/>
      <c r="PF13" s="9"/>
      <c r="PG13" s="9"/>
      <c r="PH13" s="9"/>
      <c r="PI13" s="9"/>
      <c r="PJ13" s="9"/>
      <c r="PK13" s="9"/>
      <c r="PL13" s="9"/>
      <c r="PM13" s="9"/>
      <c r="PN13" s="9"/>
      <c r="PO13" s="9"/>
      <c r="PP13" s="9"/>
      <c r="PQ13" s="9"/>
      <c r="PR13" s="9"/>
      <c r="PS13" s="9"/>
      <c r="PT13" s="9"/>
      <c r="PU13" s="9"/>
      <c r="PV13" s="9"/>
      <c r="PW13" s="9"/>
      <c r="PX13" s="9"/>
      <c r="PY13" s="9"/>
      <c r="PZ13" s="9"/>
      <c r="QA13" s="9"/>
      <c r="QB13" s="9"/>
      <c r="QC13" s="9"/>
      <c r="QD13" s="9"/>
      <c r="QE13" s="9"/>
      <c r="QF13" s="9"/>
      <c r="QG13" s="9"/>
      <c r="QH13" s="9"/>
      <c r="QI13" s="9"/>
      <c r="QJ13" s="9"/>
      <c r="QK13" s="9"/>
      <c r="QL13" s="9"/>
      <c r="QM13" s="9"/>
      <c r="QN13" s="9"/>
      <c r="QO13" s="9"/>
      <c r="QP13" s="9"/>
      <c r="QQ13" s="9"/>
      <c r="QR13" s="9"/>
      <c r="QS13" s="9"/>
      <c r="QT13" s="9"/>
      <c r="QU13" s="9"/>
      <c r="QV13" s="9"/>
      <c r="QW13" s="9"/>
      <c r="QX13" s="9"/>
      <c r="QY13" s="9"/>
      <c r="QZ13" s="9"/>
      <c r="RA13" s="9"/>
      <c r="RB13" s="9"/>
      <c r="RC13" s="9"/>
      <c r="RD13" s="9"/>
      <c r="RE13" s="9"/>
      <c r="RF13" s="9"/>
      <c r="RG13" s="9"/>
      <c r="RH13" s="9"/>
      <c r="RI13" s="9"/>
      <c r="RJ13" s="9"/>
      <c r="RK13" s="9"/>
      <c r="RL13" s="9"/>
      <c r="RM13" s="9"/>
      <c r="RN13" s="9"/>
      <c r="RO13" s="9"/>
      <c r="RP13" s="9"/>
      <c r="RQ13" s="9"/>
      <c r="RR13" s="9"/>
      <c r="RS13" s="9"/>
      <c r="RT13" s="9"/>
      <c r="RU13" s="9"/>
      <c r="RV13" s="9"/>
      <c r="RW13" s="9"/>
      <c r="RX13" s="9"/>
      <c r="RY13" s="9"/>
      <c r="RZ13" s="9"/>
      <c r="SA13" s="9"/>
      <c r="SB13" s="9"/>
      <c r="SC13" s="9"/>
      <c r="SD13" s="9"/>
      <c r="SE13" s="9"/>
      <c r="SF13" s="9"/>
      <c r="SG13" s="9"/>
      <c r="SH13" s="9"/>
      <c r="SI13" s="9"/>
      <c r="SJ13" s="9"/>
      <c r="SK13" s="9"/>
      <c r="SL13" s="9"/>
      <c r="SM13" s="9"/>
      <c r="SN13" s="9"/>
      <c r="SO13" s="9"/>
      <c r="SP13" s="9"/>
      <c r="SQ13" s="9"/>
      <c r="SR13" s="9"/>
      <c r="SS13" s="9"/>
      <c r="ST13" s="9"/>
      <c r="SU13" s="9"/>
      <c r="SV13" s="9"/>
      <c r="SW13" s="9"/>
      <c r="SX13" s="9"/>
      <c r="SY13" s="9"/>
      <c r="SZ13" s="9"/>
      <c r="TA13" s="9"/>
      <c r="TB13" s="9"/>
      <c r="TC13" s="9"/>
      <c r="TD13" s="9"/>
      <c r="TE13" s="9"/>
      <c r="TF13" s="9"/>
      <c r="TG13" s="9"/>
      <c r="TH13" s="9"/>
      <c r="TI13" s="9"/>
      <c r="TJ13" s="9"/>
      <c r="TK13" s="9"/>
      <c r="TL13" s="9"/>
      <c r="TM13" s="9"/>
      <c r="TN13" s="9"/>
      <c r="TO13" s="9"/>
      <c r="TP13" s="9"/>
      <c r="TQ13" s="9"/>
      <c r="TR13" s="9"/>
      <c r="TS13" s="9"/>
      <c r="TT13" s="9"/>
      <c r="TU13" s="9"/>
      <c r="TV13" s="9"/>
      <c r="TW13" s="9"/>
      <c r="TX13" s="9"/>
      <c r="TY13" s="9"/>
      <c r="TZ13" s="9"/>
      <c r="UA13" s="9"/>
      <c r="UB13" s="9"/>
      <c r="UC13" s="9"/>
      <c r="UD13" s="9"/>
      <c r="UE13" s="9"/>
      <c r="UF13" s="9"/>
      <c r="UG13" s="9"/>
      <c r="UH13" s="9"/>
      <c r="UI13" s="9"/>
      <c r="UJ13" s="9"/>
      <c r="UK13" s="9"/>
      <c r="UL13" s="9"/>
      <c r="UM13" s="9"/>
      <c r="UN13" s="9"/>
      <c r="UO13" s="9"/>
      <c r="UP13" s="9"/>
      <c r="UQ13" s="9"/>
      <c r="UR13" s="9"/>
      <c r="US13" s="9"/>
      <c r="UT13" s="9"/>
      <c r="UU13" s="9"/>
      <c r="UV13" s="9"/>
      <c r="UW13" s="9"/>
      <c r="UX13" s="9"/>
      <c r="UY13" s="9"/>
      <c r="UZ13" s="9"/>
      <c r="VA13" s="9"/>
      <c r="VB13" s="9"/>
      <c r="VC13" s="9"/>
      <c r="VD13" s="9"/>
      <c r="VE13" s="9"/>
      <c r="VF13" s="9"/>
      <c r="VG13" s="9"/>
      <c r="VH13" s="9"/>
      <c r="VI13" s="9"/>
      <c r="VJ13" s="9"/>
      <c r="VK13" s="9"/>
      <c r="VL13" s="9"/>
      <c r="VM13" s="9"/>
      <c r="VN13" s="9"/>
      <c r="VO13" s="9"/>
      <c r="VP13" s="9"/>
      <c r="VQ13" s="9"/>
      <c r="VR13" s="9"/>
      <c r="VS13" s="9"/>
      <c r="VT13" s="9"/>
      <c r="VU13" s="9"/>
      <c r="VV13" s="9"/>
      <c r="VW13" s="9"/>
      <c r="VX13" s="9"/>
      <c r="VY13" s="9"/>
      <c r="VZ13" s="9"/>
      <c r="WA13" s="9"/>
      <c r="WB13" s="9"/>
      <c r="WC13" s="9"/>
      <c r="WD13" s="9"/>
      <c r="WE13" s="9"/>
      <c r="WF13" s="9"/>
      <c r="WG13" s="9"/>
      <c r="WH13" s="9"/>
      <c r="WI13" s="9"/>
      <c r="WJ13" s="9"/>
      <c r="WK13" s="9"/>
      <c r="WL13" s="9"/>
      <c r="WM13" s="9"/>
      <c r="WN13" s="9"/>
      <c r="WO13" s="9"/>
      <c r="WP13" s="9"/>
      <c r="WQ13" s="9"/>
      <c r="WR13" s="9"/>
      <c r="WS13" s="9"/>
      <c r="WT13" s="9"/>
      <c r="WU13" s="9"/>
      <c r="WV13" s="9"/>
      <c r="WW13" s="9"/>
      <c r="WX13" s="9"/>
      <c r="WY13" s="9"/>
      <c r="WZ13" s="9"/>
      <c r="XA13" s="9"/>
      <c r="XB13" s="9"/>
      <c r="XC13" s="9"/>
      <c r="XD13" s="9"/>
      <c r="XE13" s="9"/>
      <c r="XF13" s="9"/>
      <c r="XG13" s="9"/>
      <c r="XH13" s="9"/>
      <c r="XI13" s="9"/>
      <c r="XJ13" s="9"/>
      <c r="XK13" s="9"/>
      <c r="XL13" s="9"/>
      <c r="XM13" s="9"/>
      <c r="XN13" s="9"/>
      <c r="XO13" s="9"/>
      <c r="XP13" s="9"/>
      <c r="XQ13" s="9"/>
      <c r="XR13" s="9"/>
      <c r="XS13" s="9"/>
      <c r="XT13" s="9"/>
      <c r="XU13" s="9"/>
      <c r="XV13" s="9"/>
      <c r="XW13" s="9"/>
      <c r="XX13" s="9"/>
      <c r="XY13" s="9"/>
      <c r="XZ13" s="9"/>
      <c r="YA13" s="9"/>
      <c r="YB13" s="9"/>
      <c r="YC13" s="9"/>
      <c r="YD13" s="9"/>
      <c r="YE13" s="9"/>
      <c r="YF13" s="9"/>
      <c r="YG13" s="9"/>
      <c r="YH13" s="9"/>
      <c r="YI13" s="9"/>
      <c r="YJ13" s="9"/>
      <c r="YK13" s="9"/>
      <c r="YL13" s="9"/>
      <c r="YM13" s="9"/>
      <c r="YN13" s="9"/>
      <c r="YO13" s="9"/>
      <c r="YP13" s="9"/>
      <c r="YQ13" s="9"/>
      <c r="YR13" s="9"/>
      <c r="YS13" s="9"/>
      <c r="YT13" s="9"/>
      <c r="YU13" s="9"/>
      <c r="YV13" s="9"/>
      <c r="YW13" s="9"/>
      <c r="YX13" s="9"/>
      <c r="YY13" s="9"/>
      <c r="YZ13" s="9"/>
      <c r="ZA13" s="9"/>
      <c r="ZB13" s="9"/>
      <c r="ZC13" s="9"/>
      <c r="ZD13" s="9"/>
      <c r="ZE13" s="9"/>
      <c r="ZF13" s="9"/>
      <c r="ZG13" s="9"/>
      <c r="ZH13" s="9"/>
      <c r="ZI13" s="9"/>
      <c r="ZJ13" s="9"/>
      <c r="ZK13" s="9"/>
      <c r="ZL13" s="9"/>
      <c r="ZM13" s="9"/>
      <c r="ZN13" s="9"/>
      <c r="ZO13" s="9"/>
      <c r="ZP13" s="9"/>
      <c r="ZQ13" s="9"/>
      <c r="ZR13" s="9"/>
      <c r="ZS13" s="9"/>
      <c r="ZT13" s="9"/>
      <c r="ZU13" s="9"/>
      <c r="ZV13" s="9"/>
      <c r="ZW13" s="9"/>
      <c r="ZX13" s="9"/>
      <c r="ZY13" s="9"/>
      <c r="ZZ13" s="9"/>
      <c r="AAA13" s="9"/>
      <c r="AAB13" s="9"/>
      <c r="AAC13" s="9"/>
      <c r="AAD13" s="9"/>
      <c r="AAE13" s="9"/>
      <c r="AAF13" s="9"/>
      <c r="AAG13" s="9"/>
      <c r="AAH13" s="9"/>
      <c r="AAI13" s="9"/>
      <c r="AAJ13" s="9"/>
      <c r="AAK13" s="9"/>
      <c r="AAL13" s="9"/>
      <c r="AAM13" s="9"/>
      <c r="AAN13" s="9"/>
      <c r="AAO13" s="9"/>
      <c r="AAP13" s="9"/>
      <c r="AAQ13" s="9"/>
      <c r="AAR13" s="9"/>
      <c r="AAS13" s="9"/>
      <c r="AAT13" s="9"/>
      <c r="AAU13" s="9"/>
      <c r="AAV13" s="9"/>
      <c r="AAW13" s="9"/>
      <c r="AAX13" s="9"/>
      <c r="AAY13" s="9"/>
      <c r="AAZ13" s="9"/>
      <c r="ABA13" s="9"/>
      <c r="ABB13" s="9"/>
      <c r="ABC13" s="9"/>
      <c r="ABD13" s="9"/>
      <c r="ABE13" s="9"/>
      <c r="ABF13" s="9"/>
      <c r="ABG13" s="9"/>
      <c r="ABH13" s="9"/>
      <c r="ABI13" s="9"/>
      <c r="ABJ13" s="9"/>
      <c r="ABK13" s="9"/>
      <c r="ABL13" s="9"/>
      <c r="ABM13" s="9"/>
      <c r="ABN13" s="9"/>
      <c r="ABO13" s="9"/>
      <c r="ABP13" s="9"/>
      <c r="ABQ13" s="9"/>
      <c r="ABR13" s="9"/>
      <c r="ABS13" s="9"/>
      <c r="ABT13" s="9"/>
      <c r="ABU13" s="9"/>
      <c r="ABV13" s="9"/>
      <c r="ABW13" s="9"/>
      <c r="ABX13" s="9"/>
      <c r="ABY13" s="9"/>
      <c r="ABZ13" s="9"/>
      <c r="ACA13" s="9"/>
      <c r="ACB13" s="9"/>
      <c r="ACC13" s="9"/>
      <c r="ACD13" s="9"/>
      <c r="ACE13" s="9"/>
      <c r="ACF13" s="9"/>
      <c r="ACG13" s="9"/>
      <c r="ACH13" s="9"/>
      <c r="ACI13" s="9"/>
      <c r="ACJ13" s="9"/>
      <c r="ACK13" s="9"/>
      <c r="ACL13" s="9"/>
      <c r="ACM13" s="9"/>
      <c r="ACN13" s="9"/>
      <c r="ACO13" s="9"/>
      <c r="ACP13" s="9"/>
      <c r="ACQ13" s="9"/>
      <c r="ACR13" s="9"/>
      <c r="ACS13" s="9"/>
      <c r="ACT13" s="9"/>
      <c r="ACU13" s="9"/>
      <c r="ACV13" s="9"/>
      <c r="ACW13" s="9"/>
      <c r="ACX13" s="9"/>
      <c r="ACY13" s="9"/>
      <c r="ACZ13" s="9"/>
      <c r="ADA13" s="9"/>
      <c r="ADB13" s="9"/>
      <c r="ADC13" s="9"/>
      <c r="ADD13" s="9"/>
      <c r="ADE13" s="9"/>
      <c r="ADF13" s="9"/>
      <c r="ADG13" s="9"/>
      <c r="ADH13" s="9"/>
      <c r="ADI13" s="9"/>
      <c r="ADJ13" s="9"/>
      <c r="ADK13" s="9"/>
      <c r="ADL13" s="9"/>
      <c r="ADM13" s="9"/>
      <c r="ADN13" s="9"/>
      <c r="ADO13" s="9"/>
      <c r="ADP13" s="9"/>
      <c r="ADQ13" s="9"/>
      <c r="ADR13" s="9"/>
      <c r="ADS13" s="9"/>
      <c r="ADT13" s="9"/>
      <c r="ADU13" s="9"/>
      <c r="ADV13" s="9"/>
      <c r="ADW13" s="9"/>
      <c r="ADX13" s="9"/>
      <c r="ADY13" s="9"/>
      <c r="ADZ13" s="9"/>
      <c r="AEA13" s="9"/>
      <c r="AEB13" s="9"/>
      <c r="AEC13" s="9"/>
      <c r="AED13" s="9"/>
      <c r="AEE13" s="9"/>
      <c r="AEF13" s="9"/>
      <c r="AEG13" s="9"/>
      <c r="AEH13" s="9"/>
      <c r="AEI13" s="9"/>
      <c r="AEJ13" s="9"/>
      <c r="AEK13" s="9"/>
      <c r="AEL13" s="9"/>
      <c r="AEM13" s="9"/>
      <c r="AEN13" s="9"/>
      <c r="AEO13" s="9"/>
      <c r="AEP13" s="9"/>
      <c r="AEQ13" s="9"/>
      <c r="AER13" s="9"/>
      <c r="AES13" s="9"/>
      <c r="AET13" s="9"/>
      <c r="AEU13" s="9"/>
      <c r="AEV13" s="9"/>
      <c r="AEW13" s="9"/>
      <c r="AEX13" s="9"/>
      <c r="AEY13" s="9"/>
      <c r="AEZ13" s="9"/>
      <c r="AFA13" s="9"/>
      <c r="AFB13" s="9"/>
      <c r="AFC13" s="9"/>
      <c r="AFD13" s="9"/>
      <c r="AFE13" s="9"/>
      <c r="AFF13" s="9"/>
      <c r="AFG13" s="9"/>
      <c r="AFH13" s="9"/>
      <c r="AFI13" s="9"/>
      <c r="AFJ13" s="9"/>
      <c r="AFK13" s="9"/>
      <c r="AFL13" s="9"/>
      <c r="AFM13" s="9"/>
      <c r="AFN13" s="9"/>
      <c r="AFO13" s="9"/>
      <c r="AFP13" s="9"/>
      <c r="AFQ13" s="9"/>
      <c r="AFR13" s="9"/>
      <c r="AFS13" s="9"/>
      <c r="AFT13" s="9"/>
      <c r="AFU13" s="9"/>
      <c r="AFV13" s="9"/>
      <c r="AFW13" s="9"/>
      <c r="AFX13" s="9"/>
      <c r="AFY13" s="9"/>
      <c r="AFZ13" s="9"/>
      <c r="AGA13" s="9"/>
      <c r="AGB13" s="9"/>
      <c r="AGC13" s="9"/>
      <c r="AGD13" s="9"/>
      <c r="AGE13" s="9"/>
      <c r="AGF13" s="9"/>
      <c r="AGG13" s="9"/>
      <c r="AGH13" s="9"/>
      <c r="AGI13" s="9"/>
      <c r="AGJ13" s="9"/>
      <c r="AGK13" s="9"/>
      <c r="AGL13" s="9"/>
      <c r="AGM13" s="9"/>
      <c r="AGN13" s="9"/>
      <c r="AGO13" s="9"/>
      <c r="AGP13" s="9"/>
      <c r="AGQ13" s="9"/>
      <c r="AGR13" s="9"/>
      <c r="AGS13" s="9"/>
      <c r="AGT13" s="9"/>
      <c r="AGU13" s="9"/>
      <c r="AGV13" s="9"/>
      <c r="AGW13" s="9"/>
      <c r="AGX13" s="9"/>
      <c r="AGY13" s="9"/>
      <c r="AGZ13" s="9"/>
      <c r="AHA13" s="9"/>
      <c r="AHB13" s="9"/>
      <c r="AHC13" s="9"/>
      <c r="AHD13" s="9"/>
      <c r="AHE13" s="9"/>
      <c r="AHF13" s="9"/>
      <c r="AHG13" s="9"/>
      <c r="AHH13" s="9"/>
      <c r="AHI13" s="9"/>
      <c r="AHJ13" s="9"/>
      <c r="AHK13" s="9"/>
      <c r="AHL13" s="9"/>
      <c r="AHM13" s="9"/>
      <c r="AHN13" s="9"/>
      <c r="AHO13" s="9"/>
      <c r="AHP13" s="9"/>
      <c r="AHQ13" s="9"/>
      <c r="AHR13" s="9"/>
      <c r="AHS13" s="9"/>
      <c r="AHT13" s="9"/>
      <c r="AHU13" s="9"/>
      <c r="AHV13" s="9"/>
      <c r="AHW13" s="9"/>
      <c r="AHX13" s="9"/>
      <c r="AHY13" s="9"/>
      <c r="AHZ13" s="9"/>
      <c r="AIA13" s="9"/>
      <c r="AIB13" s="9"/>
      <c r="AIC13" s="9"/>
      <c r="AID13" s="9"/>
      <c r="AIE13" s="9"/>
      <c r="AIF13" s="9"/>
      <c r="AIG13" s="9"/>
      <c r="AIH13" s="9"/>
      <c r="AII13" s="9"/>
      <c r="AIJ13" s="9"/>
      <c r="AIK13" s="9"/>
      <c r="AIL13" s="9"/>
      <c r="AIM13" s="9"/>
      <c r="AIN13" s="9"/>
      <c r="AIO13" s="9"/>
      <c r="AIP13" s="9"/>
      <c r="AIQ13" s="9"/>
      <c r="AIR13" s="9"/>
      <c r="AIS13" s="9"/>
      <c r="AIT13" s="9"/>
      <c r="AIU13" s="9"/>
      <c r="AIV13" s="9"/>
      <c r="AIW13" s="9"/>
      <c r="AIX13" s="9"/>
      <c r="AIY13" s="9"/>
      <c r="AIZ13" s="9"/>
      <c r="AJA13" s="9"/>
      <c r="AJB13" s="9"/>
      <c r="AJC13" s="9"/>
      <c r="AJD13" s="9"/>
      <c r="AJE13" s="9"/>
      <c r="AJF13" s="9"/>
      <c r="AJG13" s="9"/>
      <c r="AJH13" s="9"/>
      <c r="AJI13" s="9"/>
      <c r="AJJ13" s="9"/>
      <c r="AJK13" s="9"/>
      <c r="AJL13" s="9"/>
      <c r="AJM13" s="9"/>
      <c r="AJN13" s="9"/>
      <c r="AJO13" s="9"/>
      <c r="AJP13" s="9"/>
      <c r="AJQ13" s="9"/>
      <c r="AJR13" s="9"/>
      <c r="AJS13" s="9"/>
      <c r="AJT13" s="9"/>
      <c r="AJU13" s="9"/>
      <c r="AJV13" s="9"/>
      <c r="AJW13" s="9"/>
      <c r="AJX13" s="9"/>
      <c r="AJY13" s="9"/>
      <c r="AJZ13" s="9"/>
      <c r="AKA13" s="9"/>
      <c r="AKB13" s="9"/>
      <c r="AKC13" s="9"/>
      <c r="AKD13" s="9"/>
      <c r="AKE13" s="9"/>
      <c r="AKF13" s="9"/>
      <c r="AKG13" s="9"/>
      <c r="AKH13" s="9"/>
      <c r="AKI13" s="9"/>
      <c r="AKJ13" s="9"/>
      <c r="AKK13" s="9"/>
      <c r="AKL13" s="9"/>
      <c r="AKM13" s="9"/>
      <c r="AKN13" s="9"/>
      <c r="AKO13" s="9"/>
      <c r="AKP13" s="9"/>
      <c r="AKQ13" s="9"/>
      <c r="AKR13" s="9"/>
      <c r="AKS13" s="9"/>
      <c r="AKT13" s="9"/>
      <c r="AKU13" s="9"/>
      <c r="AKV13" s="9"/>
      <c r="AKW13" s="9"/>
      <c r="AKX13" s="9"/>
      <c r="AKY13" s="9"/>
      <c r="AKZ13" s="9"/>
      <c r="ALA13" s="9"/>
      <c r="ALB13" s="9"/>
      <c r="ALC13" s="9"/>
      <c r="ALD13" s="9"/>
      <c r="ALE13" s="9"/>
      <c r="ALF13" s="9"/>
      <c r="ALG13" s="9"/>
      <c r="ALH13" s="9"/>
      <c r="ALI13" s="9"/>
      <c r="ALJ13" s="9"/>
      <c r="ALK13" s="9"/>
      <c r="ALL13" s="9"/>
      <c r="ALM13" s="9"/>
      <c r="ALN13" s="9"/>
      <c r="ALO13" s="9"/>
      <c r="ALP13" s="9"/>
      <c r="ALQ13" s="9"/>
      <c r="ALR13" s="9"/>
      <c r="ALS13" s="9"/>
      <c r="ALT13" s="9"/>
      <c r="ALU13" s="9"/>
      <c r="ALV13" s="9"/>
      <c r="ALW13" s="9"/>
      <c r="ALX13" s="9"/>
      <c r="ALY13" s="9"/>
      <c r="ALZ13" s="9"/>
      <c r="AMA13" s="9"/>
      <c r="AMB13" s="9"/>
      <c r="AMC13" s="9"/>
      <c r="AMD13" s="9"/>
      <c r="AME13" s="9"/>
      <c r="AMF13" s="9"/>
      <c r="AMG13" s="9"/>
      <c r="AMH13" s="9"/>
      <c r="AMI13" s="9"/>
      <c r="AMJ13" s="9"/>
    </row>
    <row r="14" spans="1:1024" x14ac:dyDescent="0.35">
      <c r="A14" s="9"/>
      <c r="B14" s="9"/>
      <c r="C14" s="2"/>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B14" s="9"/>
      <c r="JC14" s="9"/>
      <c r="JD14" s="9"/>
      <c r="JE14" s="9"/>
      <c r="JF14" s="9"/>
      <c r="JG14" s="9"/>
      <c r="JH14" s="9"/>
      <c r="JI14" s="9"/>
      <c r="JJ14" s="9"/>
      <c r="JK14" s="9"/>
      <c r="JL14" s="9"/>
      <c r="JM14" s="9"/>
      <c r="JN14" s="9"/>
      <c r="JO14" s="9"/>
      <c r="JP14" s="9"/>
      <c r="JQ14" s="9"/>
      <c r="JR14" s="9"/>
      <c r="JS14" s="9"/>
      <c r="JT14" s="9"/>
      <c r="JU14" s="9"/>
      <c r="JV14" s="9"/>
      <c r="JW14" s="9"/>
      <c r="JX14" s="9"/>
      <c r="JY14" s="9"/>
      <c r="JZ14" s="9"/>
      <c r="KA14" s="9"/>
      <c r="KB14" s="9"/>
      <c r="KC14" s="9"/>
      <c r="KD14" s="9"/>
      <c r="KE14" s="9"/>
      <c r="KF14" s="9"/>
      <c r="KG14" s="9"/>
      <c r="KH14" s="9"/>
      <c r="KI14" s="9"/>
      <c r="KJ14" s="9"/>
      <c r="KK14" s="9"/>
      <c r="KL14" s="9"/>
      <c r="KM14" s="9"/>
      <c r="KN14" s="9"/>
      <c r="KO14" s="9"/>
      <c r="KP14" s="9"/>
      <c r="KQ14" s="9"/>
      <c r="KR14" s="9"/>
      <c r="KS14" s="9"/>
      <c r="KT14" s="9"/>
      <c r="KU14" s="9"/>
      <c r="KV14" s="9"/>
      <c r="KW14" s="9"/>
      <c r="KX14" s="9"/>
      <c r="KY14" s="9"/>
      <c r="KZ14" s="9"/>
      <c r="LA14" s="9"/>
      <c r="LB14" s="9"/>
      <c r="LC14" s="9"/>
      <c r="LD14" s="9"/>
      <c r="LE14" s="9"/>
      <c r="LF14" s="9"/>
      <c r="LG14" s="9"/>
      <c r="LH14" s="9"/>
      <c r="LI14" s="9"/>
      <c r="LJ14" s="9"/>
      <c r="LK14" s="9"/>
      <c r="LL14" s="9"/>
      <c r="LM14" s="9"/>
      <c r="LN14" s="9"/>
      <c r="LO14" s="9"/>
      <c r="LP14" s="9"/>
      <c r="LQ14" s="9"/>
      <c r="LR14" s="9"/>
      <c r="LS14" s="9"/>
      <c r="LT14" s="9"/>
      <c r="LU14" s="9"/>
      <c r="LV14" s="9"/>
      <c r="LW14" s="9"/>
      <c r="LX14" s="9"/>
      <c r="LY14" s="9"/>
      <c r="LZ14" s="9"/>
      <c r="MA14" s="9"/>
      <c r="MB14" s="9"/>
      <c r="MC14" s="9"/>
      <c r="MD14" s="9"/>
      <c r="ME14" s="9"/>
      <c r="MF14" s="9"/>
      <c r="MG14" s="9"/>
      <c r="MH14" s="9"/>
      <c r="MI14" s="9"/>
      <c r="MJ14" s="9"/>
      <c r="MK14" s="9"/>
      <c r="ML14" s="9"/>
      <c r="MM14" s="9"/>
      <c r="MN14" s="9"/>
      <c r="MO14" s="9"/>
      <c r="MP14" s="9"/>
      <c r="MQ14" s="9"/>
      <c r="MR14" s="9"/>
      <c r="MS14" s="9"/>
      <c r="MT14" s="9"/>
      <c r="MU14" s="9"/>
      <c r="MV14" s="9"/>
      <c r="MW14" s="9"/>
      <c r="MX14" s="9"/>
      <c r="MY14" s="9"/>
      <c r="MZ14" s="9"/>
      <c r="NA14" s="9"/>
      <c r="NB14" s="9"/>
      <c r="NC14" s="9"/>
      <c r="ND14" s="9"/>
      <c r="NE14" s="9"/>
      <c r="NF14" s="9"/>
      <c r="NG14" s="9"/>
      <c r="NH14" s="9"/>
      <c r="NI14" s="9"/>
      <c r="NJ14" s="9"/>
      <c r="NK14" s="9"/>
      <c r="NL14" s="9"/>
      <c r="NM14" s="9"/>
      <c r="NN14" s="9"/>
      <c r="NO14" s="9"/>
      <c r="NP14" s="9"/>
      <c r="NQ14" s="9"/>
      <c r="NR14" s="9"/>
      <c r="NS14" s="9"/>
      <c r="NT14" s="9"/>
      <c r="NU14" s="9"/>
      <c r="NV14" s="9"/>
      <c r="NW14" s="9"/>
      <c r="NX14" s="9"/>
      <c r="NY14" s="9"/>
      <c r="NZ14" s="9"/>
      <c r="OA14" s="9"/>
      <c r="OB14" s="9"/>
      <c r="OC14" s="9"/>
      <c r="OD14" s="9"/>
      <c r="OE14" s="9"/>
      <c r="OF14" s="9"/>
      <c r="OG14" s="9"/>
      <c r="OH14" s="9"/>
      <c r="OI14" s="9"/>
      <c r="OJ14" s="9"/>
      <c r="OK14" s="9"/>
      <c r="OL14" s="9"/>
      <c r="OM14" s="9"/>
      <c r="ON14" s="9"/>
      <c r="OO14" s="9"/>
      <c r="OP14" s="9"/>
      <c r="OQ14" s="9"/>
      <c r="OR14" s="9"/>
      <c r="OS14" s="9"/>
      <c r="OT14" s="9"/>
      <c r="OU14" s="9"/>
      <c r="OV14" s="9"/>
      <c r="OW14" s="9"/>
      <c r="OX14" s="9"/>
      <c r="OY14" s="9"/>
      <c r="OZ14" s="9"/>
      <c r="PA14" s="9"/>
      <c r="PB14" s="9"/>
      <c r="PC14" s="9"/>
      <c r="PD14" s="9"/>
      <c r="PE14" s="9"/>
      <c r="PF14" s="9"/>
      <c r="PG14" s="9"/>
      <c r="PH14" s="9"/>
      <c r="PI14" s="9"/>
      <c r="PJ14" s="9"/>
      <c r="PK14" s="9"/>
      <c r="PL14" s="9"/>
      <c r="PM14" s="9"/>
      <c r="PN14" s="9"/>
      <c r="PO14" s="9"/>
      <c r="PP14" s="9"/>
      <c r="PQ14" s="9"/>
      <c r="PR14" s="9"/>
      <c r="PS14" s="9"/>
      <c r="PT14" s="9"/>
      <c r="PU14" s="9"/>
      <c r="PV14" s="9"/>
      <c r="PW14" s="9"/>
      <c r="PX14" s="9"/>
      <c r="PY14" s="9"/>
      <c r="PZ14" s="9"/>
      <c r="QA14" s="9"/>
      <c r="QB14" s="9"/>
      <c r="QC14" s="9"/>
      <c r="QD14" s="9"/>
      <c r="QE14" s="9"/>
      <c r="QF14" s="9"/>
      <c r="QG14" s="9"/>
      <c r="QH14" s="9"/>
      <c r="QI14" s="9"/>
      <c r="QJ14" s="9"/>
      <c r="QK14" s="9"/>
      <c r="QL14" s="9"/>
      <c r="QM14" s="9"/>
      <c r="QN14" s="9"/>
      <c r="QO14" s="9"/>
      <c r="QP14" s="9"/>
      <c r="QQ14" s="9"/>
      <c r="QR14" s="9"/>
      <c r="QS14" s="9"/>
      <c r="QT14" s="9"/>
      <c r="QU14" s="9"/>
      <c r="QV14" s="9"/>
      <c r="QW14" s="9"/>
      <c r="QX14" s="9"/>
      <c r="QY14" s="9"/>
      <c r="QZ14" s="9"/>
      <c r="RA14" s="9"/>
      <c r="RB14" s="9"/>
      <c r="RC14" s="9"/>
      <c r="RD14" s="9"/>
      <c r="RE14" s="9"/>
      <c r="RF14" s="9"/>
      <c r="RG14" s="9"/>
      <c r="RH14" s="9"/>
      <c r="RI14" s="9"/>
      <c r="RJ14" s="9"/>
      <c r="RK14" s="9"/>
      <c r="RL14" s="9"/>
      <c r="RM14" s="9"/>
      <c r="RN14" s="9"/>
      <c r="RO14" s="9"/>
      <c r="RP14" s="9"/>
      <c r="RQ14" s="9"/>
      <c r="RR14" s="9"/>
      <c r="RS14" s="9"/>
      <c r="RT14" s="9"/>
      <c r="RU14" s="9"/>
      <c r="RV14" s="9"/>
      <c r="RW14" s="9"/>
      <c r="RX14" s="9"/>
      <c r="RY14" s="9"/>
      <c r="RZ14" s="9"/>
      <c r="SA14" s="9"/>
      <c r="SB14" s="9"/>
      <c r="SC14" s="9"/>
      <c r="SD14" s="9"/>
      <c r="SE14" s="9"/>
      <c r="SF14" s="9"/>
      <c r="SG14" s="9"/>
      <c r="SH14" s="9"/>
      <c r="SI14" s="9"/>
      <c r="SJ14" s="9"/>
      <c r="SK14" s="9"/>
      <c r="SL14" s="9"/>
      <c r="SM14" s="9"/>
      <c r="SN14" s="9"/>
      <c r="SO14" s="9"/>
      <c r="SP14" s="9"/>
      <c r="SQ14" s="9"/>
      <c r="SR14" s="9"/>
      <c r="SS14" s="9"/>
      <c r="ST14" s="9"/>
      <c r="SU14" s="9"/>
      <c r="SV14" s="9"/>
      <c r="SW14" s="9"/>
      <c r="SX14" s="9"/>
      <c r="SY14" s="9"/>
      <c r="SZ14" s="9"/>
      <c r="TA14" s="9"/>
      <c r="TB14" s="9"/>
      <c r="TC14" s="9"/>
      <c r="TD14" s="9"/>
      <c r="TE14" s="9"/>
      <c r="TF14" s="9"/>
      <c r="TG14" s="9"/>
      <c r="TH14" s="9"/>
      <c r="TI14" s="9"/>
      <c r="TJ14" s="9"/>
      <c r="TK14" s="9"/>
      <c r="TL14" s="9"/>
      <c r="TM14" s="9"/>
      <c r="TN14" s="9"/>
      <c r="TO14" s="9"/>
      <c r="TP14" s="9"/>
      <c r="TQ14" s="9"/>
      <c r="TR14" s="9"/>
      <c r="TS14" s="9"/>
      <c r="TT14" s="9"/>
      <c r="TU14" s="9"/>
      <c r="TV14" s="9"/>
      <c r="TW14" s="9"/>
      <c r="TX14" s="9"/>
      <c r="TY14" s="9"/>
      <c r="TZ14" s="9"/>
      <c r="UA14" s="9"/>
      <c r="UB14" s="9"/>
      <c r="UC14" s="9"/>
      <c r="UD14" s="9"/>
      <c r="UE14" s="9"/>
      <c r="UF14" s="9"/>
      <c r="UG14" s="9"/>
      <c r="UH14" s="9"/>
      <c r="UI14" s="9"/>
      <c r="UJ14" s="9"/>
      <c r="UK14" s="9"/>
      <c r="UL14" s="9"/>
      <c r="UM14" s="9"/>
      <c r="UN14" s="9"/>
      <c r="UO14" s="9"/>
      <c r="UP14" s="9"/>
      <c r="UQ14" s="9"/>
      <c r="UR14" s="9"/>
      <c r="US14" s="9"/>
      <c r="UT14" s="9"/>
      <c r="UU14" s="9"/>
      <c r="UV14" s="9"/>
      <c r="UW14" s="9"/>
      <c r="UX14" s="9"/>
      <c r="UY14" s="9"/>
      <c r="UZ14" s="9"/>
      <c r="VA14" s="9"/>
      <c r="VB14" s="9"/>
      <c r="VC14" s="9"/>
      <c r="VD14" s="9"/>
      <c r="VE14" s="9"/>
      <c r="VF14" s="9"/>
      <c r="VG14" s="9"/>
      <c r="VH14" s="9"/>
      <c r="VI14" s="9"/>
      <c r="VJ14" s="9"/>
      <c r="VK14" s="9"/>
      <c r="VL14" s="9"/>
      <c r="VM14" s="9"/>
      <c r="VN14" s="9"/>
      <c r="VO14" s="9"/>
      <c r="VP14" s="9"/>
      <c r="VQ14" s="9"/>
      <c r="VR14" s="9"/>
      <c r="VS14" s="9"/>
      <c r="VT14" s="9"/>
      <c r="VU14" s="9"/>
      <c r="VV14" s="9"/>
      <c r="VW14" s="9"/>
      <c r="VX14" s="9"/>
      <c r="VY14" s="9"/>
      <c r="VZ14" s="9"/>
      <c r="WA14" s="9"/>
      <c r="WB14" s="9"/>
      <c r="WC14" s="9"/>
      <c r="WD14" s="9"/>
      <c r="WE14" s="9"/>
      <c r="WF14" s="9"/>
      <c r="WG14" s="9"/>
      <c r="WH14" s="9"/>
      <c r="WI14" s="9"/>
      <c r="WJ14" s="9"/>
      <c r="WK14" s="9"/>
      <c r="WL14" s="9"/>
      <c r="WM14" s="9"/>
      <c r="WN14" s="9"/>
      <c r="WO14" s="9"/>
      <c r="WP14" s="9"/>
      <c r="WQ14" s="9"/>
      <c r="WR14" s="9"/>
      <c r="WS14" s="9"/>
      <c r="WT14" s="9"/>
      <c r="WU14" s="9"/>
      <c r="WV14" s="9"/>
      <c r="WW14" s="9"/>
      <c r="WX14" s="9"/>
      <c r="WY14" s="9"/>
      <c r="WZ14" s="9"/>
      <c r="XA14" s="9"/>
      <c r="XB14" s="9"/>
      <c r="XC14" s="9"/>
      <c r="XD14" s="9"/>
      <c r="XE14" s="9"/>
      <c r="XF14" s="9"/>
      <c r="XG14" s="9"/>
      <c r="XH14" s="9"/>
      <c r="XI14" s="9"/>
      <c r="XJ14" s="9"/>
      <c r="XK14" s="9"/>
      <c r="XL14" s="9"/>
      <c r="XM14" s="9"/>
      <c r="XN14" s="9"/>
      <c r="XO14" s="9"/>
      <c r="XP14" s="9"/>
      <c r="XQ14" s="9"/>
      <c r="XR14" s="9"/>
      <c r="XS14" s="9"/>
      <c r="XT14" s="9"/>
      <c r="XU14" s="9"/>
      <c r="XV14" s="9"/>
      <c r="XW14" s="9"/>
      <c r="XX14" s="9"/>
      <c r="XY14" s="9"/>
      <c r="XZ14" s="9"/>
      <c r="YA14" s="9"/>
      <c r="YB14" s="9"/>
      <c r="YC14" s="9"/>
      <c r="YD14" s="9"/>
      <c r="YE14" s="9"/>
      <c r="YF14" s="9"/>
      <c r="YG14" s="9"/>
      <c r="YH14" s="9"/>
      <c r="YI14" s="9"/>
      <c r="YJ14" s="9"/>
      <c r="YK14" s="9"/>
      <c r="YL14" s="9"/>
      <c r="YM14" s="9"/>
      <c r="YN14" s="9"/>
      <c r="YO14" s="9"/>
      <c r="YP14" s="9"/>
      <c r="YQ14" s="9"/>
      <c r="YR14" s="9"/>
      <c r="YS14" s="9"/>
      <c r="YT14" s="9"/>
      <c r="YU14" s="9"/>
      <c r="YV14" s="9"/>
      <c r="YW14" s="9"/>
      <c r="YX14" s="9"/>
      <c r="YY14" s="9"/>
      <c r="YZ14" s="9"/>
      <c r="ZA14" s="9"/>
      <c r="ZB14" s="9"/>
      <c r="ZC14" s="9"/>
      <c r="ZD14" s="9"/>
      <c r="ZE14" s="9"/>
      <c r="ZF14" s="9"/>
      <c r="ZG14" s="9"/>
      <c r="ZH14" s="9"/>
      <c r="ZI14" s="9"/>
      <c r="ZJ14" s="9"/>
      <c r="ZK14" s="9"/>
      <c r="ZL14" s="9"/>
      <c r="ZM14" s="9"/>
      <c r="ZN14" s="9"/>
      <c r="ZO14" s="9"/>
      <c r="ZP14" s="9"/>
      <c r="ZQ14" s="9"/>
      <c r="ZR14" s="9"/>
      <c r="ZS14" s="9"/>
      <c r="ZT14" s="9"/>
      <c r="ZU14" s="9"/>
      <c r="ZV14" s="9"/>
      <c r="ZW14" s="9"/>
      <c r="ZX14" s="9"/>
      <c r="ZY14" s="9"/>
      <c r="ZZ14" s="9"/>
      <c r="AAA14" s="9"/>
      <c r="AAB14" s="9"/>
      <c r="AAC14" s="9"/>
      <c r="AAD14" s="9"/>
      <c r="AAE14" s="9"/>
      <c r="AAF14" s="9"/>
      <c r="AAG14" s="9"/>
      <c r="AAH14" s="9"/>
      <c r="AAI14" s="9"/>
      <c r="AAJ14" s="9"/>
      <c r="AAK14" s="9"/>
      <c r="AAL14" s="9"/>
      <c r="AAM14" s="9"/>
      <c r="AAN14" s="9"/>
      <c r="AAO14" s="9"/>
      <c r="AAP14" s="9"/>
      <c r="AAQ14" s="9"/>
      <c r="AAR14" s="9"/>
      <c r="AAS14" s="9"/>
      <c r="AAT14" s="9"/>
      <c r="AAU14" s="9"/>
      <c r="AAV14" s="9"/>
      <c r="AAW14" s="9"/>
      <c r="AAX14" s="9"/>
      <c r="AAY14" s="9"/>
      <c r="AAZ14" s="9"/>
      <c r="ABA14" s="9"/>
      <c r="ABB14" s="9"/>
      <c r="ABC14" s="9"/>
      <c r="ABD14" s="9"/>
      <c r="ABE14" s="9"/>
      <c r="ABF14" s="9"/>
      <c r="ABG14" s="9"/>
      <c r="ABH14" s="9"/>
      <c r="ABI14" s="9"/>
      <c r="ABJ14" s="9"/>
      <c r="ABK14" s="9"/>
      <c r="ABL14" s="9"/>
      <c r="ABM14" s="9"/>
      <c r="ABN14" s="9"/>
      <c r="ABO14" s="9"/>
      <c r="ABP14" s="9"/>
      <c r="ABQ14" s="9"/>
      <c r="ABR14" s="9"/>
      <c r="ABS14" s="9"/>
      <c r="ABT14" s="9"/>
      <c r="ABU14" s="9"/>
      <c r="ABV14" s="9"/>
      <c r="ABW14" s="9"/>
      <c r="ABX14" s="9"/>
      <c r="ABY14" s="9"/>
      <c r="ABZ14" s="9"/>
      <c r="ACA14" s="9"/>
      <c r="ACB14" s="9"/>
      <c r="ACC14" s="9"/>
      <c r="ACD14" s="9"/>
      <c r="ACE14" s="9"/>
      <c r="ACF14" s="9"/>
      <c r="ACG14" s="9"/>
      <c r="ACH14" s="9"/>
      <c r="ACI14" s="9"/>
      <c r="ACJ14" s="9"/>
      <c r="ACK14" s="9"/>
      <c r="ACL14" s="9"/>
      <c r="ACM14" s="9"/>
      <c r="ACN14" s="9"/>
      <c r="ACO14" s="9"/>
      <c r="ACP14" s="9"/>
      <c r="ACQ14" s="9"/>
      <c r="ACR14" s="9"/>
      <c r="ACS14" s="9"/>
      <c r="ACT14" s="9"/>
      <c r="ACU14" s="9"/>
      <c r="ACV14" s="9"/>
      <c r="ACW14" s="9"/>
      <c r="ACX14" s="9"/>
      <c r="ACY14" s="9"/>
      <c r="ACZ14" s="9"/>
      <c r="ADA14" s="9"/>
      <c r="ADB14" s="9"/>
      <c r="ADC14" s="9"/>
      <c r="ADD14" s="9"/>
      <c r="ADE14" s="9"/>
      <c r="ADF14" s="9"/>
      <c r="ADG14" s="9"/>
      <c r="ADH14" s="9"/>
      <c r="ADI14" s="9"/>
      <c r="ADJ14" s="9"/>
      <c r="ADK14" s="9"/>
      <c r="ADL14" s="9"/>
      <c r="ADM14" s="9"/>
      <c r="ADN14" s="9"/>
      <c r="ADO14" s="9"/>
      <c r="ADP14" s="9"/>
      <c r="ADQ14" s="9"/>
      <c r="ADR14" s="9"/>
      <c r="ADS14" s="9"/>
      <c r="ADT14" s="9"/>
      <c r="ADU14" s="9"/>
      <c r="ADV14" s="9"/>
      <c r="ADW14" s="9"/>
      <c r="ADX14" s="9"/>
      <c r="ADY14" s="9"/>
      <c r="ADZ14" s="9"/>
      <c r="AEA14" s="9"/>
      <c r="AEB14" s="9"/>
      <c r="AEC14" s="9"/>
      <c r="AED14" s="9"/>
      <c r="AEE14" s="9"/>
      <c r="AEF14" s="9"/>
      <c r="AEG14" s="9"/>
      <c r="AEH14" s="9"/>
      <c r="AEI14" s="9"/>
      <c r="AEJ14" s="9"/>
      <c r="AEK14" s="9"/>
      <c r="AEL14" s="9"/>
      <c r="AEM14" s="9"/>
      <c r="AEN14" s="9"/>
      <c r="AEO14" s="9"/>
      <c r="AEP14" s="9"/>
      <c r="AEQ14" s="9"/>
      <c r="AER14" s="9"/>
      <c r="AES14" s="9"/>
      <c r="AET14" s="9"/>
      <c r="AEU14" s="9"/>
      <c r="AEV14" s="9"/>
      <c r="AEW14" s="9"/>
      <c r="AEX14" s="9"/>
      <c r="AEY14" s="9"/>
      <c r="AEZ14" s="9"/>
      <c r="AFA14" s="9"/>
      <c r="AFB14" s="9"/>
      <c r="AFC14" s="9"/>
      <c r="AFD14" s="9"/>
      <c r="AFE14" s="9"/>
      <c r="AFF14" s="9"/>
      <c r="AFG14" s="9"/>
      <c r="AFH14" s="9"/>
      <c r="AFI14" s="9"/>
      <c r="AFJ14" s="9"/>
      <c r="AFK14" s="9"/>
      <c r="AFL14" s="9"/>
      <c r="AFM14" s="9"/>
      <c r="AFN14" s="9"/>
      <c r="AFO14" s="9"/>
      <c r="AFP14" s="9"/>
      <c r="AFQ14" s="9"/>
      <c r="AFR14" s="9"/>
      <c r="AFS14" s="9"/>
      <c r="AFT14" s="9"/>
      <c r="AFU14" s="9"/>
      <c r="AFV14" s="9"/>
      <c r="AFW14" s="9"/>
      <c r="AFX14" s="9"/>
      <c r="AFY14" s="9"/>
      <c r="AFZ14" s="9"/>
      <c r="AGA14" s="9"/>
      <c r="AGB14" s="9"/>
      <c r="AGC14" s="9"/>
      <c r="AGD14" s="9"/>
      <c r="AGE14" s="9"/>
      <c r="AGF14" s="9"/>
      <c r="AGG14" s="9"/>
      <c r="AGH14" s="9"/>
      <c r="AGI14" s="9"/>
      <c r="AGJ14" s="9"/>
      <c r="AGK14" s="9"/>
      <c r="AGL14" s="9"/>
      <c r="AGM14" s="9"/>
      <c r="AGN14" s="9"/>
      <c r="AGO14" s="9"/>
      <c r="AGP14" s="9"/>
      <c r="AGQ14" s="9"/>
      <c r="AGR14" s="9"/>
      <c r="AGS14" s="9"/>
      <c r="AGT14" s="9"/>
      <c r="AGU14" s="9"/>
      <c r="AGV14" s="9"/>
      <c r="AGW14" s="9"/>
      <c r="AGX14" s="9"/>
      <c r="AGY14" s="9"/>
      <c r="AGZ14" s="9"/>
      <c r="AHA14" s="9"/>
      <c r="AHB14" s="9"/>
      <c r="AHC14" s="9"/>
      <c r="AHD14" s="9"/>
      <c r="AHE14" s="9"/>
      <c r="AHF14" s="9"/>
      <c r="AHG14" s="9"/>
      <c r="AHH14" s="9"/>
      <c r="AHI14" s="9"/>
      <c r="AHJ14" s="9"/>
      <c r="AHK14" s="9"/>
      <c r="AHL14" s="9"/>
      <c r="AHM14" s="9"/>
      <c r="AHN14" s="9"/>
      <c r="AHO14" s="9"/>
      <c r="AHP14" s="9"/>
      <c r="AHQ14" s="9"/>
      <c r="AHR14" s="9"/>
      <c r="AHS14" s="9"/>
      <c r="AHT14" s="9"/>
      <c r="AHU14" s="9"/>
      <c r="AHV14" s="9"/>
      <c r="AHW14" s="9"/>
      <c r="AHX14" s="9"/>
      <c r="AHY14" s="9"/>
      <c r="AHZ14" s="9"/>
      <c r="AIA14" s="9"/>
      <c r="AIB14" s="9"/>
      <c r="AIC14" s="9"/>
      <c r="AID14" s="9"/>
      <c r="AIE14" s="9"/>
      <c r="AIF14" s="9"/>
      <c r="AIG14" s="9"/>
      <c r="AIH14" s="9"/>
      <c r="AII14" s="9"/>
      <c r="AIJ14" s="9"/>
      <c r="AIK14" s="9"/>
      <c r="AIL14" s="9"/>
      <c r="AIM14" s="9"/>
      <c r="AIN14" s="9"/>
      <c r="AIO14" s="9"/>
      <c r="AIP14" s="9"/>
      <c r="AIQ14" s="9"/>
      <c r="AIR14" s="9"/>
      <c r="AIS14" s="9"/>
      <c r="AIT14" s="9"/>
      <c r="AIU14" s="9"/>
      <c r="AIV14" s="9"/>
      <c r="AIW14" s="9"/>
      <c r="AIX14" s="9"/>
      <c r="AIY14" s="9"/>
      <c r="AIZ14" s="9"/>
      <c r="AJA14" s="9"/>
      <c r="AJB14" s="9"/>
      <c r="AJC14" s="9"/>
      <c r="AJD14" s="9"/>
      <c r="AJE14" s="9"/>
      <c r="AJF14" s="9"/>
      <c r="AJG14" s="9"/>
      <c r="AJH14" s="9"/>
      <c r="AJI14" s="9"/>
      <c r="AJJ14" s="9"/>
      <c r="AJK14" s="9"/>
      <c r="AJL14" s="9"/>
      <c r="AJM14" s="9"/>
      <c r="AJN14" s="9"/>
      <c r="AJO14" s="9"/>
      <c r="AJP14" s="9"/>
      <c r="AJQ14" s="9"/>
      <c r="AJR14" s="9"/>
      <c r="AJS14" s="9"/>
      <c r="AJT14" s="9"/>
      <c r="AJU14" s="9"/>
      <c r="AJV14" s="9"/>
      <c r="AJW14" s="9"/>
      <c r="AJX14" s="9"/>
      <c r="AJY14" s="9"/>
      <c r="AJZ14" s="9"/>
      <c r="AKA14" s="9"/>
      <c r="AKB14" s="9"/>
      <c r="AKC14" s="9"/>
      <c r="AKD14" s="9"/>
      <c r="AKE14" s="9"/>
      <c r="AKF14" s="9"/>
      <c r="AKG14" s="9"/>
      <c r="AKH14" s="9"/>
      <c r="AKI14" s="9"/>
      <c r="AKJ14" s="9"/>
      <c r="AKK14" s="9"/>
      <c r="AKL14" s="9"/>
      <c r="AKM14" s="9"/>
      <c r="AKN14" s="9"/>
      <c r="AKO14" s="9"/>
      <c r="AKP14" s="9"/>
      <c r="AKQ14" s="9"/>
      <c r="AKR14" s="9"/>
      <c r="AKS14" s="9"/>
      <c r="AKT14" s="9"/>
      <c r="AKU14" s="9"/>
      <c r="AKV14" s="9"/>
      <c r="AKW14" s="9"/>
      <c r="AKX14" s="9"/>
      <c r="AKY14" s="9"/>
      <c r="AKZ14" s="9"/>
      <c r="ALA14" s="9"/>
      <c r="ALB14" s="9"/>
      <c r="ALC14" s="9"/>
      <c r="ALD14" s="9"/>
      <c r="ALE14" s="9"/>
      <c r="ALF14" s="9"/>
      <c r="ALG14" s="9"/>
      <c r="ALH14" s="9"/>
      <c r="ALI14" s="9"/>
      <c r="ALJ14" s="9"/>
      <c r="ALK14" s="9"/>
      <c r="ALL14" s="9"/>
      <c r="ALM14" s="9"/>
      <c r="ALN14" s="9"/>
      <c r="ALO14" s="9"/>
      <c r="ALP14" s="9"/>
      <c r="ALQ14" s="9"/>
      <c r="ALR14" s="9"/>
      <c r="ALS14" s="9"/>
      <c r="ALT14" s="9"/>
      <c r="ALU14" s="9"/>
      <c r="ALV14" s="9"/>
      <c r="ALW14" s="9"/>
      <c r="ALX14" s="9"/>
      <c r="ALY14" s="9"/>
      <c r="ALZ14" s="9"/>
      <c r="AMA14" s="9"/>
      <c r="AMB14" s="9"/>
      <c r="AMC14" s="9"/>
      <c r="AMD14" s="9"/>
      <c r="AME14" s="9"/>
      <c r="AMF14" s="9"/>
      <c r="AMG14" s="9"/>
      <c r="AMH14" s="9"/>
      <c r="AMI14" s="9"/>
      <c r="AMJ14" s="9"/>
    </row>
    <row r="15" spans="1:1024" x14ac:dyDescent="0.35">
      <c r="A15" s="2"/>
      <c r="B15" s="9"/>
      <c r="C15" s="2"/>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B15" s="9"/>
      <c r="JC15" s="9"/>
      <c r="JD15" s="9"/>
      <c r="JE15" s="9"/>
      <c r="JF15" s="9"/>
      <c r="JG15" s="9"/>
      <c r="JH15" s="9"/>
      <c r="JI15" s="9"/>
      <c r="JJ15" s="9"/>
      <c r="JK15" s="9"/>
      <c r="JL15" s="9"/>
      <c r="JM15" s="9"/>
      <c r="JN15" s="9"/>
      <c r="JO15" s="9"/>
      <c r="JP15" s="9"/>
      <c r="JQ15" s="9"/>
      <c r="JR15" s="9"/>
      <c r="JS15" s="9"/>
      <c r="JT15" s="9"/>
      <c r="JU15" s="9"/>
      <c r="JV15" s="9"/>
      <c r="JW15" s="9"/>
      <c r="JX15" s="9"/>
      <c r="JY15" s="9"/>
      <c r="JZ15" s="9"/>
      <c r="KA15" s="9"/>
      <c r="KB15" s="9"/>
      <c r="KC15" s="9"/>
      <c r="KD15" s="9"/>
      <c r="KE15" s="9"/>
      <c r="KF15" s="9"/>
      <c r="KG15" s="9"/>
      <c r="KH15" s="9"/>
      <c r="KI15" s="9"/>
      <c r="KJ15" s="9"/>
      <c r="KK15" s="9"/>
      <c r="KL15" s="9"/>
      <c r="KM15" s="9"/>
      <c r="KN15" s="9"/>
      <c r="KO15" s="9"/>
      <c r="KP15" s="9"/>
      <c r="KQ15" s="9"/>
      <c r="KR15" s="9"/>
      <c r="KS15" s="9"/>
      <c r="KT15" s="9"/>
      <c r="KU15" s="9"/>
      <c r="KV15" s="9"/>
      <c r="KW15" s="9"/>
      <c r="KX15" s="9"/>
      <c r="KY15" s="9"/>
      <c r="KZ15" s="9"/>
      <c r="LA15" s="9"/>
      <c r="LB15" s="9"/>
      <c r="LC15" s="9"/>
      <c r="LD15" s="9"/>
      <c r="LE15" s="9"/>
      <c r="LF15" s="9"/>
      <c r="LG15" s="9"/>
      <c r="LH15" s="9"/>
      <c r="LI15" s="9"/>
      <c r="LJ15" s="9"/>
      <c r="LK15" s="9"/>
      <c r="LL15" s="9"/>
      <c r="LM15" s="9"/>
      <c r="LN15" s="9"/>
      <c r="LO15" s="9"/>
      <c r="LP15" s="9"/>
      <c r="LQ15" s="9"/>
      <c r="LR15" s="9"/>
      <c r="LS15" s="9"/>
      <c r="LT15" s="9"/>
      <c r="LU15" s="9"/>
      <c r="LV15" s="9"/>
      <c r="LW15" s="9"/>
      <c r="LX15" s="9"/>
      <c r="LY15" s="9"/>
      <c r="LZ15" s="9"/>
      <c r="MA15" s="9"/>
      <c r="MB15" s="9"/>
      <c r="MC15" s="9"/>
      <c r="MD15" s="9"/>
      <c r="ME15" s="9"/>
      <c r="MF15" s="9"/>
      <c r="MG15" s="9"/>
      <c r="MH15" s="9"/>
      <c r="MI15" s="9"/>
      <c r="MJ15" s="9"/>
      <c r="MK15" s="9"/>
      <c r="ML15" s="9"/>
      <c r="MM15" s="9"/>
      <c r="MN15" s="9"/>
      <c r="MO15" s="9"/>
      <c r="MP15" s="9"/>
      <c r="MQ15" s="9"/>
      <c r="MR15" s="9"/>
      <c r="MS15" s="9"/>
      <c r="MT15" s="9"/>
      <c r="MU15" s="9"/>
      <c r="MV15" s="9"/>
      <c r="MW15" s="9"/>
      <c r="MX15" s="9"/>
      <c r="MY15" s="9"/>
      <c r="MZ15" s="9"/>
      <c r="NA15" s="9"/>
      <c r="NB15" s="9"/>
      <c r="NC15" s="9"/>
      <c r="ND15" s="9"/>
      <c r="NE15" s="9"/>
      <c r="NF15" s="9"/>
      <c r="NG15" s="9"/>
      <c r="NH15" s="9"/>
      <c r="NI15" s="9"/>
      <c r="NJ15" s="9"/>
      <c r="NK15" s="9"/>
      <c r="NL15" s="9"/>
      <c r="NM15" s="9"/>
      <c r="NN15" s="9"/>
      <c r="NO15" s="9"/>
      <c r="NP15" s="9"/>
      <c r="NQ15" s="9"/>
      <c r="NR15" s="9"/>
      <c r="NS15" s="9"/>
      <c r="NT15" s="9"/>
      <c r="NU15" s="9"/>
      <c r="NV15" s="9"/>
      <c r="NW15" s="9"/>
      <c r="NX15" s="9"/>
      <c r="NY15" s="9"/>
      <c r="NZ15" s="9"/>
      <c r="OA15" s="9"/>
      <c r="OB15" s="9"/>
      <c r="OC15" s="9"/>
      <c r="OD15" s="9"/>
      <c r="OE15" s="9"/>
      <c r="OF15" s="9"/>
      <c r="OG15" s="9"/>
      <c r="OH15" s="9"/>
      <c r="OI15" s="9"/>
      <c r="OJ15" s="9"/>
      <c r="OK15" s="9"/>
      <c r="OL15" s="9"/>
      <c r="OM15" s="9"/>
      <c r="ON15" s="9"/>
      <c r="OO15" s="9"/>
      <c r="OP15" s="9"/>
      <c r="OQ15" s="9"/>
      <c r="OR15" s="9"/>
      <c r="OS15" s="9"/>
      <c r="OT15" s="9"/>
      <c r="OU15" s="9"/>
      <c r="OV15" s="9"/>
      <c r="OW15" s="9"/>
      <c r="OX15" s="9"/>
      <c r="OY15" s="9"/>
      <c r="OZ15" s="9"/>
      <c r="PA15" s="9"/>
      <c r="PB15" s="9"/>
      <c r="PC15" s="9"/>
      <c r="PD15" s="9"/>
      <c r="PE15" s="9"/>
      <c r="PF15" s="9"/>
      <c r="PG15" s="9"/>
      <c r="PH15" s="9"/>
      <c r="PI15" s="9"/>
      <c r="PJ15" s="9"/>
      <c r="PK15" s="9"/>
      <c r="PL15" s="9"/>
      <c r="PM15" s="9"/>
      <c r="PN15" s="9"/>
      <c r="PO15" s="9"/>
      <c r="PP15" s="9"/>
      <c r="PQ15" s="9"/>
      <c r="PR15" s="9"/>
      <c r="PS15" s="9"/>
      <c r="PT15" s="9"/>
      <c r="PU15" s="9"/>
      <c r="PV15" s="9"/>
      <c r="PW15" s="9"/>
      <c r="PX15" s="9"/>
      <c r="PY15" s="9"/>
      <c r="PZ15" s="9"/>
      <c r="QA15" s="9"/>
      <c r="QB15" s="9"/>
      <c r="QC15" s="9"/>
      <c r="QD15" s="9"/>
      <c r="QE15" s="9"/>
      <c r="QF15" s="9"/>
      <c r="QG15" s="9"/>
      <c r="QH15" s="9"/>
      <c r="QI15" s="9"/>
      <c r="QJ15" s="9"/>
      <c r="QK15" s="9"/>
      <c r="QL15" s="9"/>
      <c r="QM15" s="9"/>
      <c r="QN15" s="9"/>
      <c r="QO15" s="9"/>
      <c r="QP15" s="9"/>
      <c r="QQ15" s="9"/>
      <c r="QR15" s="9"/>
      <c r="QS15" s="9"/>
      <c r="QT15" s="9"/>
      <c r="QU15" s="9"/>
      <c r="QV15" s="9"/>
      <c r="QW15" s="9"/>
      <c r="QX15" s="9"/>
      <c r="QY15" s="9"/>
      <c r="QZ15" s="9"/>
      <c r="RA15" s="9"/>
      <c r="RB15" s="9"/>
      <c r="RC15" s="9"/>
      <c r="RD15" s="9"/>
      <c r="RE15" s="9"/>
      <c r="RF15" s="9"/>
      <c r="RG15" s="9"/>
      <c r="RH15" s="9"/>
      <c r="RI15" s="9"/>
      <c r="RJ15" s="9"/>
      <c r="RK15" s="9"/>
      <c r="RL15" s="9"/>
      <c r="RM15" s="9"/>
      <c r="RN15" s="9"/>
      <c r="RO15" s="9"/>
      <c r="RP15" s="9"/>
      <c r="RQ15" s="9"/>
      <c r="RR15" s="9"/>
      <c r="RS15" s="9"/>
      <c r="RT15" s="9"/>
      <c r="RU15" s="9"/>
      <c r="RV15" s="9"/>
      <c r="RW15" s="9"/>
      <c r="RX15" s="9"/>
      <c r="RY15" s="9"/>
      <c r="RZ15" s="9"/>
      <c r="SA15" s="9"/>
      <c r="SB15" s="9"/>
      <c r="SC15" s="9"/>
      <c r="SD15" s="9"/>
      <c r="SE15" s="9"/>
      <c r="SF15" s="9"/>
      <c r="SG15" s="9"/>
      <c r="SH15" s="9"/>
      <c r="SI15" s="9"/>
      <c r="SJ15" s="9"/>
      <c r="SK15" s="9"/>
      <c r="SL15" s="9"/>
      <c r="SM15" s="9"/>
      <c r="SN15" s="9"/>
      <c r="SO15" s="9"/>
      <c r="SP15" s="9"/>
      <c r="SQ15" s="9"/>
      <c r="SR15" s="9"/>
      <c r="SS15" s="9"/>
      <c r="ST15" s="9"/>
      <c r="SU15" s="9"/>
      <c r="SV15" s="9"/>
      <c r="SW15" s="9"/>
      <c r="SX15" s="9"/>
      <c r="SY15" s="9"/>
      <c r="SZ15" s="9"/>
      <c r="TA15" s="9"/>
      <c r="TB15" s="9"/>
      <c r="TC15" s="9"/>
      <c r="TD15" s="9"/>
      <c r="TE15" s="9"/>
      <c r="TF15" s="9"/>
      <c r="TG15" s="9"/>
      <c r="TH15" s="9"/>
      <c r="TI15" s="9"/>
      <c r="TJ15" s="9"/>
      <c r="TK15" s="9"/>
      <c r="TL15" s="9"/>
      <c r="TM15" s="9"/>
      <c r="TN15" s="9"/>
      <c r="TO15" s="9"/>
      <c r="TP15" s="9"/>
      <c r="TQ15" s="9"/>
      <c r="TR15" s="9"/>
      <c r="TS15" s="9"/>
      <c r="TT15" s="9"/>
      <c r="TU15" s="9"/>
      <c r="TV15" s="9"/>
      <c r="TW15" s="9"/>
      <c r="TX15" s="9"/>
      <c r="TY15" s="9"/>
      <c r="TZ15" s="9"/>
      <c r="UA15" s="9"/>
      <c r="UB15" s="9"/>
      <c r="UC15" s="9"/>
      <c r="UD15" s="9"/>
      <c r="UE15" s="9"/>
      <c r="UF15" s="9"/>
      <c r="UG15" s="9"/>
      <c r="UH15" s="9"/>
      <c r="UI15" s="9"/>
      <c r="UJ15" s="9"/>
      <c r="UK15" s="9"/>
      <c r="UL15" s="9"/>
      <c r="UM15" s="9"/>
      <c r="UN15" s="9"/>
      <c r="UO15" s="9"/>
      <c r="UP15" s="9"/>
      <c r="UQ15" s="9"/>
      <c r="UR15" s="9"/>
      <c r="US15" s="9"/>
      <c r="UT15" s="9"/>
      <c r="UU15" s="9"/>
      <c r="UV15" s="9"/>
      <c r="UW15" s="9"/>
      <c r="UX15" s="9"/>
      <c r="UY15" s="9"/>
      <c r="UZ15" s="9"/>
      <c r="VA15" s="9"/>
      <c r="VB15" s="9"/>
      <c r="VC15" s="9"/>
      <c r="VD15" s="9"/>
      <c r="VE15" s="9"/>
      <c r="VF15" s="9"/>
      <c r="VG15" s="9"/>
      <c r="VH15" s="9"/>
      <c r="VI15" s="9"/>
      <c r="VJ15" s="9"/>
      <c r="VK15" s="9"/>
      <c r="VL15" s="9"/>
      <c r="VM15" s="9"/>
      <c r="VN15" s="9"/>
      <c r="VO15" s="9"/>
      <c r="VP15" s="9"/>
      <c r="VQ15" s="9"/>
      <c r="VR15" s="9"/>
      <c r="VS15" s="9"/>
      <c r="VT15" s="9"/>
      <c r="VU15" s="9"/>
      <c r="VV15" s="9"/>
      <c r="VW15" s="9"/>
      <c r="VX15" s="9"/>
      <c r="VY15" s="9"/>
      <c r="VZ15" s="9"/>
      <c r="WA15" s="9"/>
      <c r="WB15" s="9"/>
      <c r="WC15" s="9"/>
      <c r="WD15" s="9"/>
      <c r="WE15" s="9"/>
      <c r="WF15" s="9"/>
      <c r="WG15" s="9"/>
      <c r="WH15" s="9"/>
      <c r="WI15" s="9"/>
      <c r="WJ15" s="9"/>
      <c r="WK15" s="9"/>
      <c r="WL15" s="9"/>
      <c r="WM15" s="9"/>
      <c r="WN15" s="9"/>
      <c r="WO15" s="9"/>
      <c r="WP15" s="9"/>
      <c r="WQ15" s="9"/>
      <c r="WR15" s="9"/>
      <c r="WS15" s="9"/>
      <c r="WT15" s="9"/>
      <c r="WU15" s="9"/>
      <c r="WV15" s="9"/>
      <c r="WW15" s="9"/>
      <c r="WX15" s="9"/>
      <c r="WY15" s="9"/>
      <c r="WZ15" s="9"/>
      <c r="XA15" s="9"/>
      <c r="XB15" s="9"/>
      <c r="XC15" s="9"/>
      <c r="XD15" s="9"/>
      <c r="XE15" s="9"/>
      <c r="XF15" s="9"/>
      <c r="XG15" s="9"/>
      <c r="XH15" s="9"/>
      <c r="XI15" s="9"/>
      <c r="XJ15" s="9"/>
      <c r="XK15" s="9"/>
      <c r="XL15" s="9"/>
      <c r="XM15" s="9"/>
      <c r="XN15" s="9"/>
      <c r="XO15" s="9"/>
      <c r="XP15" s="9"/>
      <c r="XQ15" s="9"/>
      <c r="XR15" s="9"/>
      <c r="XS15" s="9"/>
      <c r="XT15" s="9"/>
      <c r="XU15" s="9"/>
      <c r="XV15" s="9"/>
      <c r="XW15" s="9"/>
      <c r="XX15" s="9"/>
      <c r="XY15" s="9"/>
      <c r="XZ15" s="9"/>
      <c r="YA15" s="9"/>
      <c r="YB15" s="9"/>
      <c r="YC15" s="9"/>
      <c r="YD15" s="9"/>
      <c r="YE15" s="9"/>
      <c r="YF15" s="9"/>
      <c r="YG15" s="9"/>
      <c r="YH15" s="9"/>
      <c r="YI15" s="9"/>
      <c r="YJ15" s="9"/>
      <c r="YK15" s="9"/>
      <c r="YL15" s="9"/>
      <c r="YM15" s="9"/>
      <c r="YN15" s="9"/>
      <c r="YO15" s="9"/>
      <c r="YP15" s="9"/>
      <c r="YQ15" s="9"/>
      <c r="YR15" s="9"/>
      <c r="YS15" s="9"/>
      <c r="YT15" s="9"/>
      <c r="YU15" s="9"/>
      <c r="YV15" s="9"/>
      <c r="YW15" s="9"/>
      <c r="YX15" s="9"/>
      <c r="YY15" s="9"/>
      <c r="YZ15" s="9"/>
      <c r="ZA15" s="9"/>
      <c r="ZB15" s="9"/>
      <c r="ZC15" s="9"/>
      <c r="ZD15" s="9"/>
      <c r="ZE15" s="9"/>
      <c r="ZF15" s="9"/>
      <c r="ZG15" s="9"/>
      <c r="ZH15" s="9"/>
      <c r="ZI15" s="9"/>
      <c r="ZJ15" s="9"/>
      <c r="ZK15" s="9"/>
      <c r="ZL15" s="9"/>
      <c r="ZM15" s="9"/>
      <c r="ZN15" s="9"/>
      <c r="ZO15" s="9"/>
      <c r="ZP15" s="9"/>
      <c r="ZQ15" s="9"/>
      <c r="ZR15" s="9"/>
      <c r="ZS15" s="9"/>
      <c r="ZT15" s="9"/>
      <c r="ZU15" s="9"/>
      <c r="ZV15" s="9"/>
      <c r="ZW15" s="9"/>
      <c r="ZX15" s="9"/>
      <c r="ZY15" s="9"/>
      <c r="ZZ15" s="9"/>
      <c r="AAA15" s="9"/>
      <c r="AAB15" s="9"/>
      <c r="AAC15" s="9"/>
      <c r="AAD15" s="9"/>
      <c r="AAE15" s="9"/>
      <c r="AAF15" s="9"/>
      <c r="AAG15" s="9"/>
      <c r="AAH15" s="9"/>
      <c r="AAI15" s="9"/>
      <c r="AAJ15" s="9"/>
      <c r="AAK15" s="9"/>
      <c r="AAL15" s="9"/>
      <c r="AAM15" s="9"/>
      <c r="AAN15" s="9"/>
      <c r="AAO15" s="9"/>
      <c r="AAP15" s="9"/>
      <c r="AAQ15" s="9"/>
      <c r="AAR15" s="9"/>
      <c r="AAS15" s="9"/>
      <c r="AAT15" s="9"/>
      <c r="AAU15" s="9"/>
      <c r="AAV15" s="9"/>
      <c r="AAW15" s="9"/>
      <c r="AAX15" s="9"/>
      <c r="AAY15" s="9"/>
      <c r="AAZ15" s="9"/>
      <c r="ABA15" s="9"/>
      <c r="ABB15" s="9"/>
      <c r="ABC15" s="9"/>
      <c r="ABD15" s="9"/>
      <c r="ABE15" s="9"/>
      <c r="ABF15" s="9"/>
      <c r="ABG15" s="9"/>
      <c r="ABH15" s="9"/>
      <c r="ABI15" s="9"/>
      <c r="ABJ15" s="9"/>
      <c r="ABK15" s="9"/>
      <c r="ABL15" s="9"/>
      <c r="ABM15" s="9"/>
      <c r="ABN15" s="9"/>
      <c r="ABO15" s="9"/>
      <c r="ABP15" s="9"/>
      <c r="ABQ15" s="9"/>
      <c r="ABR15" s="9"/>
      <c r="ABS15" s="9"/>
      <c r="ABT15" s="9"/>
      <c r="ABU15" s="9"/>
      <c r="ABV15" s="9"/>
      <c r="ABW15" s="9"/>
      <c r="ABX15" s="9"/>
      <c r="ABY15" s="9"/>
      <c r="ABZ15" s="9"/>
      <c r="ACA15" s="9"/>
      <c r="ACB15" s="9"/>
      <c r="ACC15" s="9"/>
      <c r="ACD15" s="9"/>
      <c r="ACE15" s="9"/>
      <c r="ACF15" s="9"/>
      <c r="ACG15" s="9"/>
      <c r="ACH15" s="9"/>
      <c r="ACI15" s="9"/>
      <c r="ACJ15" s="9"/>
      <c r="ACK15" s="9"/>
      <c r="ACL15" s="9"/>
      <c r="ACM15" s="9"/>
      <c r="ACN15" s="9"/>
      <c r="ACO15" s="9"/>
      <c r="ACP15" s="9"/>
      <c r="ACQ15" s="9"/>
      <c r="ACR15" s="9"/>
      <c r="ACS15" s="9"/>
      <c r="ACT15" s="9"/>
      <c r="ACU15" s="9"/>
      <c r="ACV15" s="9"/>
      <c r="ACW15" s="9"/>
      <c r="ACX15" s="9"/>
      <c r="ACY15" s="9"/>
      <c r="ACZ15" s="9"/>
      <c r="ADA15" s="9"/>
      <c r="ADB15" s="9"/>
      <c r="ADC15" s="9"/>
      <c r="ADD15" s="9"/>
      <c r="ADE15" s="9"/>
      <c r="ADF15" s="9"/>
      <c r="ADG15" s="9"/>
      <c r="ADH15" s="9"/>
      <c r="ADI15" s="9"/>
      <c r="ADJ15" s="9"/>
      <c r="ADK15" s="9"/>
      <c r="ADL15" s="9"/>
      <c r="ADM15" s="9"/>
      <c r="ADN15" s="9"/>
      <c r="ADO15" s="9"/>
      <c r="ADP15" s="9"/>
      <c r="ADQ15" s="9"/>
      <c r="ADR15" s="9"/>
      <c r="ADS15" s="9"/>
      <c r="ADT15" s="9"/>
      <c r="ADU15" s="9"/>
      <c r="ADV15" s="9"/>
      <c r="ADW15" s="9"/>
      <c r="ADX15" s="9"/>
      <c r="ADY15" s="9"/>
      <c r="ADZ15" s="9"/>
      <c r="AEA15" s="9"/>
      <c r="AEB15" s="9"/>
      <c r="AEC15" s="9"/>
      <c r="AED15" s="9"/>
      <c r="AEE15" s="9"/>
      <c r="AEF15" s="9"/>
      <c r="AEG15" s="9"/>
      <c r="AEH15" s="9"/>
      <c r="AEI15" s="9"/>
      <c r="AEJ15" s="9"/>
      <c r="AEK15" s="9"/>
      <c r="AEL15" s="9"/>
      <c r="AEM15" s="9"/>
      <c r="AEN15" s="9"/>
      <c r="AEO15" s="9"/>
      <c r="AEP15" s="9"/>
      <c r="AEQ15" s="9"/>
      <c r="AER15" s="9"/>
      <c r="AES15" s="9"/>
      <c r="AET15" s="9"/>
      <c r="AEU15" s="9"/>
      <c r="AEV15" s="9"/>
      <c r="AEW15" s="9"/>
      <c r="AEX15" s="9"/>
      <c r="AEY15" s="9"/>
      <c r="AEZ15" s="9"/>
      <c r="AFA15" s="9"/>
      <c r="AFB15" s="9"/>
      <c r="AFC15" s="9"/>
      <c r="AFD15" s="9"/>
      <c r="AFE15" s="9"/>
      <c r="AFF15" s="9"/>
      <c r="AFG15" s="9"/>
      <c r="AFH15" s="9"/>
      <c r="AFI15" s="9"/>
      <c r="AFJ15" s="9"/>
      <c r="AFK15" s="9"/>
      <c r="AFL15" s="9"/>
      <c r="AFM15" s="9"/>
      <c r="AFN15" s="9"/>
      <c r="AFO15" s="9"/>
      <c r="AFP15" s="9"/>
      <c r="AFQ15" s="9"/>
      <c r="AFR15" s="9"/>
      <c r="AFS15" s="9"/>
      <c r="AFT15" s="9"/>
      <c r="AFU15" s="9"/>
      <c r="AFV15" s="9"/>
      <c r="AFW15" s="9"/>
      <c r="AFX15" s="9"/>
      <c r="AFY15" s="9"/>
      <c r="AFZ15" s="9"/>
      <c r="AGA15" s="9"/>
      <c r="AGB15" s="9"/>
      <c r="AGC15" s="9"/>
      <c r="AGD15" s="9"/>
      <c r="AGE15" s="9"/>
      <c r="AGF15" s="9"/>
      <c r="AGG15" s="9"/>
      <c r="AGH15" s="9"/>
      <c r="AGI15" s="9"/>
      <c r="AGJ15" s="9"/>
      <c r="AGK15" s="9"/>
      <c r="AGL15" s="9"/>
      <c r="AGM15" s="9"/>
      <c r="AGN15" s="9"/>
      <c r="AGO15" s="9"/>
      <c r="AGP15" s="9"/>
      <c r="AGQ15" s="9"/>
      <c r="AGR15" s="9"/>
      <c r="AGS15" s="9"/>
      <c r="AGT15" s="9"/>
      <c r="AGU15" s="9"/>
      <c r="AGV15" s="9"/>
      <c r="AGW15" s="9"/>
      <c r="AGX15" s="9"/>
      <c r="AGY15" s="9"/>
      <c r="AGZ15" s="9"/>
      <c r="AHA15" s="9"/>
      <c r="AHB15" s="9"/>
      <c r="AHC15" s="9"/>
      <c r="AHD15" s="9"/>
      <c r="AHE15" s="9"/>
      <c r="AHF15" s="9"/>
      <c r="AHG15" s="9"/>
      <c r="AHH15" s="9"/>
      <c r="AHI15" s="9"/>
      <c r="AHJ15" s="9"/>
      <c r="AHK15" s="9"/>
      <c r="AHL15" s="9"/>
      <c r="AHM15" s="9"/>
      <c r="AHN15" s="9"/>
      <c r="AHO15" s="9"/>
      <c r="AHP15" s="9"/>
      <c r="AHQ15" s="9"/>
      <c r="AHR15" s="9"/>
      <c r="AHS15" s="9"/>
      <c r="AHT15" s="9"/>
      <c r="AHU15" s="9"/>
      <c r="AHV15" s="9"/>
      <c r="AHW15" s="9"/>
      <c r="AHX15" s="9"/>
      <c r="AHY15" s="9"/>
      <c r="AHZ15" s="9"/>
      <c r="AIA15" s="9"/>
      <c r="AIB15" s="9"/>
      <c r="AIC15" s="9"/>
      <c r="AID15" s="9"/>
      <c r="AIE15" s="9"/>
      <c r="AIF15" s="9"/>
      <c r="AIG15" s="9"/>
      <c r="AIH15" s="9"/>
      <c r="AII15" s="9"/>
      <c r="AIJ15" s="9"/>
      <c r="AIK15" s="9"/>
      <c r="AIL15" s="9"/>
      <c r="AIM15" s="9"/>
      <c r="AIN15" s="9"/>
      <c r="AIO15" s="9"/>
      <c r="AIP15" s="9"/>
      <c r="AIQ15" s="9"/>
      <c r="AIR15" s="9"/>
      <c r="AIS15" s="9"/>
      <c r="AIT15" s="9"/>
      <c r="AIU15" s="9"/>
      <c r="AIV15" s="9"/>
      <c r="AIW15" s="9"/>
      <c r="AIX15" s="9"/>
      <c r="AIY15" s="9"/>
      <c r="AIZ15" s="9"/>
      <c r="AJA15" s="9"/>
      <c r="AJB15" s="9"/>
      <c r="AJC15" s="9"/>
      <c r="AJD15" s="9"/>
      <c r="AJE15" s="9"/>
      <c r="AJF15" s="9"/>
      <c r="AJG15" s="9"/>
      <c r="AJH15" s="9"/>
      <c r="AJI15" s="9"/>
      <c r="AJJ15" s="9"/>
      <c r="AJK15" s="9"/>
      <c r="AJL15" s="9"/>
      <c r="AJM15" s="9"/>
      <c r="AJN15" s="9"/>
      <c r="AJO15" s="9"/>
      <c r="AJP15" s="9"/>
      <c r="AJQ15" s="9"/>
      <c r="AJR15" s="9"/>
      <c r="AJS15" s="9"/>
      <c r="AJT15" s="9"/>
      <c r="AJU15" s="9"/>
      <c r="AJV15" s="9"/>
      <c r="AJW15" s="9"/>
      <c r="AJX15" s="9"/>
      <c r="AJY15" s="9"/>
      <c r="AJZ15" s="9"/>
      <c r="AKA15" s="9"/>
      <c r="AKB15" s="9"/>
      <c r="AKC15" s="9"/>
      <c r="AKD15" s="9"/>
      <c r="AKE15" s="9"/>
      <c r="AKF15" s="9"/>
      <c r="AKG15" s="9"/>
      <c r="AKH15" s="9"/>
      <c r="AKI15" s="9"/>
      <c r="AKJ15" s="9"/>
      <c r="AKK15" s="9"/>
      <c r="AKL15" s="9"/>
      <c r="AKM15" s="9"/>
      <c r="AKN15" s="9"/>
      <c r="AKO15" s="9"/>
      <c r="AKP15" s="9"/>
      <c r="AKQ15" s="9"/>
      <c r="AKR15" s="9"/>
      <c r="AKS15" s="9"/>
      <c r="AKT15" s="9"/>
      <c r="AKU15" s="9"/>
      <c r="AKV15" s="9"/>
      <c r="AKW15" s="9"/>
      <c r="AKX15" s="9"/>
      <c r="AKY15" s="9"/>
      <c r="AKZ15" s="9"/>
      <c r="ALA15" s="9"/>
      <c r="ALB15" s="9"/>
      <c r="ALC15" s="9"/>
      <c r="ALD15" s="9"/>
      <c r="ALE15" s="9"/>
      <c r="ALF15" s="9"/>
      <c r="ALG15" s="9"/>
      <c r="ALH15" s="9"/>
      <c r="ALI15" s="9"/>
      <c r="ALJ15" s="9"/>
      <c r="ALK15" s="9"/>
      <c r="ALL15" s="9"/>
      <c r="ALM15" s="9"/>
      <c r="ALN15" s="9"/>
      <c r="ALO15" s="9"/>
      <c r="ALP15" s="9"/>
      <c r="ALQ15" s="9"/>
      <c r="ALR15" s="9"/>
      <c r="ALS15" s="9"/>
      <c r="ALT15" s="9"/>
      <c r="ALU15" s="9"/>
      <c r="ALV15" s="9"/>
      <c r="ALW15" s="9"/>
      <c r="ALX15" s="9"/>
      <c r="ALY15" s="9"/>
      <c r="ALZ15" s="9"/>
      <c r="AMA15" s="9"/>
      <c r="AMB15" s="9"/>
      <c r="AMC15" s="9"/>
      <c r="AMD15" s="9"/>
      <c r="AME15" s="9"/>
      <c r="AMF15" s="9"/>
      <c r="AMG15" s="9"/>
      <c r="AMH15" s="9"/>
      <c r="AMI15" s="9"/>
      <c r="AMJ15" s="9"/>
    </row>
    <row r="16" spans="1:1024" x14ac:dyDescent="0.35">
      <c r="A16" s="2"/>
      <c r="B16" s="9"/>
      <c r="C16" s="2"/>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B16" s="9"/>
      <c r="JC16" s="9"/>
      <c r="JD16" s="9"/>
      <c r="JE16" s="9"/>
      <c r="JF16" s="9"/>
      <c r="JG16" s="9"/>
      <c r="JH16" s="9"/>
      <c r="JI16" s="9"/>
      <c r="JJ16" s="9"/>
      <c r="JK16" s="9"/>
      <c r="JL16" s="9"/>
      <c r="JM16" s="9"/>
      <c r="JN16" s="9"/>
      <c r="JO16" s="9"/>
      <c r="JP16" s="9"/>
      <c r="JQ16" s="9"/>
      <c r="JR16" s="9"/>
      <c r="JS16" s="9"/>
      <c r="JT16" s="9"/>
      <c r="JU16" s="9"/>
      <c r="JV16" s="9"/>
      <c r="JW16" s="9"/>
      <c r="JX16" s="9"/>
      <c r="JY16" s="9"/>
      <c r="JZ16" s="9"/>
      <c r="KA16" s="9"/>
      <c r="KB16" s="9"/>
      <c r="KC16" s="9"/>
      <c r="KD16" s="9"/>
      <c r="KE16" s="9"/>
      <c r="KF16" s="9"/>
      <c r="KG16" s="9"/>
      <c r="KH16" s="9"/>
      <c r="KI16" s="9"/>
      <c r="KJ16" s="9"/>
      <c r="KK16" s="9"/>
      <c r="KL16" s="9"/>
      <c r="KM16" s="9"/>
      <c r="KN16" s="9"/>
      <c r="KO16" s="9"/>
      <c r="KP16" s="9"/>
      <c r="KQ16" s="9"/>
      <c r="KR16" s="9"/>
      <c r="KS16" s="9"/>
      <c r="KT16" s="9"/>
      <c r="KU16" s="9"/>
      <c r="KV16" s="9"/>
      <c r="KW16" s="9"/>
      <c r="KX16" s="9"/>
      <c r="KY16" s="9"/>
      <c r="KZ16" s="9"/>
      <c r="LA16" s="9"/>
      <c r="LB16" s="9"/>
      <c r="LC16" s="9"/>
      <c r="LD16" s="9"/>
      <c r="LE16" s="9"/>
      <c r="LF16" s="9"/>
      <c r="LG16" s="9"/>
      <c r="LH16" s="9"/>
      <c r="LI16" s="9"/>
      <c r="LJ16" s="9"/>
      <c r="LK16" s="9"/>
      <c r="LL16" s="9"/>
      <c r="LM16" s="9"/>
      <c r="LN16" s="9"/>
      <c r="LO16" s="9"/>
      <c r="LP16" s="9"/>
      <c r="LQ16" s="9"/>
      <c r="LR16" s="9"/>
      <c r="LS16" s="9"/>
      <c r="LT16" s="9"/>
      <c r="LU16" s="9"/>
      <c r="LV16" s="9"/>
      <c r="LW16" s="9"/>
      <c r="LX16" s="9"/>
      <c r="LY16" s="9"/>
      <c r="LZ16" s="9"/>
      <c r="MA16" s="9"/>
      <c r="MB16" s="9"/>
      <c r="MC16" s="9"/>
      <c r="MD16" s="9"/>
      <c r="ME16" s="9"/>
      <c r="MF16" s="9"/>
      <c r="MG16" s="9"/>
      <c r="MH16" s="9"/>
      <c r="MI16" s="9"/>
      <c r="MJ16" s="9"/>
      <c r="MK16" s="9"/>
      <c r="ML16" s="9"/>
      <c r="MM16" s="9"/>
      <c r="MN16" s="9"/>
      <c r="MO16" s="9"/>
      <c r="MP16" s="9"/>
      <c r="MQ16" s="9"/>
      <c r="MR16" s="9"/>
      <c r="MS16" s="9"/>
      <c r="MT16" s="9"/>
      <c r="MU16" s="9"/>
      <c r="MV16" s="9"/>
      <c r="MW16" s="9"/>
      <c r="MX16" s="9"/>
      <c r="MY16" s="9"/>
      <c r="MZ16" s="9"/>
      <c r="NA16" s="9"/>
      <c r="NB16" s="9"/>
      <c r="NC16" s="9"/>
      <c r="ND16" s="9"/>
      <c r="NE16" s="9"/>
      <c r="NF16" s="9"/>
      <c r="NG16" s="9"/>
      <c r="NH16" s="9"/>
      <c r="NI16" s="9"/>
      <c r="NJ16" s="9"/>
      <c r="NK16" s="9"/>
      <c r="NL16" s="9"/>
      <c r="NM16" s="9"/>
      <c r="NN16" s="9"/>
      <c r="NO16" s="9"/>
      <c r="NP16" s="9"/>
      <c r="NQ16" s="9"/>
      <c r="NR16" s="9"/>
      <c r="NS16" s="9"/>
      <c r="NT16" s="9"/>
      <c r="NU16" s="9"/>
      <c r="NV16" s="9"/>
      <c r="NW16" s="9"/>
      <c r="NX16" s="9"/>
      <c r="NY16" s="9"/>
      <c r="NZ16" s="9"/>
      <c r="OA16" s="9"/>
      <c r="OB16" s="9"/>
      <c r="OC16" s="9"/>
      <c r="OD16" s="9"/>
      <c r="OE16" s="9"/>
      <c r="OF16" s="9"/>
      <c r="OG16" s="9"/>
      <c r="OH16" s="9"/>
      <c r="OI16" s="9"/>
      <c r="OJ16" s="9"/>
      <c r="OK16" s="9"/>
      <c r="OL16" s="9"/>
      <c r="OM16" s="9"/>
      <c r="ON16" s="9"/>
      <c r="OO16" s="9"/>
      <c r="OP16" s="9"/>
      <c r="OQ16" s="9"/>
      <c r="OR16" s="9"/>
      <c r="OS16" s="9"/>
      <c r="OT16" s="9"/>
      <c r="OU16" s="9"/>
      <c r="OV16" s="9"/>
      <c r="OW16" s="9"/>
      <c r="OX16" s="9"/>
      <c r="OY16" s="9"/>
      <c r="OZ16" s="9"/>
      <c r="PA16" s="9"/>
      <c r="PB16" s="9"/>
      <c r="PC16" s="9"/>
      <c r="PD16" s="9"/>
      <c r="PE16" s="9"/>
      <c r="PF16" s="9"/>
      <c r="PG16" s="9"/>
      <c r="PH16" s="9"/>
      <c r="PI16" s="9"/>
      <c r="PJ16" s="9"/>
      <c r="PK16" s="9"/>
      <c r="PL16" s="9"/>
      <c r="PM16" s="9"/>
      <c r="PN16" s="9"/>
      <c r="PO16" s="9"/>
      <c r="PP16" s="9"/>
      <c r="PQ16" s="9"/>
      <c r="PR16" s="9"/>
      <c r="PS16" s="9"/>
      <c r="PT16" s="9"/>
      <c r="PU16" s="9"/>
      <c r="PV16" s="9"/>
      <c r="PW16" s="9"/>
      <c r="PX16" s="9"/>
      <c r="PY16" s="9"/>
      <c r="PZ16" s="9"/>
      <c r="QA16" s="9"/>
      <c r="QB16" s="9"/>
      <c r="QC16" s="9"/>
      <c r="QD16" s="9"/>
      <c r="QE16" s="9"/>
      <c r="QF16" s="9"/>
      <c r="QG16" s="9"/>
      <c r="QH16" s="9"/>
      <c r="QI16" s="9"/>
      <c r="QJ16" s="9"/>
      <c r="QK16" s="9"/>
      <c r="QL16" s="9"/>
      <c r="QM16" s="9"/>
      <c r="QN16" s="9"/>
      <c r="QO16" s="9"/>
      <c r="QP16" s="9"/>
      <c r="QQ16" s="9"/>
      <c r="QR16" s="9"/>
      <c r="QS16" s="9"/>
      <c r="QT16" s="9"/>
      <c r="QU16" s="9"/>
      <c r="QV16" s="9"/>
      <c r="QW16" s="9"/>
      <c r="QX16" s="9"/>
      <c r="QY16" s="9"/>
      <c r="QZ16" s="9"/>
      <c r="RA16" s="9"/>
      <c r="RB16" s="9"/>
      <c r="RC16" s="9"/>
      <c r="RD16" s="9"/>
      <c r="RE16" s="9"/>
      <c r="RF16" s="9"/>
      <c r="RG16" s="9"/>
      <c r="RH16" s="9"/>
      <c r="RI16" s="9"/>
      <c r="RJ16" s="9"/>
      <c r="RK16" s="9"/>
      <c r="RL16" s="9"/>
      <c r="RM16" s="9"/>
      <c r="RN16" s="9"/>
      <c r="RO16" s="9"/>
      <c r="RP16" s="9"/>
      <c r="RQ16" s="9"/>
      <c r="RR16" s="9"/>
      <c r="RS16" s="9"/>
      <c r="RT16" s="9"/>
      <c r="RU16" s="9"/>
      <c r="RV16" s="9"/>
      <c r="RW16" s="9"/>
      <c r="RX16" s="9"/>
      <c r="RY16" s="9"/>
      <c r="RZ16" s="9"/>
      <c r="SA16" s="9"/>
      <c r="SB16" s="9"/>
      <c r="SC16" s="9"/>
      <c r="SD16" s="9"/>
      <c r="SE16" s="9"/>
      <c r="SF16" s="9"/>
      <c r="SG16" s="9"/>
      <c r="SH16" s="9"/>
      <c r="SI16" s="9"/>
      <c r="SJ16" s="9"/>
      <c r="SK16" s="9"/>
      <c r="SL16" s="9"/>
      <c r="SM16" s="9"/>
      <c r="SN16" s="9"/>
      <c r="SO16" s="9"/>
      <c r="SP16" s="9"/>
      <c r="SQ16" s="9"/>
      <c r="SR16" s="9"/>
      <c r="SS16" s="9"/>
      <c r="ST16" s="9"/>
      <c r="SU16" s="9"/>
      <c r="SV16" s="9"/>
      <c r="SW16" s="9"/>
      <c r="SX16" s="9"/>
      <c r="SY16" s="9"/>
      <c r="SZ16" s="9"/>
      <c r="TA16" s="9"/>
      <c r="TB16" s="9"/>
      <c r="TC16" s="9"/>
      <c r="TD16" s="9"/>
      <c r="TE16" s="9"/>
      <c r="TF16" s="9"/>
      <c r="TG16" s="9"/>
      <c r="TH16" s="9"/>
      <c r="TI16" s="9"/>
      <c r="TJ16" s="9"/>
      <c r="TK16" s="9"/>
      <c r="TL16" s="9"/>
      <c r="TM16" s="9"/>
      <c r="TN16" s="9"/>
      <c r="TO16" s="9"/>
      <c r="TP16" s="9"/>
      <c r="TQ16" s="9"/>
      <c r="TR16" s="9"/>
      <c r="TS16" s="9"/>
      <c r="TT16" s="9"/>
      <c r="TU16" s="9"/>
      <c r="TV16" s="9"/>
      <c r="TW16" s="9"/>
      <c r="TX16" s="9"/>
      <c r="TY16" s="9"/>
      <c r="TZ16" s="9"/>
      <c r="UA16" s="9"/>
      <c r="UB16" s="9"/>
      <c r="UC16" s="9"/>
      <c r="UD16" s="9"/>
      <c r="UE16" s="9"/>
      <c r="UF16" s="9"/>
      <c r="UG16" s="9"/>
      <c r="UH16" s="9"/>
      <c r="UI16" s="9"/>
      <c r="UJ16" s="9"/>
      <c r="UK16" s="9"/>
      <c r="UL16" s="9"/>
      <c r="UM16" s="9"/>
      <c r="UN16" s="9"/>
      <c r="UO16" s="9"/>
      <c r="UP16" s="9"/>
      <c r="UQ16" s="9"/>
      <c r="UR16" s="9"/>
      <c r="US16" s="9"/>
      <c r="UT16" s="9"/>
      <c r="UU16" s="9"/>
      <c r="UV16" s="9"/>
      <c r="UW16" s="9"/>
      <c r="UX16" s="9"/>
      <c r="UY16" s="9"/>
      <c r="UZ16" s="9"/>
      <c r="VA16" s="9"/>
      <c r="VB16" s="9"/>
      <c r="VC16" s="9"/>
      <c r="VD16" s="9"/>
      <c r="VE16" s="9"/>
      <c r="VF16" s="9"/>
      <c r="VG16" s="9"/>
      <c r="VH16" s="9"/>
      <c r="VI16" s="9"/>
      <c r="VJ16" s="9"/>
      <c r="VK16" s="9"/>
      <c r="VL16" s="9"/>
      <c r="VM16" s="9"/>
      <c r="VN16" s="9"/>
      <c r="VO16" s="9"/>
      <c r="VP16" s="9"/>
      <c r="VQ16" s="9"/>
      <c r="VR16" s="9"/>
      <c r="VS16" s="9"/>
      <c r="VT16" s="9"/>
      <c r="VU16" s="9"/>
      <c r="VV16" s="9"/>
      <c r="VW16" s="9"/>
      <c r="VX16" s="9"/>
      <c r="VY16" s="9"/>
      <c r="VZ16" s="9"/>
      <c r="WA16" s="9"/>
      <c r="WB16" s="9"/>
      <c r="WC16" s="9"/>
      <c r="WD16" s="9"/>
      <c r="WE16" s="9"/>
      <c r="WF16" s="9"/>
      <c r="WG16" s="9"/>
      <c r="WH16" s="9"/>
      <c r="WI16" s="9"/>
      <c r="WJ16" s="9"/>
      <c r="WK16" s="9"/>
      <c r="WL16" s="9"/>
      <c r="WM16" s="9"/>
      <c r="WN16" s="9"/>
      <c r="WO16" s="9"/>
      <c r="WP16" s="9"/>
      <c r="WQ16" s="9"/>
      <c r="WR16" s="9"/>
      <c r="WS16" s="9"/>
      <c r="WT16" s="9"/>
      <c r="WU16" s="9"/>
      <c r="WV16" s="9"/>
      <c r="WW16" s="9"/>
      <c r="WX16" s="9"/>
      <c r="WY16" s="9"/>
      <c r="WZ16" s="9"/>
      <c r="XA16" s="9"/>
      <c r="XB16" s="9"/>
      <c r="XC16" s="9"/>
      <c r="XD16" s="9"/>
      <c r="XE16" s="9"/>
      <c r="XF16" s="9"/>
      <c r="XG16" s="9"/>
      <c r="XH16" s="9"/>
      <c r="XI16" s="9"/>
      <c r="XJ16" s="9"/>
      <c r="XK16" s="9"/>
      <c r="XL16" s="9"/>
      <c r="XM16" s="9"/>
      <c r="XN16" s="9"/>
      <c r="XO16" s="9"/>
      <c r="XP16" s="9"/>
      <c r="XQ16" s="9"/>
      <c r="XR16" s="9"/>
      <c r="XS16" s="9"/>
      <c r="XT16" s="9"/>
      <c r="XU16" s="9"/>
      <c r="XV16" s="9"/>
      <c r="XW16" s="9"/>
      <c r="XX16" s="9"/>
      <c r="XY16" s="9"/>
      <c r="XZ16" s="9"/>
      <c r="YA16" s="9"/>
      <c r="YB16" s="9"/>
      <c r="YC16" s="9"/>
      <c r="YD16" s="9"/>
      <c r="YE16" s="9"/>
      <c r="YF16" s="9"/>
      <c r="YG16" s="9"/>
      <c r="YH16" s="9"/>
      <c r="YI16" s="9"/>
      <c r="YJ16" s="9"/>
      <c r="YK16" s="9"/>
      <c r="YL16" s="9"/>
      <c r="YM16" s="9"/>
      <c r="YN16" s="9"/>
      <c r="YO16" s="9"/>
      <c r="YP16" s="9"/>
      <c r="YQ16" s="9"/>
      <c r="YR16" s="9"/>
      <c r="YS16" s="9"/>
      <c r="YT16" s="9"/>
      <c r="YU16" s="9"/>
      <c r="YV16" s="9"/>
      <c r="YW16" s="9"/>
      <c r="YX16" s="9"/>
      <c r="YY16" s="9"/>
      <c r="YZ16" s="9"/>
      <c r="ZA16" s="9"/>
      <c r="ZB16" s="9"/>
      <c r="ZC16" s="9"/>
      <c r="ZD16" s="9"/>
      <c r="ZE16" s="9"/>
      <c r="ZF16" s="9"/>
      <c r="ZG16" s="9"/>
      <c r="ZH16" s="9"/>
      <c r="ZI16" s="9"/>
      <c r="ZJ16" s="9"/>
      <c r="ZK16" s="9"/>
      <c r="ZL16" s="9"/>
      <c r="ZM16" s="9"/>
      <c r="ZN16" s="9"/>
      <c r="ZO16" s="9"/>
      <c r="ZP16" s="9"/>
      <c r="ZQ16" s="9"/>
      <c r="ZR16" s="9"/>
      <c r="ZS16" s="9"/>
      <c r="ZT16" s="9"/>
      <c r="ZU16" s="9"/>
      <c r="ZV16" s="9"/>
      <c r="ZW16" s="9"/>
      <c r="ZX16" s="9"/>
      <c r="ZY16" s="9"/>
      <c r="ZZ16" s="9"/>
      <c r="AAA16" s="9"/>
      <c r="AAB16" s="9"/>
      <c r="AAC16" s="9"/>
      <c r="AAD16" s="9"/>
      <c r="AAE16" s="9"/>
      <c r="AAF16" s="9"/>
      <c r="AAG16" s="9"/>
      <c r="AAH16" s="9"/>
      <c r="AAI16" s="9"/>
      <c r="AAJ16" s="9"/>
      <c r="AAK16" s="9"/>
      <c r="AAL16" s="9"/>
      <c r="AAM16" s="9"/>
      <c r="AAN16" s="9"/>
      <c r="AAO16" s="9"/>
      <c r="AAP16" s="9"/>
      <c r="AAQ16" s="9"/>
      <c r="AAR16" s="9"/>
      <c r="AAS16" s="9"/>
      <c r="AAT16" s="9"/>
      <c r="AAU16" s="9"/>
      <c r="AAV16" s="9"/>
      <c r="AAW16" s="9"/>
      <c r="AAX16" s="9"/>
      <c r="AAY16" s="9"/>
      <c r="AAZ16" s="9"/>
      <c r="ABA16" s="9"/>
      <c r="ABB16" s="9"/>
      <c r="ABC16" s="9"/>
      <c r="ABD16" s="9"/>
      <c r="ABE16" s="9"/>
      <c r="ABF16" s="9"/>
      <c r="ABG16" s="9"/>
      <c r="ABH16" s="9"/>
      <c r="ABI16" s="9"/>
      <c r="ABJ16" s="9"/>
      <c r="ABK16" s="9"/>
      <c r="ABL16" s="9"/>
      <c r="ABM16" s="9"/>
      <c r="ABN16" s="9"/>
      <c r="ABO16" s="9"/>
      <c r="ABP16" s="9"/>
      <c r="ABQ16" s="9"/>
      <c r="ABR16" s="9"/>
      <c r="ABS16" s="9"/>
      <c r="ABT16" s="9"/>
      <c r="ABU16" s="9"/>
      <c r="ABV16" s="9"/>
      <c r="ABW16" s="9"/>
      <c r="ABX16" s="9"/>
      <c r="ABY16" s="9"/>
      <c r="ABZ16" s="9"/>
      <c r="ACA16" s="9"/>
      <c r="ACB16" s="9"/>
      <c r="ACC16" s="9"/>
      <c r="ACD16" s="9"/>
      <c r="ACE16" s="9"/>
      <c r="ACF16" s="9"/>
      <c r="ACG16" s="9"/>
      <c r="ACH16" s="9"/>
      <c r="ACI16" s="9"/>
      <c r="ACJ16" s="9"/>
      <c r="ACK16" s="9"/>
      <c r="ACL16" s="9"/>
      <c r="ACM16" s="9"/>
      <c r="ACN16" s="9"/>
      <c r="ACO16" s="9"/>
      <c r="ACP16" s="9"/>
      <c r="ACQ16" s="9"/>
      <c r="ACR16" s="9"/>
      <c r="ACS16" s="9"/>
      <c r="ACT16" s="9"/>
      <c r="ACU16" s="9"/>
      <c r="ACV16" s="9"/>
      <c r="ACW16" s="9"/>
      <c r="ACX16" s="9"/>
      <c r="ACY16" s="9"/>
      <c r="ACZ16" s="9"/>
      <c r="ADA16" s="9"/>
      <c r="ADB16" s="9"/>
      <c r="ADC16" s="9"/>
      <c r="ADD16" s="9"/>
      <c r="ADE16" s="9"/>
      <c r="ADF16" s="9"/>
      <c r="ADG16" s="9"/>
      <c r="ADH16" s="9"/>
      <c r="ADI16" s="9"/>
      <c r="ADJ16" s="9"/>
      <c r="ADK16" s="9"/>
      <c r="ADL16" s="9"/>
      <c r="ADM16" s="9"/>
      <c r="ADN16" s="9"/>
      <c r="ADO16" s="9"/>
      <c r="ADP16" s="9"/>
      <c r="ADQ16" s="9"/>
      <c r="ADR16" s="9"/>
      <c r="ADS16" s="9"/>
      <c r="ADT16" s="9"/>
      <c r="ADU16" s="9"/>
      <c r="ADV16" s="9"/>
      <c r="ADW16" s="9"/>
      <c r="ADX16" s="9"/>
      <c r="ADY16" s="9"/>
      <c r="ADZ16" s="9"/>
      <c r="AEA16" s="9"/>
      <c r="AEB16" s="9"/>
      <c r="AEC16" s="9"/>
      <c r="AED16" s="9"/>
      <c r="AEE16" s="9"/>
      <c r="AEF16" s="9"/>
      <c r="AEG16" s="9"/>
      <c r="AEH16" s="9"/>
      <c r="AEI16" s="9"/>
      <c r="AEJ16" s="9"/>
      <c r="AEK16" s="9"/>
      <c r="AEL16" s="9"/>
      <c r="AEM16" s="9"/>
      <c r="AEN16" s="9"/>
      <c r="AEO16" s="9"/>
      <c r="AEP16" s="9"/>
      <c r="AEQ16" s="9"/>
      <c r="AER16" s="9"/>
      <c r="AES16" s="9"/>
      <c r="AET16" s="9"/>
      <c r="AEU16" s="9"/>
      <c r="AEV16" s="9"/>
      <c r="AEW16" s="9"/>
      <c r="AEX16" s="9"/>
      <c r="AEY16" s="9"/>
      <c r="AEZ16" s="9"/>
      <c r="AFA16" s="9"/>
      <c r="AFB16" s="9"/>
      <c r="AFC16" s="9"/>
      <c r="AFD16" s="9"/>
      <c r="AFE16" s="9"/>
      <c r="AFF16" s="9"/>
      <c r="AFG16" s="9"/>
      <c r="AFH16" s="9"/>
      <c r="AFI16" s="9"/>
      <c r="AFJ16" s="9"/>
      <c r="AFK16" s="9"/>
      <c r="AFL16" s="9"/>
      <c r="AFM16" s="9"/>
      <c r="AFN16" s="9"/>
      <c r="AFO16" s="9"/>
      <c r="AFP16" s="9"/>
      <c r="AFQ16" s="9"/>
      <c r="AFR16" s="9"/>
      <c r="AFS16" s="9"/>
      <c r="AFT16" s="9"/>
      <c r="AFU16" s="9"/>
      <c r="AFV16" s="9"/>
      <c r="AFW16" s="9"/>
      <c r="AFX16" s="9"/>
      <c r="AFY16" s="9"/>
      <c r="AFZ16" s="9"/>
      <c r="AGA16" s="9"/>
      <c r="AGB16" s="9"/>
      <c r="AGC16" s="9"/>
      <c r="AGD16" s="9"/>
      <c r="AGE16" s="9"/>
      <c r="AGF16" s="9"/>
      <c r="AGG16" s="9"/>
      <c r="AGH16" s="9"/>
      <c r="AGI16" s="9"/>
      <c r="AGJ16" s="9"/>
      <c r="AGK16" s="9"/>
      <c r="AGL16" s="9"/>
      <c r="AGM16" s="9"/>
      <c r="AGN16" s="9"/>
      <c r="AGO16" s="9"/>
      <c r="AGP16" s="9"/>
      <c r="AGQ16" s="9"/>
      <c r="AGR16" s="9"/>
      <c r="AGS16" s="9"/>
      <c r="AGT16" s="9"/>
      <c r="AGU16" s="9"/>
      <c r="AGV16" s="9"/>
      <c r="AGW16" s="9"/>
      <c r="AGX16" s="9"/>
      <c r="AGY16" s="9"/>
      <c r="AGZ16" s="9"/>
      <c r="AHA16" s="9"/>
      <c r="AHB16" s="9"/>
      <c r="AHC16" s="9"/>
      <c r="AHD16" s="9"/>
      <c r="AHE16" s="9"/>
      <c r="AHF16" s="9"/>
      <c r="AHG16" s="9"/>
      <c r="AHH16" s="9"/>
      <c r="AHI16" s="9"/>
      <c r="AHJ16" s="9"/>
      <c r="AHK16" s="9"/>
      <c r="AHL16" s="9"/>
      <c r="AHM16" s="9"/>
      <c r="AHN16" s="9"/>
      <c r="AHO16" s="9"/>
      <c r="AHP16" s="9"/>
      <c r="AHQ16" s="9"/>
      <c r="AHR16" s="9"/>
      <c r="AHS16" s="9"/>
      <c r="AHT16" s="9"/>
      <c r="AHU16" s="9"/>
      <c r="AHV16" s="9"/>
      <c r="AHW16" s="9"/>
      <c r="AHX16" s="9"/>
      <c r="AHY16" s="9"/>
      <c r="AHZ16" s="9"/>
      <c r="AIA16" s="9"/>
      <c r="AIB16" s="9"/>
      <c r="AIC16" s="9"/>
      <c r="AID16" s="9"/>
      <c r="AIE16" s="9"/>
      <c r="AIF16" s="9"/>
      <c r="AIG16" s="9"/>
      <c r="AIH16" s="9"/>
      <c r="AII16" s="9"/>
      <c r="AIJ16" s="9"/>
      <c r="AIK16" s="9"/>
      <c r="AIL16" s="9"/>
      <c r="AIM16" s="9"/>
      <c r="AIN16" s="9"/>
      <c r="AIO16" s="9"/>
      <c r="AIP16" s="9"/>
      <c r="AIQ16" s="9"/>
      <c r="AIR16" s="9"/>
      <c r="AIS16" s="9"/>
      <c r="AIT16" s="9"/>
      <c r="AIU16" s="9"/>
      <c r="AIV16" s="9"/>
      <c r="AIW16" s="9"/>
      <c r="AIX16" s="9"/>
      <c r="AIY16" s="9"/>
      <c r="AIZ16" s="9"/>
      <c r="AJA16" s="9"/>
      <c r="AJB16" s="9"/>
      <c r="AJC16" s="9"/>
      <c r="AJD16" s="9"/>
      <c r="AJE16" s="9"/>
      <c r="AJF16" s="9"/>
      <c r="AJG16" s="9"/>
      <c r="AJH16" s="9"/>
      <c r="AJI16" s="9"/>
      <c r="AJJ16" s="9"/>
      <c r="AJK16" s="9"/>
      <c r="AJL16" s="9"/>
      <c r="AJM16" s="9"/>
      <c r="AJN16" s="9"/>
      <c r="AJO16" s="9"/>
      <c r="AJP16" s="9"/>
      <c r="AJQ16" s="9"/>
      <c r="AJR16" s="9"/>
      <c r="AJS16" s="9"/>
      <c r="AJT16" s="9"/>
      <c r="AJU16" s="9"/>
      <c r="AJV16" s="9"/>
      <c r="AJW16" s="9"/>
      <c r="AJX16" s="9"/>
      <c r="AJY16" s="9"/>
      <c r="AJZ16" s="9"/>
      <c r="AKA16" s="9"/>
      <c r="AKB16" s="9"/>
      <c r="AKC16" s="9"/>
      <c r="AKD16" s="9"/>
      <c r="AKE16" s="9"/>
      <c r="AKF16" s="9"/>
      <c r="AKG16" s="9"/>
      <c r="AKH16" s="9"/>
      <c r="AKI16" s="9"/>
      <c r="AKJ16" s="9"/>
      <c r="AKK16" s="9"/>
      <c r="AKL16" s="9"/>
      <c r="AKM16" s="9"/>
      <c r="AKN16" s="9"/>
      <c r="AKO16" s="9"/>
      <c r="AKP16" s="9"/>
      <c r="AKQ16" s="9"/>
      <c r="AKR16" s="9"/>
      <c r="AKS16" s="9"/>
      <c r="AKT16" s="9"/>
      <c r="AKU16" s="9"/>
      <c r="AKV16" s="9"/>
      <c r="AKW16" s="9"/>
      <c r="AKX16" s="9"/>
      <c r="AKY16" s="9"/>
      <c r="AKZ16" s="9"/>
      <c r="ALA16" s="9"/>
      <c r="ALB16" s="9"/>
      <c r="ALC16" s="9"/>
      <c r="ALD16" s="9"/>
      <c r="ALE16" s="9"/>
      <c r="ALF16" s="9"/>
      <c r="ALG16" s="9"/>
      <c r="ALH16" s="9"/>
      <c r="ALI16" s="9"/>
      <c r="ALJ16" s="9"/>
      <c r="ALK16" s="9"/>
      <c r="ALL16" s="9"/>
      <c r="ALM16" s="9"/>
      <c r="ALN16" s="9"/>
      <c r="ALO16" s="9"/>
      <c r="ALP16" s="9"/>
      <c r="ALQ16" s="9"/>
      <c r="ALR16" s="9"/>
      <c r="ALS16" s="9"/>
      <c r="ALT16" s="9"/>
      <c r="ALU16" s="9"/>
      <c r="ALV16" s="9"/>
      <c r="ALW16" s="9"/>
      <c r="ALX16" s="9"/>
      <c r="ALY16" s="9"/>
      <c r="ALZ16" s="9"/>
      <c r="AMA16" s="9"/>
      <c r="AMB16" s="9"/>
      <c r="AMC16" s="9"/>
      <c r="AMD16" s="9"/>
      <c r="AME16" s="9"/>
      <c r="AMF16" s="9"/>
      <c r="AMG16" s="9"/>
      <c r="AMH16" s="9"/>
      <c r="AMI16" s="9"/>
      <c r="AMJ16" s="9"/>
    </row>
    <row r="17" spans="1:1024" x14ac:dyDescent="0.35">
      <c r="A17" s="2"/>
      <c r="B17" s="9"/>
      <c r="C17" s="2"/>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B17" s="9"/>
      <c r="JC17" s="9"/>
      <c r="JD17" s="9"/>
      <c r="JE17" s="9"/>
      <c r="JF17" s="9"/>
      <c r="JG17" s="9"/>
      <c r="JH17" s="9"/>
      <c r="JI17" s="9"/>
      <c r="JJ17" s="9"/>
      <c r="JK17" s="9"/>
      <c r="JL17" s="9"/>
      <c r="JM17" s="9"/>
      <c r="JN17" s="9"/>
      <c r="JO17" s="9"/>
      <c r="JP17" s="9"/>
      <c r="JQ17" s="9"/>
      <c r="JR17" s="9"/>
      <c r="JS17" s="9"/>
      <c r="JT17" s="9"/>
      <c r="JU17" s="9"/>
      <c r="JV17" s="9"/>
      <c r="JW17" s="9"/>
      <c r="JX17" s="9"/>
      <c r="JY17" s="9"/>
      <c r="JZ17" s="9"/>
      <c r="KA17" s="9"/>
      <c r="KB17" s="9"/>
      <c r="KC17" s="9"/>
      <c r="KD17" s="9"/>
      <c r="KE17" s="9"/>
      <c r="KF17" s="9"/>
      <c r="KG17" s="9"/>
      <c r="KH17" s="9"/>
      <c r="KI17" s="9"/>
      <c r="KJ17" s="9"/>
      <c r="KK17" s="9"/>
      <c r="KL17" s="9"/>
      <c r="KM17" s="9"/>
      <c r="KN17" s="9"/>
      <c r="KO17" s="9"/>
      <c r="KP17" s="9"/>
      <c r="KQ17" s="9"/>
      <c r="KR17" s="9"/>
      <c r="KS17" s="9"/>
      <c r="KT17" s="9"/>
      <c r="KU17" s="9"/>
      <c r="KV17" s="9"/>
      <c r="KW17" s="9"/>
      <c r="KX17" s="9"/>
      <c r="KY17" s="9"/>
      <c r="KZ17" s="9"/>
      <c r="LA17" s="9"/>
      <c r="LB17" s="9"/>
      <c r="LC17" s="9"/>
      <c r="LD17" s="9"/>
      <c r="LE17" s="9"/>
      <c r="LF17" s="9"/>
      <c r="LG17" s="9"/>
      <c r="LH17" s="9"/>
      <c r="LI17" s="9"/>
      <c r="LJ17" s="9"/>
      <c r="LK17" s="9"/>
      <c r="LL17" s="9"/>
      <c r="LM17" s="9"/>
      <c r="LN17" s="9"/>
      <c r="LO17" s="9"/>
      <c r="LP17" s="9"/>
      <c r="LQ17" s="9"/>
      <c r="LR17" s="9"/>
      <c r="LS17" s="9"/>
      <c r="LT17" s="9"/>
      <c r="LU17" s="9"/>
      <c r="LV17" s="9"/>
      <c r="LW17" s="9"/>
      <c r="LX17" s="9"/>
      <c r="LY17" s="9"/>
      <c r="LZ17" s="9"/>
      <c r="MA17" s="9"/>
      <c r="MB17" s="9"/>
      <c r="MC17" s="9"/>
      <c r="MD17" s="9"/>
      <c r="ME17" s="9"/>
      <c r="MF17" s="9"/>
      <c r="MG17" s="9"/>
      <c r="MH17" s="9"/>
      <c r="MI17" s="9"/>
      <c r="MJ17" s="9"/>
      <c r="MK17" s="9"/>
      <c r="ML17" s="9"/>
      <c r="MM17" s="9"/>
      <c r="MN17" s="9"/>
      <c r="MO17" s="9"/>
      <c r="MP17" s="9"/>
      <c r="MQ17" s="9"/>
      <c r="MR17" s="9"/>
      <c r="MS17" s="9"/>
      <c r="MT17" s="9"/>
      <c r="MU17" s="9"/>
      <c r="MV17" s="9"/>
      <c r="MW17" s="9"/>
      <c r="MX17" s="9"/>
      <c r="MY17" s="9"/>
      <c r="MZ17" s="9"/>
      <c r="NA17" s="9"/>
      <c r="NB17" s="9"/>
      <c r="NC17" s="9"/>
      <c r="ND17" s="9"/>
      <c r="NE17" s="9"/>
      <c r="NF17" s="9"/>
      <c r="NG17" s="9"/>
      <c r="NH17" s="9"/>
      <c r="NI17" s="9"/>
      <c r="NJ17" s="9"/>
      <c r="NK17" s="9"/>
      <c r="NL17" s="9"/>
      <c r="NM17" s="9"/>
      <c r="NN17" s="9"/>
      <c r="NO17" s="9"/>
      <c r="NP17" s="9"/>
      <c r="NQ17" s="9"/>
      <c r="NR17" s="9"/>
      <c r="NS17" s="9"/>
      <c r="NT17" s="9"/>
      <c r="NU17" s="9"/>
      <c r="NV17" s="9"/>
      <c r="NW17" s="9"/>
      <c r="NX17" s="9"/>
      <c r="NY17" s="9"/>
      <c r="NZ17" s="9"/>
      <c r="OA17" s="9"/>
      <c r="OB17" s="9"/>
      <c r="OC17" s="9"/>
      <c r="OD17" s="9"/>
      <c r="OE17" s="9"/>
      <c r="OF17" s="9"/>
      <c r="OG17" s="9"/>
      <c r="OH17" s="9"/>
      <c r="OI17" s="9"/>
      <c r="OJ17" s="9"/>
      <c r="OK17" s="9"/>
      <c r="OL17" s="9"/>
      <c r="OM17" s="9"/>
      <c r="ON17" s="9"/>
      <c r="OO17" s="9"/>
      <c r="OP17" s="9"/>
      <c r="OQ17" s="9"/>
      <c r="OR17" s="9"/>
      <c r="OS17" s="9"/>
      <c r="OT17" s="9"/>
      <c r="OU17" s="9"/>
      <c r="OV17" s="9"/>
      <c r="OW17" s="9"/>
      <c r="OX17" s="9"/>
      <c r="OY17" s="9"/>
      <c r="OZ17" s="9"/>
      <c r="PA17" s="9"/>
      <c r="PB17" s="9"/>
      <c r="PC17" s="9"/>
      <c r="PD17" s="9"/>
      <c r="PE17" s="9"/>
      <c r="PF17" s="9"/>
      <c r="PG17" s="9"/>
      <c r="PH17" s="9"/>
      <c r="PI17" s="9"/>
      <c r="PJ17" s="9"/>
      <c r="PK17" s="9"/>
      <c r="PL17" s="9"/>
      <c r="PM17" s="9"/>
      <c r="PN17" s="9"/>
      <c r="PO17" s="9"/>
      <c r="PP17" s="9"/>
      <c r="PQ17" s="9"/>
      <c r="PR17" s="9"/>
      <c r="PS17" s="9"/>
      <c r="PT17" s="9"/>
      <c r="PU17" s="9"/>
      <c r="PV17" s="9"/>
      <c r="PW17" s="9"/>
      <c r="PX17" s="9"/>
      <c r="PY17" s="9"/>
      <c r="PZ17" s="9"/>
      <c r="QA17" s="9"/>
      <c r="QB17" s="9"/>
      <c r="QC17" s="9"/>
      <c r="QD17" s="9"/>
      <c r="QE17" s="9"/>
      <c r="QF17" s="9"/>
      <c r="QG17" s="9"/>
      <c r="QH17" s="9"/>
      <c r="QI17" s="9"/>
      <c r="QJ17" s="9"/>
      <c r="QK17" s="9"/>
      <c r="QL17" s="9"/>
      <c r="QM17" s="9"/>
      <c r="QN17" s="9"/>
      <c r="QO17" s="9"/>
      <c r="QP17" s="9"/>
      <c r="QQ17" s="9"/>
      <c r="QR17" s="9"/>
      <c r="QS17" s="9"/>
      <c r="QT17" s="9"/>
      <c r="QU17" s="9"/>
      <c r="QV17" s="9"/>
      <c r="QW17" s="9"/>
      <c r="QX17" s="9"/>
      <c r="QY17" s="9"/>
      <c r="QZ17" s="9"/>
      <c r="RA17" s="9"/>
      <c r="RB17" s="9"/>
      <c r="RC17" s="9"/>
      <c r="RD17" s="9"/>
      <c r="RE17" s="9"/>
      <c r="RF17" s="9"/>
      <c r="RG17" s="9"/>
      <c r="RH17" s="9"/>
      <c r="RI17" s="9"/>
      <c r="RJ17" s="9"/>
      <c r="RK17" s="9"/>
      <c r="RL17" s="9"/>
      <c r="RM17" s="9"/>
      <c r="RN17" s="9"/>
      <c r="RO17" s="9"/>
      <c r="RP17" s="9"/>
      <c r="RQ17" s="9"/>
      <c r="RR17" s="9"/>
      <c r="RS17" s="9"/>
      <c r="RT17" s="9"/>
      <c r="RU17" s="9"/>
      <c r="RV17" s="9"/>
      <c r="RW17" s="9"/>
      <c r="RX17" s="9"/>
      <c r="RY17" s="9"/>
      <c r="RZ17" s="9"/>
      <c r="SA17" s="9"/>
      <c r="SB17" s="9"/>
      <c r="SC17" s="9"/>
      <c r="SD17" s="9"/>
      <c r="SE17" s="9"/>
      <c r="SF17" s="9"/>
      <c r="SG17" s="9"/>
      <c r="SH17" s="9"/>
      <c r="SI17" s="9"/>
      <c r="SJ17" s="9"/>
      <c r="SK17" s="9"/>
      <c r="SL17" s="9"/>
      <c r="SM17" s="9"/>
      <c r="SN17" s="9"/>
      <c r="SO17" s="9"/>
      <c r="SP17" s="9"/>
      <c r="SQ17" s="9"/>
      <c r="SR17" s="9"/>
      <c r="SS17" s="9"/>
      <c r="ST17" s="9"/>
      <c r="SU17" s="9"/>
      <c r="SV17" s="9"/>
      <c r="SW17" s="9"/>
      <c r="SX17" s="9"/>
      <c r="SY17" s="9"/>
      <c r="SZ17" s="9"/>
      <c r="TA17" s="9"/>
      <c r="TB17" s="9"/>
      <c r="TC17" s="9"/>
      <c r="TD17" s="9"/>
      <c r="TE17" s="9"/>
      <c r="TF17" s="9"/>
      <c r="TG17" s="9"/>
      <c r="TH17" s="9"/>
      <c r="TI17" s="9"/>
      <c r="TJ17" s="9"/>
      <c r="TK17" s="9"/>
      <c r="TL17" s="9"/>
      <c r="TM17" s="9"/>
      <c r="TN17" s="9"/>
      <c r="TO17" s="9"/>
      <c r="TP17" s="9"/>
      <c r="TQ17" s="9"/>
      <c r="TR17" s="9"/>
      <c r="TS17" s="9"/>
      <c r="TT17" s="9"/>
      <c r="TU17" s="9"/>
      <c r="TV17" s="9"/>
      <c r="TW17" s="9"/>
      <c r="TX17" s="9"/>
      <c r="TY17" s="9"/>
      <c r="TZ17" s="9"/>
      <c r="UA17" s="9"/>
      <c r="UB17" s="9"/>
      <c r="UC17" s="9"/>
      <c r="UD17" s="9"/>
      <c r="UE17" s="9"/>
      <c r="UF17" s="9"/>
      <c r="UG17" s="9"/>
      <c r="UH17" s="9"/>
      <c r="UI17" s="9"/>
      <c r="UJ17" s="9"/>
      <c r="UK17" s="9"/>
      <c r="UL17" s="9"/>
      <c r="UM17" s="9"/>
      <c r="UN17" s="9"/>
      <c r="UO17" s="9"/>
      <c r="UP17" s="9"/>
      <c r="UQ17" s="9"/>
      <c r="UR17" s="9"/>
      <c r="US17" s="9"/>
      <c r="UT17" s="9"/>
      <c r="UU17" s="9"/>
      <c r="UV17" s="9"/>
      <c r="UW17" s="9"/>
      <c r="UX17" s="9"/>
      <c r="UY17" s="9"/>
      <c r="UZ17" s="9"/>
      <c r="VA17" s="9"/>
      <c r="VB17" s="9"/>
      <c r="VC17" s="9"/>
      <c r="VD17" s="9"/>
      <c r="VE17" s="9"/>
      <c r="VF17" s="9"/>
      <c r="VG17" s="9"/>
      <c r="VH17" s="9"/>
      <c r="VI17" s="9"/>
      <c r="VJ17" s="9"/>
      <c r="VK17" s="9"/>
      <c r="VL17" s="9"/>
      <c r="VM17" s="9"/>
      <c r="VN17" s="9"/>
      <c r="VO17" s="9"/>
      <c r="VP17" s="9"/>
      <c r="VQ17" s="9"/>
      <c r="VR17" s="9"/>
      <c r="VS17" s="9"/>
      <c r="VT17" s="9"/>
      <c r="VU17" s="9"/>
      <c r="VV17" s="9"/>
      <c r="VW17" s="9"/>
      <c r="VX17" s="9"/>
      <c r="VY17" s="9"/>
      <c r="VZ17" s="9"/>
      <c r="WA17" s="9"/>
      <c r="WB17" s="9"/>
      <c r="WC17" s="9"/>
      <c r="WD17" s="9"/>
      <c r="WE17" s="9"/>
      <c r="WF17" s="9"/>
      <c r="WG17" s="9"/>
      <c r="WH17" s="9"/>
      <c r="WI17" s="9"/>
      <c r="WJ17" s="9"/>
      <c r="WK17" s="9"/>
      <c r="WL17" s="9"/>
      <c r="WM17" s="9"/>
      <c r="WN17" s="9"/>
      <c r="WO17" s="9"/>
      <c r="WP17" s="9"/>
      <c r="WQ17" s="9"/>
      <c r="WR17" s="9"/>
      <c r="WS17" s="9"/>
      <c r="WT17" s="9"/>
      <c r="WU17" s="9"/>
      <c r="WV17" s="9"/>
      <c r="WW17" s="9"/>
      <c r="WX17" s="9"/>
      <c r="WY17" s="9"/>
      <c r="WZ17" s="9"/>
      <c r="XA17" s="9"/>
      <c r="XB17" s="9"/>
      <c r="XC17" s="9"/>
      <c r="XD17" s="9"/>
      <c r="XE17" s="9"/>
      <c r="XF17" s="9"/>
      <c r="XG17" s="9"/>
      <c r="XH17" s="9"/>
      <c r="XI17" s="9"/>
      <c r="XJ17" s="9"/>
      <c r="XK17" s="9"/>
      <c r="XL17" s="9"/>
      <c r="XM17" s="9"/>
      <c r="XN17" s="9"/>
      <c r="XO17" s="9"/>
      <c r="XP17" s="9"/>
      <c r="XQ17" s="9"/>
      <c r="XR17" s="9"/>
      <c r="XS17" s="9"/>
      <c r="XT17" s="9"/>
      <c r="XU17" s="9"/>
      <c r="XV17" s="9"/>
      <c r="XW17" s="9"/>
      <c r="XX17" s="9"/>
      <c r="XY17" s="9"/>
      <c r="XZ17" s="9"/>
      <c r="YA17" s="9"/>
      <c r="YB17" s="9"/>
      <c r="YC17" s="9"/>
      <c r="YD17" s="9"/>
      <c r="YE17" s="9"/>
      <c r="YF17" s="9"/>
      <c r="YG17" s="9"/>
      <c r="YH17" s="9"/>
      <c r="YI17" s="9"/>
      <c r="YJ17" s="9"/>
      <c r="YK17" s="9"/>
      <c r="YL17" s="9"/>
      <c r="YM17" s="9"/>
      <c r="YN17" s="9"/>
      <c r="YO17" s="9"/>
      <c r="YP17" s="9"/>
      <c r="YQ17" s="9"/>
      <c r="YR17" s="9"/>
      <c r="YS17" s="9"/>
      <c r="YT17" s="9"/>
      <c r="YU17" s="9"/>
      <c r="YV17" s="9"/>
      <c r="YW17" s="9"/>
      <c r="YX17" s="9"/>
      <c r="YY17" s="9"/>
      <c r="YZ17" s="9"/>
      <c r="ZA17" s="9"/>
      <c r="ZB17" s="9"/>
      <c r="ZC17" s="9"/>
      <c r="ZD17" s="9"/>
      <c r="ZE17" s="9"/>
      <c r="ZF17" s="9"/>
      <c r="ZG17" s="9"/>
      <c r="ZH17" s="9"/>
      <c r="ZI17" s="9"/>
      <c r="ZJ17" s="9"/>
      <c r="ZK17" s="9"/>
      <c r="ZL17" s="9"/>
      <c r="ZM17" s="9"/>
      <c r="ZN17" s="9"/>
      <c r="ZO17" s="9"/>
      <c r="ZP17" s="9"/>
      <c r="ZQ17" s="9"/>
      <c r="ZR17" s="9"/>
      <c r="ZS17" s="9"/>
      <c r="ZT17" s="9"/>
      <c r="ZU17" s="9"/>
      <c r="ZV17" s="9"/>
      <c r="ZW17" s="9"/>
      <c r="ZX17" s="9"/>
      <c r="ZY17" s="9"/>
      <c r="ZZ17" s="9"/>
      <c r="AAA17" s="9"/>
      <c r="AAB17" s="9"/>
      <c r="AAC17" s="9"/>
      <c r="AAD17" s="9"/>
      <c r="AAE17" s="9"/>
      <c r="AAF17" s="9"/>
      <c r="AAG17" s="9"/>
      <c r="AAH17" s="9"/>
      <c r="AAI17" s="9"/>
      <c r="AAJ17" s="9"/>
      <c r="AAK17" s="9"/>
      <c r="AAL17" s="9"/>
      <c r="AAM17" s="9"/>
      <c r="AAN17" s="9"/>
      <c r="AAO17" s="9"/>
      <c r="AAP17" s="9"/>
      <c r="AAQ17" s="9"/>
      <c r="AAR17" s="9"/>
      <c r="AAS17" s="9"/>
      <c r="AAT17" s="9"/>
      <c r="AAU17" s="9"/>
      <c r="AAV17" s="9"/>
      <c r="AAW17" s="9"/>
      <c r="AAX17" s="9"/>
      <c r="AAY17" s="9"/>
      <c r="AAZ17" s="9"/>
      <c r="ABA17" s="9"/>
      <c r="ABB17" s="9"/>
      <c r="ABC17" s="9"/>
      <c r="ABD17" s="9"/>
      <c r="ABE17" s="9"/>
      <c r="ABF17" s="9"/>
      <c r="ABG17" s="9"/>
      <c r="ABH17" s="9"/>
      <c r="ABI17" s="9"/>
      <c r="ABJ17" s="9"/>
      <c r="ABK17" s="9"/>
      <c r="ABL17" s="9"/>
      <c r="ABM17" s="9"/>
      <c r="ABN17" s="9"/>
      <c r="ABO17" s="9"/>
      <c r="ABP17" s="9"/>
      <c r="ABQ17" s="9"/>
      <c r="ABR17" s="9"/>
      <c r="ABS17" s="9"/>
      <c r="ABT17" s="9"/>
      <c r="ABU17" s="9"/>
      <c r="ABV17" s="9"/>
      <c r="ABW17" s="9"/>
      <c r="ABX17" s="9"/>
      <c r="ABY17" s="9"/>
      <c r="ABZ17" s="9"/>
      <c r="ACA17" s="9"/>
      <c r="ACB17" s="9"/>
      <c r="ACC17" s="9"/>
      <c r="ACD17" s="9"/>
      <c r="ACE17" s="9"/>
      <c r="ACF17" s="9"/>
      <c r="ACG17" s="9"/>
      <c r="ACH17" s="9"/>
      <c r="ACI17" s="9"/>
      <c r="ACJ17" s="9"/>
      <c r="ACK17" s="9"/>
      <c r="ACL17" s="9"/>
      <c r="ACM17" s="9"/>
      <c r="ACN17" s="9"/>
      <c r="ACO17" s="9"/>
      <c r="ACP17" s="9"/>
      <c r="ACQ17" s="9"/>
      <c r="ACR17" s="9"/>
      <c r="ACS17" s="9"/>
      <c r="ACT17" s="9"/>
      <c r="ACU17" s="9"/>
      <c r="ACV17" s="9"/>
      <c r="ACW17" s="9"/>
      <c r="ACX17" s="9"/>
      <c r="ACY17" s="9"/>
      <c r="ACZ17" s="9"/>
      <c r="ADA17" s="9"/>
      <c r="ADB17" s="9"/>
      <c r="ADC17" s="9"/>
      <c r="ADD17" s="9"/>
      <c r="ADE17" s="9"/>
      <c r="ADF17" s="9"/>
      <c r="ADG17" s="9"/>
      <c r="ADH17" s="9"/>
      <c r="ADI17" s="9"/>
      <c r="ADJ17" s="9"/>
      <c r="ADK17" s="9"/>
      <c r="ADL17" s="9"/>
      <c r="ADM17" s="9"/>
      <c r="ADN17" s="9"/>
      <c r="ADO17" s="9"/>
      <c r="ADP17" s="9"/>
      <c r="ADQ17" s="9"/>
      <c r="ADR17" s="9"/>
      <c r="ADS17" s="9"/>
      <c r="ADT17" s="9"/>
      <c r="ADU17" s="9"/>
      <c r="ADV17" s="9"/>
      <c r="ADW17" s="9"/>
      <c r="ADX17" s="9"/>
      <c r="ADY17" s="9"/>
      <c r="ADZ17" s="9"/>
      <c r="AEA17" s="9"/>
      <c r="AEB17" s="9"/>
      <c r="AEC17" s="9"/>
      <c r="AED17" s="9"/>
      <c r="AEE17" s="9"/>
      <c r="AEF17" s="9"/>
      <c r="AEG17" s="9"/>
      <c r="AEH17" s="9"/>
      <c r="AEI17" s="9"/>
      <c r="AEJ17" s="9"/>
      <c r="AEK17" s="9"/>
      <c r="AEL17" s="9"/>
      <c r="AEM17" s="9"/>
      <c r="AEN17" s="9"/>
      <c r="AEO17" s="9"/>
      <c r="AEP17" s="9"/>
      <c r="AEQ17" s="9"/>
      <c r="AER17" s="9"/>
      <c r="AES17" s="9"/>
      <c r="AET17" s="9"/>
      <c r="AEU17" s="9"/>
      <c r="AEV17" s="9"/>
      <c r="AEW17" s="9"/>
      <c r="AEX17" s="9"/>
      <c r="AEY17" s="9"/>
      <c r="AEZ17" s="9"/>
      <c r="AFA17" s="9"/>
      <c r="AFB17" s="9"/>
      <c r="AFC17" s="9"/>
      <c r="AFD17" s="9"/>
      <c r="AFE17" s="9"/>
      <c r="AFF17" s="9"/>
      <c r="AFG17" s="9"/>
      <c r="AFH17" s="9"/>
      <c r="AFI17" s="9"/>
      <c r="AFJ17" s="9"/>
      <c r="AFK17" s="9"/>
      <c r="AFL17" s="9"/>
      <c r="AFM17" s="9"/>
      <c r="AFN17" s="9"/>
      <c r="AFO17" s="9"/>
      <c r="AFP17" s="9"/>
      <c r="AFQ17" s="9"/>
      <c r="AFR17" s="9"/>
      <c r="AFS17" s="9"/>
      <c r="AFT17" s="9"/>
      <c r="AFU17" s="9"/>
      <c r="AFV17" s="9"/>
      <c r="AFW17" s="9"/>
      <c r="AFX17" s="9"/>
      <c r="AFY17" s="9"/>
      <c r="AFZ17" s="9"/>
      <c r="AGA17" s="9"/>
      <c r="AGB17" s="9"/>
      <c r="AGC17" s="9"/>
      <c r="AGD17" s="9"/>
      <c r="AGE17" s="9"/>
      <c r="AGF17" s="9"/>
      <c r="AGG17" s="9"/>
      <c r="AGH17" s="9"/>
      <c r="AGI17" s="9"/>
      <c r="AGJ17" s="9"/>
      <c r="AGK17" s="9"/>
      <c r="AGL17" s="9"/>
      <c r="AGM17" s="9"/>
      <c r="AGN17" s="9"/>
      <c r="AGO17" s="9"/>
      <c r="AGP17" s="9"/>
      <c r="AGQ17" s="9"/>
      <c r="AGR17" s="9"/>
      <c r="AGS17" s="9"/>
      <c r="AGT17" s="9"/>
      <c r="AGU17" s="9"/>
      <c r="AGV17" s="9"/>
      <c r="AGW17" s="9"/>
      <c r="AGX17" s="9"/>
      <c r="AGY17" s="9"/>
      <c r="AGZ17" s="9"/>
      <c r="AHA17" s="9"/>
      <c r="AHB17" s="9"/>
      <c r="AHC17" s="9"/>
      <c r="AHD17" s="9"/>
      <c r="AHE17" s="9"/>
      <c r="AHF17" s="9"/>
      <c r="AHG17" s="9"/>
      <c r="AHH17" s="9"/>
      <c r="AHI17" s="9"/>
      <c r="AHJ17" s="9"/>
      <c r="AHK17" s="9"/>
      <c r="AHL17" s="9"/>
      <c r="AHM17" s="9"/>
      <c r="AHN17" s="9"/>
      <c r="AHO17" s="9"/>
      <c r="AHP17" s="9"/>
      <c r="AHQ17" s="9"/>
      <c r="AHR17" s="9"/>
      <c r="AHS17" s="9"/>
      <c r="AHT17" s="9"/>
      <c r="AHU17" s="9"/>
      <c r="AHV17" s="9"/>
      <c r="AHW17" s="9"/>
      <c r="AHX17" s="9"/>
      <c r="AHY17" s="9"/>
      <c r="AHZ17" s="9"/>
      <c r="AIA17" s="9"/>
      <c r="AIB17" s="9"/>
      <c r="AIC17" s="9"/>
      <c r="AID17" s="9"/>
      <c r="AIE17" s="9"/>
      <c r="AIF17" s="9"/>
      <c r="AIG17" s="9"/>
      <c r="AIH17" s="9"/>
      <c r="AII17" s="9"/>
      <c r="AIJ17" s="9"/>
      <c r="AIK17" s="9"/>
      <c r="AIL17" s="9"/>
      <c r="AIM17" s="9"/>
      <c r="AIN17" s="9"/>
      <c r="AIO17" s="9"/>
      <c r="AIP17" s="9"/>
      <c r="AIQ17" s="9"/>
      <c r="AIR17" s="9"/>
      <c r="AIS17" s="9"/>
      <c r="AIT17" s="9"/>
      <c r="AIU17" s="9"/>
      <c r="AIV17" s="9"/>
      <c r="AIW17" s="9"/>
      <c r="AIX17" s="9"/>
      <c r="AIY17" s="9"/>
      <c r="AIZ17" s="9"/>
      <c r="AJA17" s="9"/>
      <c r="AJB17" s="9"/>
      <c r="AJC17" s="9"/>
      <c r="AJD17" s="9"/>
      <c r="AJE17" s="9"/>
      <c r="AJF17" s="9"/>
      <c r="AJG17" s="9"/>
      <c r="AJH17" s="9"/>
      <c r="AJI17" s="9"/>
      <c r="AJJ17" s="9"/>
      <c r="AJK17" s="9"/>
      <c r="AJL17" s="9"/>
      <c r="AJM17" s="9"/>
      <c r="AJN17" s="9"/>
      <c r="AJO17" s="9"/>
      <c r="AJP17" s="9"/>
      <c r="AJQ17" s="9"/>
      <c r="AJR17" s="9"/>
      <c r="AJS17" s="9"/>
      <c r="AJT17" s="9"/>
      <c r="AJU17" s="9"/>
      <c r="AJV17" s="9"/>
      <c r="AJW17" s="9"/>
      <c r="AJX17" s="9"/>
      <c r="AJY17" s="9"/>
      <c r="AJZ17" s="9"/>
      <c r="AKA17" s="9"/>
      <c r="AKB17" s="9"/>
      <c r="AKC17" s="9"/>
      <c r="AKD17" s="9"/>
      <c r="AKE17" s="9"/>
      <c r="AKF17" s="9"/>
      <c r="AKG17" s="9"/>
      <c r="AKH17" s="9"/>
      <c r="AKI17" s="9"/>
      <c r="AKJ17" s="9"/>
      <c r="AKK17" s="9"/>
      <c r="AKL17" s="9"/>
      <c r="AKM17" s="9"/>
      <c r="AKN17" s="9"/>
      <c r="AKO17" s="9"/>
      <c r="AKP17" s="9"/>
      <c r="AKQ17" s="9"/>
      <c r="AKR17" s="9"/>
      <c r="AKS17" s="9"/>
      <c r="AKT17" s="9"/>
      <c r="AKU17" s="9"/>
      <c r="AKV17" s="9"/>
      <c r="AKW17" s="9"/>
      <c r="AKX17" s="9"/>
      <c r="AKY17" s="9"/>
      <c r="AKZ17" s="9"/>
      <c r="ALA17" s="9"/>
      <c r="ALB17" s="9"/>
      <c r="ALC17" s="9"/>
      <c r="ALD17" s="9"/>
      <c r="ALE17" s="9"/>
      <c r="ALF17" s="9"/>
      <c r="ALG17" s="9"/>
      <c r="ALH17" s="9"/>
      <c r="ALI17" s="9"/>
      <c r="ALJ17" s="9"/>
      <c r="ALK17" s="9"/>
      <c r="ALL17" s="9"/>
      <c r="ALM17" s="9"/>
      <c r="ALN17" s="9"/>
      <c r="ALO17" s="9"/>
      <c r="ALP17" s="9"/>
      <c r="ALQ17" s="9"/>
      <c r="ALR17" s="9"/>
      <c r="ALS17" s="9"/>
      <c r="ALT17" s="9"/>
      <c r="ALU17" s="9"/>
      <c r="ALV17" s="9"/>
      <c r="ALW17" s="9"/>
      <c r="ALX17" s="9"/>
      <c r="ALY17" s="9"/>
      <c r="ALZ17" s="9"/>
      <c r="AMA17" s="9"/>
      <c r="AMB17" s="9"/>
      <c r="AMC17" s="9"/>
      <c r="AMD17" s="9"/>
      <c r="AME17" s="9"/>
      <c r="AMF17" s="9"/>
      <c r="AMG17" s="9"/>
      <c r="AMH17" s="9"/>
      <c r="AMI17" s="9"/>
      <c r="AMJ17" s="9"/>
    </row>
    <row r="18" spans="1:1024" x14ac:dyDescent="0.35">
      <c r="A18" s="2"/>
      <c r="B18" s="9"/>
      <c r="C18" s="2"/>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9"/>
      <c r="IR18" s="9"/>
      <c r="IS18" s="9"/>
      <c r="IT18" s="9"/>
      <c r="IU18" s="9"/>
      <c r="IV18" s="9"/>
      <c r="IW18" s="9"/>
      <c r="IX18" s="9"/>
      <c r="IY18" s="9"/>
      <c r="IZ18" s="9"/>
      <c r="JA18" s="9"/>
      <c r="JB18" s="9"/>
      <c r="JC18" s="9"/>
      <c r="JD18" s="9"/>
      <c r="JE18" s="9"/>
      <c r="JF18" s="9"/>
      <c r="JG18" s="9"/>
      <c r="JH18" s="9"/>
      <c r="JI18" s="9"/>
      <c r="JJ18" s="9"/>
      <c r="JK18" s="9"/>
      <c r="JL18" s="9"/>
      <c r="JM18" s="9"/>
      <c r="JN18" s="9"/>
      <c r="JO18" s="9"/>
      <c r="JP18" s="9"/>
      <c r="JQ18" s="9"/>
      <c r="JR18" s="9"/>
      <c r="JS18" s="9"/>
      <c r="JT18" s="9"/>
      <c r="JU18" s="9"/>
      <c r="JV18" s="9"/>
      <c r="JW18" s="9"/>
      <c r="JX18" s="9"/>
      <c r="JY18" s="9"/>
      <c r="JZ18" s="9"/>
      <c r="KA18" s="9"/>
      <c r="KB18" s="9"/>
      <c r="KC18" s="9"/>
      <c r="KD18" s="9"/>
      <c r="KE18" s="9"/>
      <c r="KF18" s="9"/>
      <c r="KG18" s="9"/>
      <c r="KH18" s="9"/>
      <c r="KI18" s="9"/>
      <c r="KJ18" s="9"/>
      <c r="KK18" s="9"/>
      <c r="KL18" s="9"/>
      <c r="KM18" s="9"/>
      <c r="KN18" s="9"/>
      <c r="KO18" s="9"/>
      <c r="KP18" s="9"/>
      <c r="KQ18" s="9"/>
      <c r="KR18" s="9"/>
      <c r="KS18" s="9"/>
      <c r="KT18" s="9"/>
      <c r="KU18" s="9"/>
      <c r="KV18" s="9"/>
      <c r="KW18" s="9"/>
      <c r="KX18" s="9"/>
      <c r="KY18" s="9"/>
      <c r="KZ18" s="9"/>
      <c r="LA18" s="9"/>
      <c r="LB18" s="9"/>
      <c r="LC18" s="9"/>
      <c r="LD18" s="9"/>
      <c r="LE18" s="9"/>
      <c r="LF18" s="9"/>
      <c r="LG18" s="9"/>
      <c r="LH18" s="9"/>
      <c r="LI18" s="9"/>
      <c r="LJ18" s="9"/>
      <c r="LK18" s="9"/>
      <c r="LL18" s="9"/>
      <c r="LM18" s="9"/>
      <c r="LN18" s="9"/>
      <c r="LO18" s="9"/>
      <c r="LP18" s="9"/>
      <c r="LQ18" s="9"/>
      <c r="LR18" s="9"/>
      <c r="LS18" s="9"/>
      <c r="LT18" s="9"/>
      <c r="LU18" s="9"/>
      <c r="LV18" s="9"/>
      <c r="LW18" s="9"/>
      <c r="LX18" s="9"/>
      <c r="LY18" s="9"/>
      <c r="LZ18" s="9"/>
      <c r="MA18" s="9"/>
      <c r="MB18" s="9"/>
      <c r="MC18" s="9"/>
      <c r="MD18" s="9"/>
      <c r="ME18" s="9"/>
      <c r="MF18" s="9"/>
      <c r="MG18" s="9"/>
      <c r="MH18" s="9"/>
      <c r="MI18" s="9"/>
      <c r="MJ18" s="9"/>
      <c r="MK18" s="9"/>
      <c r="ML18" s="9"/>
      <c r="MM18" s="9"/>
      <c r="MN18" s="9"/>
      <c r="MO18" s="9"/>
      <c r="MP18" s="9"/>
      <c r="MQ18" s="9"/>
      <c r="MR18" s="9"/>
      <c r="MS18" s="9"/>
      <c r="MT18" s="9"/>
      <c r="MU18" s="9"/>
      <c r="MV18" s="9"/>
      <c r="MW18" s="9"/>
      <c r="MX18" s="9"/>
      <c r="MY18" s="9"/>
      <c r="MZ18" s="9"/>
      <c r="NA18" s="9"/>
      <c r="NB18" s="9"/>
      <c r="NC18" s="9"/>
      <c r="ND18" s="9"/>
      <c r="NE18" s="9"/>
      <c r="NF18" s="9"/>
      <c r="NG18" s="9"/>
      <c r="NH18" s="9"/>
      <c r="NI18" s="9"/>
      <c r="NJ18" s="9"/>
      <c r="NK18" s="9"/>
      <c r="NL18" s="9"/>
      <c r="NM18" s="9"/>
      <c r="NN18" s="9"/>
      <c r="NO18" s="9"/>
      <c r="NP18" s="9"/>
      <c r="NQ18" s="9"/>
      <c r="NR18" s="9"/>
      <c r="NS18" s="9"/>
      <c r="NT18" s="9"/>
      <c r="NU18" s="9"/>
      <c r="NV18" s="9"/>
      <c r="NW18" s="9"/>
      <c r="NX18" s="9"/>
      <c r="NY18" s="9"/>
      <c r="NZ18" s="9"/>
      <c r="OA18" s="9"/>
      <c r="OB18" s="9"/>
      <c r="OC18" s="9"/>
      <c r="OD18" s="9"/>
      <c r="OE18" s="9"/>
      <c r="OF18" s="9"/>
      <c r="OG18" s="9"/>
      <c r="OH18" s="9"/>
      <c r="OI18" s="9"/>
      <c r="OJ18" s="9"/>
      <c r="OK18" s="9"/>
      <c r="OL18" s="9"/>
      <c r="OM18" s="9"/>
      <c r="ON18" s="9"/>
      <c r="OO18" s="9"/>
      <c r="OP18" s="9"/>
      <c r="OQ18" s="9"/>
      <c r="OR18" s="9"/>
      <c r="OS18" s="9"/>
      <c r="OT18" s="9"/>
      <c r="OU18" s="9"/>
      <c r="OV18" s="9"/>
      <c r="OW18" s="9"/>
      <c r="OX18" s="9"/>
      <c r="OY18" s="9"/>
      <c r="OZ18" s="9"/>
      <c r="PA18" s="9"/>
      <c r="PB18" s="9"/>
      <c r="PC18" s="9"/>
      <c r="PD18" s="9"/>
      <c r="PE18" s="9"/>
      <c r="PF18" s="9"/>
      <c r="PG18" s="9"/>
      <c r="PH18" s="9"/>
      <c r="PI18" s="9"/>
      <c r="PJ18" s="9"/>
      <c r="PK18" s="9"/>
      <c r="PL18" s="9"/>
      <c r="PM18" s="9"/>
      <c r="PN18" s="9"/>
      <c r="PO18" s="9"/>
      <c r="PP18" s="9"/>
      <c r="PQ18" s="9"/>
      <c r="PR18" s="9"/>
      <c r="PS18" s="9"/>
      <c r="PT18" s="9"/>
      <c r="PU18" s="9"/>
      <c r="PV18" s="9"/>
      <c r="PW18" s="9"/>
      <c r="PX18" s="9"/>
      <c r="PY18" s="9"/>
      <c r="PZ18" s="9"/>
      <c r="QA18" s="9"/>
      <c r="QB18" s="9"/>
      <c r="QC18" s="9"/>
      <c r="QD18" s="9"/>
      <c r="QE18" s="9"/>
      <c r="QF18" s="9"/>
      <c r="QG18" s="9"/>
      <c r="QH18" s="9"/>
      <c r="QI18" s="9"/>
      <c r="QJ18" s="9"/>
      <c r="QK18" s="9"/>
      <c r="QL18" s="9"/>
      <c r="QM18" s="9"/>
      <c r="QN18" s="9"/>
      <c r="QO18" s="9"/>
      <c r="QP18" s="9"/>
      <c r="QQ18" s="9"/>
      <c r="QR18" s="9"/>
      <c r="QS18" s="9"/>
      <c r="QT18" s="9"/>
      <c r="QU18" s="9"/>
      <c r="QV18" s="9"/>
      <c r="QW18" s="9"/>
      <c r="QX18" s="9"/>
      <c r="QY18" s="9"/>
      <c r="QZ18" s="9"/>
      <c r="RA18" s="9"/>
      <c r="RB18" s="9"/>
      <c r="RC18" s="9"/>
      <c r="RD18" s="9"/>
      <c r="RE18" s="9"/>
      <c r="RF18" s="9"/>
      <c r="RG18" s="9"/>
      <c r="RH18" s="9"/>
      <c r="RI18" s="9"/>
      <c r="RJ18" s="9"/>
      <c r="RK18" s="9"/>
      <c r="RL18" s="9"/>
      <c r="RM18" s="9"/>
      <c r="RN18" s="9"/>
      <c r="RO18" s="9"/>
      <c r="RP18" s="9"/>
      <c r="RQ18" s="9"/>
      <c r="RR18" s="9"/>
      <c r="RS18" s="9"/>
      <c r="RT18" s="9"/>
      <c r="RU18" s="9"/>
      <c r="RV18" s="9"/>
      <c r="RW18" s="9"/>
      <c r="RX18" s="9"/>
      <c r="RY18" s="9"/>
      <c r="RZ18" s="9"/>
      <c r="SA18" s="9"/>
      <c r="SB18" s="9"/>
      <c r="SC18" s="9"/>
      <c r="SD18" s="9"/>
      <c r="SE18" s="9"/>
      <c r="SF18" s="9"/>
      <c r="SG18" s="9"/>
      <c r="SH18" s="9"/>
      <c r="SI18" s="9"/>
      <c r="SJ18" s="9"/>
      <c r="SK18" s="9"/>
      <c r="SL18" s="9"/>
      <c r="SM18" s="9"/>
      <c r="SN18" s="9"/>
      <c r="SO18" s="9"/>
      <c r="SP18" s="9"/>
      <c r="SQ18" s="9"/>
      <c r="SR18" s="9"/>
      <c r="SS18" s="9"/>
      <c r="ST18" s="9"/>
      <c r="SU18" s="9"/>
      <c r="SV18" s="9"/>
      <c r="SW18" s="9"/>
      <c r="SX18" s="9"/>
      <c r="SY18" s="9"/>
      <c r="SZ18" s="9"/>
      <c r="TA18" s="9"/>
      <c r="TB18" s="9"/>
      <c r="TC18" s="9"/>
      <c r="TD18" s="9"/>
      <c r="TE18" s="9"/>
      <c r="TF18" s="9"/>
      <c r="TG18" s="9"/>
      <c r="TH18" s="9"/>
      <c r="TI18" s="9"/>
      <c r="TJ18" s="9"/>
      <c r="TK18" s="9"/>
      <c r="TL18" s="9"/>
      <c r="TM18" s="9"/>
      <c r="TN18" s="9"/>
      <c r="TO18" s="9"/>
      <c r="TP18" s="9"/>
      <c r="TQ18" s="9"/>
      <c r="TR18" s="9"/>
      <c r="TS18" s="9"/>
      <c r="TT18" s="9"/>
      <c r="TU18" s="9"/>
      <c r="TV18" s="9"/>
      <c r="TW18" s="9"/>
      <c r="TX18" s="9"/>
      <c r="TY18" s="9"/>
      <c r="TZ18" s="9"/>
      <c r="UA18" s="9"/>
      <c r="UB18" s="9"/>
      <c r="UC18" s="9"/>
      <c r="UD18" s="9"/>
      <c r="UE18" s="9"/>
      <c r="UF18" s="9"/>
      <c r="UG18" s="9"/>
      <c r="UH18" s="9"/>
      <c r="UI18" s="9"/>
      <c r="UJ18" s="9"/>
      <c r="UK18" s="9"/>
      <c r="UL18" s="9"/>
      <c r="UM18" s="9"/>
      <c r="UN18" s="9"/>
      <c r="UO18" s="9"/>
      <c r="UP18" s="9"/>
      <c r="UQ18" s="9"/>
      <c r="UR18" s="9"/>
      <c r="US18" s="9"/>
      <c r="UT18" s="9"/>
      <c r="UU18" s="9"/>
      <c r="UV18" s="9"/>
      <c r="UW18" s="9"/>
      <c r="UX18" s="9"/>
      <c r="UY18" s="9"/>
      <c r="UZ18" s="9"/>
      <c r="VA18" s="9"/>
      <c r="VB18" s="9"/>
      <c r="VC18" s="9"/>
      <c r="VD18" s="9"/>
      <c r="VE18" s="9"/>
      <c r="VF18" s="9"/>
      <c r="VG18" s="9"/>
      <c r="VH18" s="9"/>
      <c r="VI18" s="9"/>
      <c r="VJ18" s="9"/>
      <c r="VK18" s="9"/>
      <c r="VL18" s="9"/>
      <c r="VM18" s="9"/>
      <c r="VN18" s="9"/>
      <c r="VO18" s="9"/>
      <c r="VP18" s="9"/>
      <c r="VQ18" s="9"/>
      <c r="VR18" s="9"/>
      <c r="VS18" s="9"/>
      <c r="VT18" s="9"/>
      <c r="VU18" s="9"/>
      <c r="VV18" s="9"/>
      <c r="VW18" s="9"/>
      <c r="VX18" s="9"/>
      <c r="VY18" s="9"/>
      <c r="VZ18" s="9"/>
      <c r="WA18" s="9"/>
      <c r="WB18" s="9"/>
      <c r="WC18" s="9"/>
      <c r="WD18" s="9"/>
      <c r="WE18" s="9"/>
      <c r="WF18" s="9"/>
      <c r="WG18" s="9"/>
      <c r="WH18" s="9"/>
      <c r="WI18" s="9"/>
      <c r="WJ18" s="9"/>
      <c r="WK18" s="9"/>
      <c r="WL18" s="9"/>
      <c r="WM18" s="9"/>
      <c r="WN18" s="9"/>
      <c r="WO18" s="9"/>
      <c r="WP18" s="9"/>
      <c r="WQ18" s="9"/>
      <c r="WR18" s="9"/>
      <c r="WS18" s="9"/>
      <c r="WT18" s="9"/>
      <c r="WU18" s="9"/>
      <c r="WV18" s="9"/>
      <c r="WW18" s="9"/>
      <c r="WX18" s="9"/>
      <c r="WY18" s="9"/>
      <c r="WZ18" s="9"/>
      <c r="XA18" s="9"/>
      <c r="XB18" s="9"/>
      <c r="XC18" s="9"/>
      <c r="XD18" s="9"/>
      <c r="XE18" s="9"/>
      <c r="XF18" s="9"/>
      <c r="XG18" s="9"/>
      <c r="XH18" s="9"/>
      <c r="XI18" s="9"/>
      <c r="XJ18" s="9"/>
      <c r="XK18" s="9"/>
      <c r="XL18" s="9"/>
      <c r="XM18" s="9"/>
      <c r="XN18" s="9"/>
      <c r="XO18" s="9"/>
      <c r="XP18" s="9"/>
      <c r="XQ18" s="9"/>
      <c r="XR18" s="9"/>
      <c r="XS18" s="9"/>
      <c r="XT18" s="9"/>
      <c r="XU18" s="9"/>
      <c r="XV18" s="9"/>
      <c r="XW18" s="9"/>
      <c r="XX18" s="9"/>
      <c r="XY18" s="9"/>
      <c r="XZ18" s="9"/>
      <c r="YA18" s="9"/>
      <c r="YB18" s="9"/>
      <c r="YC18" s="9"/>
      <c r="YD18" s="9"/>
      <c r="YE18" s="9"/>
      <c r="YF18" s="9"/>
      <c r="YG18" s="9"/>
      <c r="YH18" s="9"/>
      <c r="YI18" s="9"/>
      <c r="YJ18" s="9"/>
      <c r="YK18" s="9"/>
      <c r="YL18" s="9"/>
      <c r="YM18" s="9"/>
      <c r="YN18" s="9"/>
      <c r="YO18" s="9"/>
      <c r="YP18" s="9"/>
      <c r="YQ18" s="9"/>
      <c r="YR18" s="9"/>
      <c r="YS18" s="9"/>
      <c r="YT18" s="9"/>
      <c r="YU18" s="9"/>
      <c r="YV18" s="9"/>
      <c r="YW18" s="9"/>
      <c r="YX18" s="9"/>
      <c r="YY18" s="9"/>
      <c r="YZ18" s="9"/>
      <c r="ZA18" s="9"/>
      <c r="ZB18" s="9"/>
      <c r="ZC18" s="9"/>
      <c r="ZD18" s="9"/>
      <c r="ZE18" s="9"/>
      <c r="ZF18" s="9"/>
      <c r="ZG18" s="9"/>
      <c r="ZH18" s="9"/>
      <c r="ZI18" s="9"/>
      <c r="ZJ18" s="9"/>
      <c r="ZK18" s="9"/>
      <c r="ZL18" s="9"/>
      <c r="ZM18" s="9"/>
      <c r="ZN18" s="9"/>
      <c r="ZO18" s="9"/>
      <c r="ZP18" s="9"/>
      <c r="ZQ18" s="9"/>
      <c r="ZR18" s="9"/>
      <c r="ZS18" s="9"/>
      <c r="ZT18" s="9"/>
      <c r="ZU18" s="9"/>
      <c r="ZV18" s="9"/>
      <c r="ZW18" s="9"/>
      <c r="ZX18" s="9"/>
      <c r="ZY18" s="9"/>
      <c r="ZZ18" s="9"/>
      <c r="AAA18" s="9"/>
      <c r="AAB18" s="9"/>
      <c r="AAC18" s="9"/>
      <c r="AAD18" s="9"/>
      <c r="AAE18" s="9"/>
      <c r="AAF18" s="9"/>
      <c r="AAG18" s="9"/>
      <c r="AAH18" s="9"/>
      <c r="AAI18" s="9"/>
      <c r="AAJ18" s="9"/>
      <c r="AAK18" s="9"/>
      <c r="AAL18" s="9"/>
      <c r="AAM18" s="9"/>
      <c r="AAN18" s="9"/>
      <c r="AAO18" s="9"/>
      <c r="AAP18" s="9"/>
      <c r="AAQ18" s="9"/>
      <c r="AAR18" s="9"/>
      <c r="AAS18" s="9"/>
      <c r="AAT18" s="9"/>
      <c r="AAU18" s="9"/>
      <c r="AAV18" s="9"/>
      <c r="AAW18" s="9"/>
      <c r="AAX18" s="9"/>
      <c r="AAY18" s="9"/>
      <c r="AAZ18" s="9"/>
      <c r="ABA18" s="9"/>
      <c r="ABB18" s="9"/>
      <c r="ABC18" s="9"/>
      <c r="ABD18" s="9"/>
      <c r="ABE18" s="9"/>
      <c r="ABF18" s="9"/>
      <c r="ABG18" s="9"/>
      <c r="ABH18" s="9"/>
      <c r="ABI18" s="9"/>
      <c r="ABJ18" s="9"/>
      <c r="ABK18" s="9"/>
      <c r="ABL18" s="9"/>
      <c r="ABM18" s="9"/>
      <c r="ABN18" s="9"/>
      <c r="ABO18" s="9"/>
      <c r="ABP18" s="9"/>
      <c r="ABQ18" s="9"/>
      <c r="ABR18" s="9"/>
      <c r="ABS18" s="9"/>
      <c r="ABT18" s="9"/>
      <c r="ABU18" s="9"/>
      <c r="ABV18" s="9"/>
      <c r="ABW18" s="9"/>
      <c r="ABX18" s="9"/>
      <c r="ABY18" s="9"/>
      <c r="ABZ18" s="9"/>
      <c r="ACA18" s="9"/>
      <c r="ACB18" s="9"/>
      <c r="ACC18" s="9"/>
      <c r="ACD18" s="9"/>
      <c r="ACE18" s="9"/>
      <c r="ACF18" s="9"/>
      <c r="ACG18" s="9"/>
      <c r="ACH18" s="9"/>
      <c r="ACI18" s="9"/>
      <c r="ACJ18" s="9"/>
      <c r="ACK18" s="9"/>
      <c r="ACL18" s="9"/>
      <c r="ACM18" s="9"/>
      <c r="ACN18" s="9"/>
      <c r="ACO18" s="9"/>
      <c r="ACP18" s="9"/>
      <c r="ACQ18" s="9"/>
      <c r="ACR18" s="9"/>
      <c r="ACS18" s="9"/>
      <c r="ACT18" s="9"/>
      <c r="ACU18" s="9"/>
      <c r="ACV18" s="9"/>
      <c r="ACW18" s="9"/>
      <c r="ACX18" s="9"/>
      <c r="ACY18" s="9"/>
      <c r="ACZ18" s="9"/>
      <c r="ADA18" s="9"/>
      <c r="ADB18" s="9"/>
      <c r="ADC18" s="9"/>
      <c r="ADD18" s="9"/>
      <c r="ADE18" s="9"/>
      <c r="ADF18" s="9"/>
      <c r="ADG18" s="9"/>
      <c r="ADH18" s="9"/>
      <c r="ADI18" s="9"/>
      <c r="ADJ18" s="9"/>
      <c r="ADK18" s="9"/>
      <c r="ADL18" s="9"/>
      <c r="ADM18" s="9"/>
      <c r="ADN18" s="9"/>
      <c r="ADO18" s="9"/>
      <c r="ADP18" s="9"/>
      <c r="ADQ18" s="9"/>
      <c r="ADR18" s="9"/>
      <c r="ADS18" s="9"/>
      <c r="ADT18" s="9"/>
      <c r="ADU18" s="9"/>
      <c r="ADV18" s="9"/>
      <c r="ADW18" s="9"/>
      <c r="ADX18" s="9"/>
      <c r="ADY18" s="9"/>
      <c r="ADZ18" s="9"/>
      <c r="AEA18" s="9"/>
      <c r="AEB18" s="9"/>
      <c r="AEC18" s="9"/>
      <c r="AED18" s="9"/>
      <c r="AEE18" s="9"/>
      <c r="AEF18" s="9"/>
      <c r="AEG18" s="9"/>
      <c r="AEH18" s="9"/>
      <c r="AEI18" s="9"/>
      <c r="AEJ18" s="9"/>
      <c r="AEK18" s="9"/>
      <c r="AEL18" s="9"/>
      <c r="AEM18" s="9"/>
      <c r="AEN18" s="9"/>
      <c r="AEO18" s="9"/>
      <c r="AEP18" s="9"/>
      <c r="AEQ18" s="9"/>
      <c r="AER18" s="9"/>
      <c r="AES18" s="9"/>
      <c r="AET18" s="9"/>
      <c r="AEU18" s="9"/>
      <c r="AEV18" s="9"/>
      <c r="AEW18" s="9"/>
      <c r="AEX18" s="9"/>
      <c r="AEY18" s="9"/>
      <c r="AEZ18" s="9"/>
      <c r="AFA18" s="9"/>
      <c r="AFB18" s="9"/>
      <c r="AFC18" s="9"/>
      <c r="AFD18" s="9"/>
      <c r="AFE18" s="9"/>
      <c r="AFF18" s="9"/>
      <c r="AFG18" s="9"/>
      <c r="AFH18" s="9"/>
      <c r="AFI18" s="9"/>
      <c r="AFJ18" s="9"/>
      <c r="AFK18" s="9"/>
      <c r="AFL18" s="9"/>
      <c r="AFM18" s="9"/>
      <c r="AFN18" s="9"/>
      <c r="AFO18" s="9"/>
      <c r="AFP18" s="9"/>
      <c r="AFQ18" s="9"/>
      <c r="AFR18" s="9"/>
      <c r="AFS18" s="9"/>
      <c r="AFT18" s="9"/>
      <c r="AFU18" s="9"/>
      <c r="AFV18" s="9"/>
      <c r="AFW18" s="9"/>
      <c r="AFX18" s="9"/>
      <c r="AFY18" s="9"/>
      <c r="AFZ18" s="9"/>
      <c r="AGA18" s="9"/>
      <c r="AGB18" s="9"/>
      <c r="AGC18" s="9"/>
      <c r="AGD18" s="9"/>
      <c r="AGE18" s="9"/>
      <c r="AGF18" s="9"/>
      <c r="AGG18" s="9"/>
      <c r="AGH18" s="9"/>
      <c r="AGI18" s="9"/>
      <c r="AGJ18" s="9"/>
      <c r="AGK18" s="9"/>
      <c r="AGL18" s="9"/>
      <c r="AGM18" s="9"/>
      <c r="AGN18" s="9"/>
      <c r="AGO18" s="9"/>
      <c r="AGP18" s="9"/>
      <c r="AGQ18" s="9"/>
      <c r="AGR18" s="9"/>
      <c r="AGS18" s="9"/>
      <c r="AGT18" s="9"/>
      <c r="AGU18" s="9"/>
      <c r="AGV18" s="9"/>
      <c r="AGW18" s="9"/>
      <c r="AGX18" s="9"/>
      <c r="AGY18" s="9"/>
      <c r="AGZ18" s="9"/>
      <c r="AHA18" s="9"/>
      <c r="AHB18" s="9"/>
      <c r="AHC18" s="9"/>
      <c r="AHD18" s="9"/>
      <c r="AHE18" s="9"/>
      <c r="AHF18" s="9"/>
      <c r="AHG18" s="9"/>
      <c r="AHH18" s="9"/>
      <c r="AHI18" s="9"/>
      <c r="AHJ18" s="9"/>
      <c r="AHK18" s="9"/>
      <c r="AHL18" s="9"/>
      <c r="AHM18" s="9"/>
      <c r="AHN18" s="9"/>
      <c r="AHO18" s="9"/>
      <c r="AHP18" s="9"/>
      <c r="AHQ18" s="9"/>
      <c r="AHR18" s="9"/>
      <c r="AHS18" s="9"/>
      <c r="AHT18" s="9"/>
      <c r="AHU18" s="9"/>
      <c r="AHV18" s="9"/>
      <c r="AHW18" s="9"/>
      <c r="AHX18" s="9"/>
      <c r="AHY18" s="9"/>
      <c r="AHZ18" s="9"/>
      <c r="AIA18" s="9"/>
      <c r="AIB18" s="9"/>
      <c r="AIC18" s="9"/>
      <c r="AID18" s="9"/>
      <c r="AIE18" s="9"/>
      <c r="AIF18" s="9"/>
      <c r="AIG18" s="9"/>
      <c r="AIH18" s="9"/>
      <c r="AII18" s="9"/>
      <c r="AIJ18" s="9"/>
      <c r="AIK18" s="9"/>
      <c r="AIL18" s="9"/>
      <c r="AIM18" s="9"/>
      <c r="AIN18" s="9"/>
      <c r="AIO18" s="9"/>
      <c r="AIP18" s="9"/>
      <c r="AIQ18" s="9"/>
      <c r="AIR18" s="9"/>
      <c r="AIS18" s="9"/>
      <c r="AIT18" s="9"/>
      <c r="AIU18" s="9"/>
      <c r="AIV18" s="9"/>
      <c r="AIW18" s="9"/>
      <c r="AIX18" s="9"/>
      <c r="AIY18" s="9"/>
      <c r="AIZ18" s="9"/>
      <c r="AJA18" s="9"/>
      <c r="AJB18" s="9"/>
      <c r="AJC18" s="9"/>
      <c r="AJD18" s="9"/>
      <c r="AJE18" s="9"/>
      <c r="AJF18" s="9"/>
      <c r="AJG18" s="9"/>
      <c r="AJH18" s="9"/>
      <c r="AJI18" s="9"/>
      <c r="AJJ18" s="9"/>
      <c r="AJK18" s="9"/>
      <c r="AJL18" s="9"/>
      <c r="AJM18" s="9"/>
      <c r="AJN18" s="9"/>
      <c r="AJO18" s="9"/>
      <c r="AJP18" s="9"/>
      <c r="AJQ18" s="9"/>
      <c r="AJR18" s="9"/>
      <c r="AJS18" s="9"/>
      <c r="AJT18" s="9"/>
      <c r="AJU18" s="9"/>
      <c r="AJV18" s="9"/>
      <c r="AJW18" s="9"/>
      <c r="AJX18" s="9"/>
      <c r="AJY18" s="9"/>
      <c r="AJZ18" s="9"/>
      <c r="AKA18" s="9"/>
      <c r="AKB18" s="9"/>
      <c r="AKC18" s="9"/>
      <c r="AKD18" s="9"/>
      <c r="AKE18" s="9"/>
      <c r="AKF18" s="9"/>
      <c r="AKG18" s="9"/>
      <c r="AKH18" s="9"/>
      <c r="AKI18" s="9"/>
      <c r="AKJ18" s="9"/>
      <c r="AKK18" s="9"/>
      <c r="AKL18" s="9"/>
      <c r="AKM18" s="9"/>
      <c r="AKN18" s="9"/>
      <c r="AKO18" s="9"/>
      <c r="AKP18" s="9"/>
      <c r="AKQ18" s="9"/>
      <c r="AKR18" s="9"/>
      <c r="AKS18" s="9"/>
      <c r="AKT18" s="9"/>
      <c r="AKU18" s="9"/>
      <c r="AKV18" s="9"/>
      <c r="AKW18" s="9"/>
      <c r="AKX18" s="9"/>
      <c r="AKY18" s="9"/>
      <c r="AKZ18" s="9"/>
      <c r="ALA18" s="9"/>
      <c r="ALB18" s="9"/>
      <c r="ALC18" s="9"/>
      <c r="ALD18" s="9"/>
      <c r="ALE18" s="9"/>
      <c r="ALF18" s="9"/>
      <c r="ALG18" s="9"/>
      <c r="ALH18" s="9"/>
      <c r="ALI18" s="9"/>
      <c r="ALJ18" s="9"/>
      <c r="ALK18" s="9"/>
      <c r="ALL18" s="9"/>
      <c r="ALM18" s="9"/>
      <c r="ALN18" s="9"/>
      <c r="ALO18" s="9"/>
      <c r="ALP18" s="9"/>
      <c r="ALQ18" s="9"/>
      <c r="ALR18" s="9"/>
      <c r="ALS18" s="9"/>
      <c r="ALT18" s="9"/>
      <c r="ALU18" s="9"/>
      <c r="ALV18" s="9"/>
      <c r="ALW18" s="9"/>
      <c r="ALX18" s="9"/>
      <c r="ALY18" s="9"/>
      <c r="ALZ18" s="9"/>
      <c r="AMA18" s="9"/>
      <c r="AMB18" s="9"/>
      <c r="AMC18" s="9"/>
      <c r="AMD18" s="9"/>
      <c r="AME18" s="9"/>
      <c r="AMF18" s="9"/>
      <c r="AMG18" s="9"/>
      <c r="AMH18" s="9"/>
      <c r="AMI18" s="9"/>
      <c r="AMJ18" s="9"/>
    </row>
  </sheetData>
  <pageMargins left="0.78749999999999998" right="0.78749999999999998" top="1.0249999999999999" bottom="0.78749999999999998" header="0.78749999999999998" footer="0.511811023622047"/>
  <pageSetup paperSize="9" scale="110" orientation="landscape" useFirstPageNumber="1"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50"/>
  <sheetViews>
    <sheetView zoomScale="85" zoomScaleNormal="85" workbookViewId="0">
      <selection activeCell="R23" sqref="R23"/>
    </sheetView>
  </sheetViews>
  <sheetFormatPr defaultColWidth="11.53125" defaultRowHeight="12.75" x14ac:dyDescent="0.35"/>
  <cols>
    <col min="2" max="2" width="15.19921875" customWidth="1"/>
    <col min="5" max="5" width="16.86328125" customWidth="1"/>
  </cols>
  <sheetData>
    <row r="1" spans="1:23" ht="36.75" thickBot="1" x14ac:dyDescent="0.45">
      <c r="A1" s="259" t="s">
        <v>290</v>
      </c>
      <c r="B1" s="259"/>
      <c r="C1" s="259"/>
      <c r="D1" s="259"/>
      <c r="E1" s="259"/>
      <c r="F1" s="10"/>
      <c r="G1" s="10"/>
      <c r="H1" s="10"/>
      <c r="I1" s="10"/>
      <c r="J1" s="10"/>
      <c r="K1" s="10"/>
      <c r="L1" s="10"/>
      <c r="M1" s="10"/>
      <c r="N1" s="10"/>
      <c r="O1" s="10"/>
    </row>
    <row r="2" spans="1:23" ht="13.15" x14ac:dyDescent="0.4">
      <c r="A2" s="10"/>
      <c r="B2" s="10"/>
      <c r="C2" s="10"/>
      <c r="D2" s="10"/>
      <c r="E2" s="10"/>
      <c r="F2" s="10"/>
      <c r="G2" s="10"/>
      <c r="H2" s="10"/>
      <c r="I2" s="10"/>
      <c r="J2" s="10"/>
      <c r="K2" s="10"/>
      <c r="L2" s="10"/>
      <c r="M2" s="10"/>
      <c r="N2" s="10"/>
      <c r="O2" s="10"/>
      <c r="P2" s="252" t="s">
        <v>398</v>
      </c>
      <c r="Q2" s="253"/>
      <c r="R2" s="253"/>
      <c r="S2" s="232"/>
      <c r="U2" s="8" t="s">
        <v>399</v>
      </c>
    </row>
    <row r="3" spans="1:23" ht="15.75" x14ac:dyDescent="0.5">
      <c r="A3" s="11" t="s">
        <v>20</v>
      </c>
      <c r="B3" s="10"/>
      <c r="C3" s="10"/>
      <c r="D3" s="10"/>
      <c r="E3" s="10"/>
      <c r="F3" s="11" t="s">
        <v>21</v>
      </c>
      <c r="G3" s="11"/>
      <c r="H3" s="10"/>
      <c r="I3" s="10"/>
      <c r="J3" s="10"/>
      <c r="K3" s="67" t="s">
        <v>348</v>
      </c>
      <c r="L3" s="11"/>
      <c r="M3" s="10"/>
      <c r="N3" s="10"/>
      <c r="O3" s="10"/>
      <c r="P3" s="236" t="s">
        <v>406</v>
      </c>
      <c r="Q3" s="10"/>
      <c r="R3" s="254">
        <v>100</v>
      </c>
      <c r="S3" s="234" t="s">
        <v>71</v>
      </c>
      <c r="U3" t="s">
        <v>401</v>
      </c>
      <c r="W3" s="8">
        <v>250</v>
      </c>
    </row>
    <row r="4" spans="1:23" ht="13.9" x14ac:dyDescent="0.4">
      <c r="A4" s="10"/>
      <c r="B4" s="10"/>
      <c r="C4" s="10"/>
      <c r="E4" s="10"/>
      <c r="F4" s="10"/>
      <c r="G4" s="10"/>
      <c r="H4" s="10"/>
      <c r="I4" s="10"/>
      <c r="J4" s="10"/>
      <c r="K4" s="10"/>
      <c r="L4" s="10"/>
      <c r="M4" s="10"/>
      <c r="N4" s="10"/>
      <c r="O4" s="10"/>
      <c r="P4" s="236" t="s">
        <v>407</v>
      </c>
      <c r="R4" s="254">
        <v>100</v>
      </c>
      <c r="S4" s="234" t="s">
        <v>53</v>
      </c>
      <c r="U4" t="s">
        <v>400</v>
      </c>
      <c r="W4" s="8">
        <v>1000</v>
      </c>
    </row>
    <row r="5" spans="1:23" ht="13.9" x14ac:dyDescent="0.4">
      <c r="A5" s="10" t="s">
        <v>22</v>
      </c>
      <c r="B5" s="10"/>
      <c r="C5" s="10"/>
      <c r="D5" s="12" t="s">
        <v>23</v>
      </c>
      <c r="E5" s="10"/>
      <c r="G5" s="10"/>
      <c r="H5" s="10"/>
      <c r="I5" s="10"/>
      <c r="K5" s="10" t="s">
        <v>354</v>
      </c>
      <c r="L5" s="10"/>
      <c r="M5" s="10"/>
      <c r="N5" s="10"/>
      <c r="O5" s="10"/>
      <c r="P5" s="236" t="s">
        <v>408</v>
      </c>
      <c r="R5" s="255">
        <v>1</v>
      </c>
      <c r="S5" s="234" t="s">
        <v>71</v>
      </c>
      <c r="U5" t="s">
        <v>402</v>
      </c>
      <c r="W5" s="8">
        <f>W4*W3/1000</f>
        <v>250</v>
      </c>
    </row>
    <row r="6" spans="1:23" ht="13.15" x14ac:dyDescent="0.4">
      <c r="A6" s="10" t="s">
        <v>24</v>
      </c>
      <c r="B6" s="10"/>
      <c r="C6" s="10"/>
      <c r="D6" s="12" t="s">
        <v>25</v>
      </c>
      <c r="E6" s="10"/>
      <c r="F6" s="10"/>
      <c r="G6" s="10"/>
      <c r="H6" s="10"/>
      <c r="I6" s="10"/>
      <c r="K6" s="10" t="s">
        <v>355</v>
      </c>
      <c r="L6" s="10"/>
      <c r="M6" s="10"/>
      <c r="N6" s="10"/>
      <c r="O6" s="10"/>
      <c r="P6" s="236"/>
      <c r="S6" s="234"/>
    </row>
    <row r="7" spans="1:23" ht="13.9" x14ac:dyDescent="0.4">
      <c r="A7" s="10" t="s">
        <v>26</v>
      </c>
      <c r="B7" s="10"/>
      <c r="C7" s="10"/>
      <c r="D7" s="12" t="s">
        <v>23</v>
      </c>
      <c r="E7" s="10"/>
      <c r="F7" s="10"/>
      <c r="G7" s="10"/>
      <c r="H7" s="10"/>
      <c r="I7" s="10"/>
      <c r="K7" s="10" t="s">
        <v>356</v>
      </c>
      <c r="L7" s="10"/>
      <c r="M7" s="10"/>
      <c r="N7" s="10"/>
      <c r="O7" s="10"/>
      <c r="P7" s="236" t="s">
        <v>405</v>
      </c>
      <c r="R7" s="256">
        <f>R5/R3*R4</f>
        <v>1</v>
      </c>
      <c r="S7" s="234" t="s">
        <v>53</v>
      </c>
    </row>
    <row r="8" spans="1:23" ht="13.9" x14ac:dyDescent="0.4">
      <c r="A8" s="10" t="s">
        <v>27</v>
      </c>
      <c r="B8" s="10"/>
      <c r="C8" s="10"/>
      <c r="D8" s="12" t="s">
        <v>25</v>
      </c>
      <c r="E8" s="10"/>
      <c r="F8" s="10"/>
      <c r="G8" s="10"/>
      <c r="H8" s="10"/>
      <c r="I8" s="10"/>
      <c r="K8" s="10" t="s">
        <v>359</v>
      </c>
      <c r="L8" s="10"/>
      <c r="M8" s="10"/>
      <c r="N8" s="10"/>
      <c r="O8" s="10"/>
      <c r="P8" s="236" t="s">
        <v>409</v>
      </c>
      <c r="R8" s="257">
        <f>R4*(1-R5/R3)</f>
        <v>99</v>
      </c>
      <c r="S8" s="234" t="s">
        <v>53</v>
      </c>
    </row>
    <row r="9" spans="1:23" ht="13.5" thickBot="1" x14ac:dyDescent="0.45">
      <c r="A9" s="10" t="s">
        <v>28</v>
      </c>
      <c r="B9" s="10"/>
      <c r="C9" s="10"/>
      <c r="D9" s="96">
        <v>45832</v>
      </c>
      <c r="E9" s="10"/>
      <c r="F9" s="10"/>
      <c r="G9" s="10"/>
      <c r="H9" s="10"/>
      <c r="I9" s="10"/>
      <c r="K9" s="10" t="s">
        <v>360</v>
      </c>
      <c r="L9" s="10"/>
      <c r="M9" s="10"/>
      <c r="N9" s="10"/>
      <c r="O9" s="10"/>
      <c r="P9" s="237"/>
      <c r="Q9" s="258"/>
      <c r="R9" s="258"/>
      <c r="S9" s="239"/>
    </row>
    <row r="10" spans="1:23" ht="13.15" x14ac:dyDescent="0.4">
      <c r="A10" s="10" t="s">
        <v>29</v>
      </c>
      <c r="B10" s="10"/>
      <c r="C10" s="10"/>
      <c r="D10" s="13" t="s">
        <v>30</v>
      </c>
      <c r="E10" s="10"/>
      <c r="F10" s="10"/>
      <c r="G10" s="10"/>
      <c r="H10" s="10"/>
      <c r="I10" s="10"/>
      <c r="K10" s="10" t="s">
        <v>361</v>
      </c>
      <c r="L10" s="10"/>
      <c r="M10" s="10"/>
      <c r="N10" s="10"/>
      <c r="O10" s="10"/>
    </row>
    <row r="11" spans="1:23" ht="13.15" x14ac:dyDescent="0.4">
      <c r="A11" s="10" t="s">
        <v>31</v>
      </c>
      <c r="B11" s="10"/>
      <c r="C11" s="10"/>
      <c r="D11" s="14">
        <v>35</v>
      </c>
      <c r="E11" s="10"/>
      <c r="F11" s="10"/>
      <c r="G11" s="10"/>
      <c r="H11" s="10"/>
      <c r="I11" s="10"/>
      <c r="K11" s="10"/>
      <c r="L11" s="10"/>
      <c r="M11" s="10"/>
      <c r="N11" s="10"/>
      <c r="O11" s="10"/>
      <c r="P11" s="8" t="s">
        <v>403</v>
      </c>
    </row>
    <row r="12" spans="1:23" ht="13.15" x14ac:dyDescent="0.4">
      <c r="A12" s="10"/>
      <c r="B12" s="10"/>
      <c r="C12" s="10"/>
      <c r="D12" s="12"/>
      <c r="E12" s="10"/>
      <c r="F12" s="10"/>
      <c r="G12" s="10"/>
      <c r="H12" s="10"/>
      <c r="I12" s="10"/>
      <c r="K12" s="10"/>
      <c r="L12" s="10"/>
      <c r="M12" s="10"/>
      <c r="N12" s="10"/>
      <c r="O12" s="10"/>
      <c r="P12" t="s">
        <v>35</v>
      </c>
      <c r="Q12" s="10"/>
      <c r="R12" s="65">
        <v>100</v>
      </c>
    </row>
    <row r="13" spans="1:23" ht="13.15" x14ac:dyDescent="0.4">
      <c r="A13" s="10" t="s">
        <v>32</v>
      </c>
      <c r="B13" s="10"/>
      <c r="C13" s="10"/>
      <c r="D13" s="12">
        <v>40000</v>
      </c>
      <c r="E13" s="10"/>
      <c r="F13" s="10"/>
      <c r="G13" s="10"/>
      <c r="H13" s="10"/>
      <c r="I13" s="10"/>
      <c r="K13" s="10"/>
      <c r="L13" s="10"/>
      <c r="M13" s="10"/>
      <c r="N13" s="10"/>
      <c r="O13" s="10"/>
      <c r="P13" t="s">
        <v>404</v>
      </c>
      <c r="R13" s="65">
        <v>500</v>
      </c>
    </row>
    <row r="14" spans="1:23" ht="13.15" x14ac:dyDescent="0.4">
      <c r="A14" s="10" t="s">
        <v>33</v>
      </c>
      <c r="B14" s="10"/>
      <c r="C14" s="10"/>
      <c r="D14" s="12">
        <v>6300</v>
      </c>
      <c r="E14" s="10"/>
      <c r="F14" s="10"/>
      <c r="G14" s="10"/>
      <c r="H14" s="10"/>
      <c r="I14" s="10"/>
      <c r="K14" s="10"/>
      <c r="L14" s="10"/>
      <c r="M14" s="10"/>
      <c r="N14" s="10"/>
      <c r="O14" s="10"/>
      <c r="P14" t="s">
        <v>397</v>
      </c>
      <c r="R14" s="250">
        <v>6.5</v>
      </c>
    </row>
    <row r="15" spans="1:23" ht="13.15" x14ac:dyDescent="0.4">
      <c r="A15" s="10" t="s">
        <v>34</v>
      </c>
      <c r="B15" s="10"/>
      <c r="C15" s="10"/>
      <c r="D15" s="154">
        <f>D13/D14*0.25</f>
        <v>1.5873015873015872</v>
      </c>
      <c r="E15" s="10"/>
      <c r="F15" s="10"/>
      <c r="G15" s="10"/>
      <c r="H15" s="10"/>
      <c r="I15" s="10"/>
      <c r="K15" s="10"/>
      <c r="L15" s="10"/>
      <c r="M15" s="10"/>
      <c r="N15" s="10"/>
      <c r="O15" s="10"/>
      <c r="P15" t="s">
        <v>405</v>
      </c>
      <c r="R15">
        <f>R14*R13/R12</f>
        <v>32.5</v>
      </c>
    </row>
    <row r="16" spans="1:23" ht="13.15" x14ac:dyDescent="0.4">
      <c r="D16" s="68"/>
      <c r="E16" s="10"/>
      <c r="F16" s="10"/>
      <c r="G16" s="10"/>
      <c r="H16" s="10"/>
      <c r="I16" s="10"/>
      <c r="K16" s="10"/>
      <c r="L16" s="10"/>
      <c r="M16" s="10"/>
      <c r="N16" s="10"/>
      <c r="O16" s="10"/>
      <c r="P16" t="s">
        <v>79</v>
      </c>
      <c r="R16" s="8">
        <v>3.27</v>
      </c>
    </row>
    <row r="17" spans="1:18" ht="13.15" x14ac:dyDescent="0.4">
      <c r="A17" t="s">
        <v>35</v>
      </c>
      <c r="B17" s="10"/>
      <c r="C17" s="10"/>
      <c r="D17" s="65">
        <v>100</v>
      </c>
      <c r="E17" s="10"/>
      <c r="F17" s="10"/>
      <c r="G17" s="10"/>
      <c r="H17" s="10"/>
      <c r="I17" s="10"/>
      <c r="K17" s="10"/>
      <c r="L17" s="10"/>
      <c r="M17" s="10"/>
      <c r="N17" s="10"/>
      <c r="O17" s="10"/>
      <c r="P17" t="s">
        <v>315</v>
      </c>
      <c r="R17" s="251">
        <f>R16*R12/(R13+R16)</f>
        <v>0.64975063087408347</v>
      </c>
    </row>
    <row r="18" spans="1:18" ht="13.15" x14ac:dyDescent="0.4">
      <c r="A18" t="s">
        <v>295</v>
      </c>
      <c r="D18" s="65">
        <v>100</v>
      </c>
      <c r="E18" s="10"/>
      <c r="F18" s="10"/>
      <c r="G18" s="10"/>
      <c r="H18" s="10"/>
      <c r="I18" s="10"/>
      <c r="K18" s="10"/>
      <c r="L18" s="10"/>
      <c r="M18" s="10"/>
      <c r="N18" s="10"/>
      <c r="O18" s="10"/>
    </row>
    <row r="19" spans="1:18" ht="13.15" x14ac:dyDescent="0.4">
      <c r="A19" t="s">
        <v>36</v>
      </c>
      <c r="D19" s="15">
        <f>D18*D15/1000</f>
        <v>0.15873015873015872</v>
      </c>
      <c r="E19" s="10"/>
      <c r="F19" s="10"/>
      <c r="G19" s="10"/>
      <c r="H19" s="10"/>
      <c r="I19" s="10"/>
      <c r="K19" s="10"/>
      <c r="L19" s="10"/>
      <c r="M19" s="10"/>
      <c r="N19" s="13"/>
      <c r="O19" s="10"/>
    </row>
    <row r="20" spans="1:18" ht="13.15" x14ac:dyDescent="0.4">
      <c r="A20" t="s">
        <v>37</v>
      </c>
      <c r="D20" s="155">
        <f>D19/D17*1000</f>
        <v>1.5873015873015872</v>
      </c>
      <c r="E20" s="10"/>
      <c r="F20" s="10"/>
      <c r="G20" s="10"/>
      <c r="H20" s="10"/>
      <c r="I20" s="10"/>
      <c r="K20" s="10"/>
      <c r="L20" s="10"/>
      <c r="M20" s="10"/>
      <c r="N20" s="12"/>
      <c r="O20" s="10"/>
    </row>
    <row r="21" spans="1:18" ht="13.15" x14ac:dyDescent="0.4">
      <c r="A21" t="s">
        <v>296</v>
      </c>
      <c r="D21" s="156">
        <f>D18-D20</f>
        <v>98.412698412698418</v>
      </c>
      <c r="E21" s="10"/>
      <c r="K21" s="10"/>
      <c r="L21" s="10"/>
      <c r="M21" s="10"/>
      <c r="N21" s="12"/>
      <c r="O21" s="10"/>
    </row>
    <row r="22" spans="1:18" ht="13.15" x14ac:dyDescent="0.4">
      <c r="A22" s="10"/>
      <c r="B22" s="10"/>
      <c r="E22" s="10"/>
      <c r="K22" s="10"/>
      <c r="L22" s="10"/>
      <c r="M22" s="10"/>
      <c r="N22" s="16"/>
      <c r="O22" s="10"/>
    </row>
    <row r="23" spans="1:18" ht="13.15" x14ac:dyDescent="0.4">
      <c r="A23" s="10"/>
      <c r="B23" s="10"/>
      <c r="C23" s="12" t="s">
        <v>38</v>
      </c>
      <c r="D23" s="12" t="s">
        <v>39</v>
      </c>
      <c r="E23" s="10"/>
      <c r="F23" s="10" t="s">
        <v>28</v>
      </c>
      <c r="G23" s="10"/>
      <c r="H23" s="96">
        <v>45832</v>
      </c>
      <c r="I23" s="10"/>
      <c r="K23" s="10" t="s">
        <v>28</v>
      </c>
      <c r="L23" s="10"/>
      <c r="M23" s="96">
        <v>45987</v>
      </c>
      <c r="N23" s="12"/>
      <c r="O23" s="10"/>
    </row>
    <row r="24" spans="1:18" ht="13.15" x14ac:dyDescent="0.4">
      <c r="A24" s="10"/>
      <c r="B24" s="10" t="s">
        <v>40</v>
      </c>
      <c r="C24" s="17">
        <v>10328.31</v>
      </c>
      <c r="D24" s="18">
        <f>(C24-$C$30)/$C$30</f>
        <v>-1.1926553370723604E-2</v>
      </c>
      <c r="E24" s="10"/>
      <c r="F24" s="10" t="s">
        <v>29</v>
      </c>
      <c r="G24" s="10"/>
      <c r="H24" s="12" t="s">
        <v>30</v>
      </c>
      <c r="I24" s="10"/>
      <c r="K24" s="10" t="s">
        <v>29</v>
      </c>
      <c r="L24" s="10"/>
      <c r="M24" s="12" t="s">
        <v>30</v>
      </c>
      <c r="N24" s="12"/>
      <c r="O24" s="10"/>
    </row>
    <row r="25" spans="1:18" ht="13.15" x14ac:dyDescent="0.4">
      <c r="A25" s="10"/>
      <c r="B25" s="10" t="s">
        <v>41</v>
      </c>
      <c r="C25" s="19">
        <v>10474.82</v>
      </c>
      <c r="D25" s="18">
        <f>(C25-$C$30)/$C$30</f>
        <v>2.0895480694593017E-3</v>
      </c>
      <c r="E25" s="10"/>
      <c r="F25" s="10" t="s">
        <v>42</v>
      </c>
      <c r="G25" s="10"/>
      <c r="H25" s="12" t="s">
        <v>25</v>
      </c>
      <c r="I25" s="10"/>
      <c r="K25" s="10" t="s">
        <v>42</v>
      </c>
      <c r="L25" s="10"/>
      <c r="M25" s="12" t="s">
        <v>349</v>
      </c>
      <c r="N25" s="12"/>
      <c r="O25" s="10"/>
    </row>
    <row r="26" spans="1:18" ht="13.9" customHeight="1" x14ac:dyDescent="0.4">
      <c r="A26" s="10"/>
      <c r="B26" s="10" t="s">
        <v>43</v>
      </c>
      <c r="C26" s="19">
        <v>10444.34</v>
      </c>
      <c r="D26" s="18">
        <f>(C26-$C$30)/$C$30</f>
        <v>-8.2636737588073089E-4</v>
      </c>
      <c r="E26" s="10"/>
      <c r="F26" s="10"/>
      <c r="G26" s="10"/>
      <c r="H26" s="12"/>
      <c r="I26" s="10"/>
    </row>
    <row r="27" spans="1:18" ht="13.15" x14ac:dyDescent="0.4">
      <c r="A27" s="10"/>
      <c r="B27" s="10" t="s">
        <v>44</v>
      </c>
      <c r="C27" s="19">
        <v>10591.38</v>
      </c>
      <c r="D27" s="18">
        <f>(C27-$C$30)/$C$30</f>
        <v>1.3240437318436913E-2</v>
      </c>
      <c r="E27" s="10"/>
      <c r="F27" s="10" t="s">
        <v>45</v>
      </c>
      <c r="G27" s="10"/>
      <c r="H27" s="12"/>
      <c r="I27" s="10"/>
      <c r="K27" s="187" t="s">
        <v>357</v>
      </c>
      <c r="L27" s="110"/>
      <c r="M27" s="126">
        <f>AVERAGE('A - B1'!$G$11, 'A - B2'!$G$11,'A - B3'!$G$11,'A - B4'!$G$11,'A - B5'!$G$11)</f>
        <v>1783.4873937</v>
      </c>
    </row>
    <row r="28" spans="1:18" ht="13.15" x14ac:dyDescent="0.4">
      <c r="A28" s="10"/>
      <c r="B28" s="10" t="s">
        <v>46</v>
      </c>
      <c r="C28" s="20">
        <v>10426.040000000001</v>
      </c>
      <c r="D28" s="18">
        <f>(C28-$C$30)/$C$30</f>
        <v>-2.5770646412915329E-3</v>
      </c>
      <c r="E28" s="10"/>
      <c r="F28" s="10" t="s">
        <v>47</v>
      </c>
      <c r="G28" s="10"/>
      <c r="H28" s="12" t="s">
        <v>48</v>
      </c>
      <c r="I28" s="10"/>
      <c r="K28" s="187" t="s">
        <v>358</v>
      </c>
      <c r="L28" s="110"/>
      <c r="M28" s="188">
        <v>2000</v>
      </c>
    </row>
    <row r="29" spans="1:18" ht="13.15" x14ac:dyDescent="0.4">
      <c r="A29" s="10"/>
      <c r="B29" s="10"/>
      <c r="C29" s="10"/>
      <c r="D29" s="10"/>
      <c r="E29" s="10"/>
      <c r="F29" s="10" t="s">
        <v>49</v>
      </c>
      <c r="G29" s="10"/>
      <c r="H29" s="16">
        <v>8.3870000000000005</v>
      </c>
      <c r="I29" s="10"/>
      <c r="K29" s="135" t="s">
        <v>265</v>
      </c>
      <c r="L29" s="135"/>
      <c r="M29" s="189">
        <f>M27/M28</f>
        <v>0.89174369684999999</v>
      </c>
    </row>
    <row r="30" spans="1:18" ht="13.15" x14ac:dyDescent="0.4">
      <c r="A30" s="10"/>
      <c r="B30" s="10" t="s">
        <v>50</v>
      </c>
      <c r="C30" s="21">
        <f>AVERAGE(C24:C28)</f>
        <v>10452.977999999999</v>
      </c>
      <c r="D30" s="10"/>
      <c r="E30" s="10"/>
      <c r="F30" s="10" t="s">
        <v>297</v>
      </c>
      <c r="G30" s="10"/>
      <c r="H30" s="16">
        <v>95.525999999999996</v>
      </c>
      <c r="I30" s="10"/>
    </row>
    <row r="31" spans="1:18" ht="13.15" x14ac:dyDescent="0.4">
      <c r="A31" s="10"/>
      <c r="B31" s="10" t="s">
        <v>51</v>
      </c>
      <c r="C31" s="21">
        <f>STDEVP(C24:C28)</f>
        <v>84.822836170455702</v>
      </c>
      <c r="D31" s="10"/>
      <c r="E31" s="10"/>
      <c r="F31" s="10" t="s">
        <v>52</v>
      </c>
      <c r="G31" s="10"/>
      <c r="H31" s="12">
        <v>20</v>
      </c>
      <c r="I31" s="10" t="s">
        <v>53</v>
      </c>
      <c r="K31" t="s">
        <v>362</v>
      </c>
      <c r="M31" s="190">
        <f>(M29-1)*1000</f>
        <v>-108.25630315000001</v>
      </c>
    </row>
    <row r="32" spans="1:18" ht="13.15" x14ac:dyDescent="0.4">
      <c r="A32" s="10"/>
      <c r="B32" s="10"/>
      <c r="C32" s="21"/>
      <c r="D32" s="10"/>
      <c r="E32" s="10"/>
      <c r="F32" s="10" t="s">
        <v>54</v>
      </c>
      <c r="G32" s="10"/>
      <c r="H32" s="12">
        <v>50</v>
      </c>
      <c r="I32" s="10" t="s">
        <v>53</v>
      </c>
    </row>
    <row r="33" spans="1:10" ht="13.15" x14ac:dyDescent="0.4">
      <c r="A33" s="10"/>
      <c r="B33" s="10"/>
      <c r="C33" s="10"/>
      <c r="D33" s="10"/>
      <c r="E33" s="10"/>
      <c r="F33" s="10" t="s">
        <v>298</v>
      </c>
      <c r="G33" s="10"/>
      <c r="H33" s="12">
        <f>H31+H32</f>
        <v>70</v>
      </c>
      <c r="I33" s="10" t="s">
        <v>53</v>
      </c>
    </row>
    <row r="34" spans="1:10" ht="13.15" x14ac:dyDescent="0.4">
      <c r="A34" s="10"/>
      <c r="B34" s="10"/>
      <c r="C34" s="18"/>
      <c r="D34" s="10"/>
      <c r="E34" s="10"/>
      <c r="F34" s="10" t="s">
        <v>299</v>
      </c>
      <c r="G34" s="10"/>
      <c r="H34" s="16">
        <v>35.415999999999997</v>
      </c>
      <c r="I34" s="10" t="s">
        <v>55</v>
      </c>
    </row>
    <row r="35" spans="1:10" ht="13.15" x14ac:dyDescent="0.4">
      <c r="A35" s="10"/>
      <c r="B35" s="10"/>
      <c r="C35" s="10"/>
      <c r="D35" s="10"/>
      <c r="F35" s="10" t="s">
        <v>56</v>
      </c>
      <c r="G35" s="10"/>
      <c r="H35" s="16">
        <f>H30-H34</f>
        <v>60.11</v>
      </c>
      <c r="I35" s="10"/>
    </row>
    <row r="36" spans="1:10" ht="13.15" x14ac:dyDescent="0.4">
      <c r="A36" s="10"/>
      <c r="B36" s="10"/>
      <c r="C36" s="10"/>
      <c r="D36" s="10"/>
      <c r="F36" s="22" t="s">
        <v>57</v>
      </c>
      <c r="G36" s="23"/>
      <c r="H36" s="24">
        <f>H35/H30*110</f>
        <v>69.217804576764436</v>
      </c>
      <c r="I36" s="10"/>
    </row>
    <row r="37" spans="1:10" ht="13.15" x14ac:dyDescent="0.4">
      <c r="A37" s="10"/>
      <c r="B37" s="10"/>
      <c r="C37" s="10"/>
      <c r="D37" s="10"/>
      <c r="F37" s="10"/>
      <c r="G37" s="10"/>
      <c r="H37" s="12"/>
      <c r="I37" s="10"/>
    </row>
    <row r="38" spans="1:10" ht="15.4" x14ac:dyDescent="0.55000000000000004">
      <c r="A38" s="10"/>
      <c r="B38" s="10" t="s">
        <v>58</v>
      </c>
      <c r="C38" s="18">
        <f>C31/C30</f>
        <v>8.1147053184705553E-3</v>
      </c>
      <c r="D38" s="10" t="str">
        <f>IF(C38&lt;0.03,"&lt;3% = PASS","&gt;3% = FAIL")</f>
        <v>&lt;3% = PASS</v>
      </c>
      <c r="F38" s="10" t="s">
        <v>59</v>
      </c>
      <c r="G38" s="10"/>
      <c r="H38" s="25">
        <f>H36/H33-1</f>
        <v>-1.1174220331936602E-2</v>
      </c>
      <c r="I38" s="10"/>
      <c r="J38" s="26"/>
    </row>
    <row r="39" spans="1:10" ht="13.15" x14ac:dyDescent="0.4">
      <c r="A39" s="10"/>
      <c r="B39" s="10"/>
      <c r="C39" s="10"/>
      <c r="D39" s="10"/>
      <c r="F39" s="10"/>
      <c r="G39" s="10"/>
      <c r="H39" s="27"/>
      <c r="I39" s="26"/>
      <c r="J39" s="26"/>
    </row>
    <row r="40" spans="1:10" ht="13.15" x14ac:dyDescent="0.4">
      <c r="A40" s="8"/>
      <c r="F40" s="10"/>
      <c r="G40" s="10"/>
      <c r="H40" s="28"/>
      <c r="I40" s="26"/>
      <c r="J40" s="26"/>
    </row>
    <row r="41" spans="1:10" ht="13.15" x14ac:dyDescent="0.4">
      <c r="B41" s="29"/>
      <c r="E41" s="10"/>
      <c r="F41" s="10"/>
      <c r="G41" s="10"/>
      <c r="H41" s="27"/>
      <c r="I41" s="26"/>
      <c r="J41" s="26"/>
    </row>
    <row r="42" spans="1:10" ht="13.15" x14ac:dyDescent="0.4">
      <c r="E42" s="10"/>
      <c r="F42" s="10"/>
      <c r="G42" s="10"/>
      <c r="H42" s="28"/>
      <c r="I42" s="26"/>
      <c r="J42" s="26"/>
    </row>
    <row r="43" spans="1:10" ht="13.15" x14ac:dyDescent="0.4">
      <c r="E43" s="10"/>
      <c r="F43" s="10"/>
      <c r="G43" s="10"/>
      <c r="H43" s="27"/>
      <c r="I43" s="26"/>
      <c r="J43" s="26"/>
    </row>
    <row r="44" spans="1:10" ht="13.15" x14ac:dyDescent="0.4">
      <c r="C44" s="8"/>
      <c r="E44" s="30"/>
      <c r="F44" s="10"/>
      <c r="G44" s="10"/>
      <c r="H44" s="31"/>
      <c r="I44" s="26"/>
      <c r="J44" s="26"/>
    </row>
    <row r="45" spans="1:10" ht="13.15" x14ac:dyDescent="0.4">
      <c r="E45" s="10"/>
      <c r="F45" s="10"/>
      <c r="G45" s="10"/>
      <c r="H45" s="10"/>
      <c r="I45" s="10"/>
    </row>
    <row r="46" spans="1:10" ht="13.15" x14ac:dyDescent="0.4">
      <c r="E46" s="10"/>
      <c r="F46" s="10"/>
      <c r="G46" s="10"/>
      <c r="H46" s="10"/>
      <c r="I46" s="18"/>
    </row>
    <row r="47" spans="1:10" ht="13.15" x14ac:dyDescent="0.4">
      <c r="E47" s="10"/>
      <c r="F47" s="10"/>
      <c r="G47" s="10"/>
      <c r="H47" s="10"/>
      <c r="I47" s="10"/>
    </row>
    <row r="48" spans="1:10" ht="13.15" x14ac:dyDescent="0.4">
      <c r="A48" s="10"/>
      <c r="B48" s="10"/>
      <c r="C48" s="10"/>
      <c r="D48" s="10"/>
      <c r="E48" s="10"/>
      <c r="F48" s="10"/>
      <c r="G48" s="10"/>
      <c r="H48" s="10"/>
      <c r="I48" s="10"/>
    </row>
    <row r="49" spans="1:9" ht="13.15" x14ac:dyDescent="0.4">
      <c r="A49" s="10"/>
      <c r="B49" s="10"/>
      <c r="C49" s="10"/>
      <c r="D49" s="10"/>
      <c r="E49" s="10"/>
      <c r="F49" s="10"/>
      <c r="G49" s="10"/>
      <c r="H49" s="10"/>
      <c r="I49" s="10"/>
    </row>
    <row r="50" spans="1:9" ht="13.15" x14ac:dyDescent="0.4">
      <c r="A50" s="10"/>
      <c r="B50" s="10"/>
      <c r="C50" s="10"/>
      <c r="D50" s="10"/>
      <c r="E50" s="10"/>
      <c r="F50" s="10"/>
      <c r="G50" s="10"/>
      <c r="H50" s="10"/>
      <c r="I50" s="18"/>
    </row>
  </sheetData>
  <mergeCells count="1">
    <mergeCell ref="A1:E1"/>
  </mergeCells>
  <conditionalFormatting sqref="C38">
    <cfRule type="cellIs" dxfId="46" priority="4" operator="lessThan">
      <formula>0.03</formula>
    </cfRule>
    <cfRule type="cellIs" dxfId="45" priority="5" operator="greaterThanOrEqual">
      <formula>0.03</formula>
    </cfRule>
  </conditionalFormatting>
  <conditionalFormatting sqref="D38">
    <cfRule type="cellIs" dxfId="44" priority="2" operator="equal">
      <formula>"&lt;3% = PASS"</formula>
    </cfRule>
    <cfRule type="cellIs" dxfId="43" priority="3" operator="notEqual">
      <formula>"&lt;3% = PASS"</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273FE-221C-4F1A-AD78-D74C599B3EF0}">
  <sheetPr codeName="Sheet17"/>
  <dimension ref="A1:AW117"/>
  <sheetViews>
    <sheetView zoomScale="70" zoomScaleNormal="70" workbookViewId="0">
      <selection activeCell="C90" sqref="C9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267</v>
      </c>
      <c r="B2" s="260"/>
      <c r="C2" s="260"/>
      <c r="D2" s="260"/>
      <c r="E2" s="260"/>
      <c r="H2" s="72" t="s">
        <v>128</v>
      </c>
    </row>
    <row r="3" spans="1:49" ht="13.15" x14ac:dyDescent="0.4">
      <c r="A3" t="s">
        <v>129</v>
      </c>
      <c r="B3" s="73"/>
      <c r="D3" t="s">
        <v>130</v>
      </c>
      <c r="E3" s="8">
        <f>'Clause 6'!$G$11</f>
        <v>1</v>
      </c>
    </row>
    <row r="4" spans="1:49" ht="18.100000000000001" customHeight="1" x14ac:dyDescent="1.05">
      <c r="A4" s="8" t="s">
        <v>28</v>
      </c>
      <c r="B4" s="74"/>
      <c r="O4" s="75"/>
    </row>
    <row r="5" spans="1:49" ht="13.15" x14ac:dyDescent="0.4">
      <c r="A5" s="8" t="s">
        <v>116</v>
      </c>
      <c r="B5" s="185"/>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 t="shared" ref="B8:F9" si="0">B52</f>
        <v>9.4013469999999995</v>
      </c>
      <c r="C8" s="46">
        <f t="shared" si="0"/>
        <v>9.8436819999999994</v>
      </c>
      <c r="D8" s="46">
        <f t="shared" si="0"/>
        <v>9.7738219999999991</v>
      </c>
      <c r="E8" s="46">
        <f t="shared" si="0"/>
        <v>9.8394490000000001</v>
      </c>
      <c r="F8" s="46">
        <f t="shared" si="0"/>
        <v>9.8386399999999998</v>
      </c>
      <c r="G8" s="78">
        <f>AVERAGE(B$8:F$8)*5</f>
        <v>48.696939999999998</v>
      </c>
      <c r="I8" s="79"/>
      <c r="K8" s="79"/>
    </row>
    <row r="9" spans="1:49" ht="13.15" x14ac:dyDescent="0.4">
      <c r="A9" s="68" t="s">
        <v>140</v>
      </c>
      <c r="B9" s="42">
        <f t="shared" si="0"/>
        <v>1838.779053</v>
      </c>
      <c r="C9" s="42">
        <f t="shared" si="0"/>
        <v>1741.0151370000001</v>
      </c>
      <c r="D9" s="42">
        <f t="shared" si="0"/>
        <v>1871.9392089999999</v>
      </c>
      <c r="E9" s="42">
        <f t="shared" si="0"/>
        <v>1865.043457</v>
      </c>
      <c r="F9" s="42">
        <f t="shared" si="0"/>
        <v>1799.740601</v>
      </c>
      <c r="G9" s="80">
        <f t="shared" ref="G9:G38" si="1">AVERAGE(B9:F9)</f>
        <v>1823.3034914</v>
      </c>
      <c r="H9" s="81">
        <f t="shared" ref="H9:H38" si="2">G9*G$8</f>
        <v>88789.300722496308</v>
      </c>
      <c r="I9" s="79">
        <f t="shared" ref="I9:I38" si="3">STDEVP(B9:F9)/AVERAGE(B9:F9)</f>
        <v>2.6500918577882115E-2</v>
      </c>
      <c r="J9" s="79">
        <f t="shared" ref="J9:J38" si="4">IF(H9&gt;$A$43, $C$43, IF(H9&gt;$A$44, $C$44, IF(H9&gt;$A$45,$C$45,IF(H9&gt;$A$46,$C$46, IF(H9&gt;$A$47,$C$47,IF(H9&gt;$A$48,$C$48,$C$49))))))/100</f>
        <v>0.11</v>
      </c>
      <c r="K9" s="79">
        <f t="shared" ref="K9:K38" si="5">(MAX(B9:F9)-MIN(B9:F9))/G9</f>
        <v>7.1805967913477445E-2</v>
      </c>
      <c r="L9">
        <f t="shared" ref="L9:L38" si="6">COUNTA(B9:F9)</f>
        <v>5</v>
      </c>
      <c r="P9" s="42"/>
    </row>
    <row r="10" spans="1:49" ht="13.15" x14ac:dyDescent="0.4">
      <c r="A10" s="68" t="s">
        <v>141</v>
      </c>
      <c r="B10" s="42">
        <f t="shared" ref="B10:C38" si="7">B54</f>
        <v>1813.7825929999999</v>
      </c>
      <c r="C10" s="42">
        <f t="shared" si="7"/>
        <v>1715.1102289999999</v>
      </c>
      <c r="D10" s="42">
        <f t="shared" ref="D10:F10" si="8">D54</f>
        <v>1844.825928</v>
      </c>
      <c r="E10" s="42">
        <f t="shared" si="8"/>
        <v>1840.3469239999999</v>
      </c>
      <c r="F10" s="42">
        <f t="shared" si="8"/>
        <v>1776.6683350000001</v>
      </c>
      <c r="G10" s="80">
        <f t="shared" si="1"/>
        <v>1798.1468018</v>
      </c>
      <c r="H10" s="81">
        <f t="shared" si="2"/>
        <v>87564.246918446486</v>
      </c>
      <c r="I10" s="79">
        <f t="shared" si="3"/>
        <v>2.6741223952166202E-2</v>
      </c>
      <c r="J10" s="79">
        <f t="shared" si="4"/>
        <v>0.11</v>
      </c>
      <c r="K10" s="79">
        <f t="shared" si="5"/>
        <v>7.2138547792733446E-2</v>
      </c>
      <c r="L10">
        <f t="shared" si="6"/>
        <v>5</v>
      </c>
      <c r="P10" s="42"/>
    </row>
    <row r="11" spans="1:49" ht="13.15" x14ac:dyDescent="0.4">
      <c r="A11" s="68" t="s">
        <v>142</v>
      </c>
      <c r="B11" s="42">
        <f t="shared" si="7"/>
        <v>1798.5720209999999</v>
      </c>
      <c r="C11" s="42">
        <f t="shared" si="7"/>
        <v>1700.684692</v>
      </c>
      <c r="D11" s="42">
        <f t="shared" ref="D11:F11" si="9">D55</f>
        <v>1830.501953</v>
      </c>
      <c r="E11" s="42">
        <f t="shared" si="9"/>
        <v>1827.134888</v>
      </c>
      <c r="F11" s="42">
        <f t="shared" si="9"/>
        <v>1764.0649410000001</v>
      </c>
      <c r="G11" s="80">
        <f t="shared" si="1"/>
        <v>1784.1916990000002</v>
      </c>
      <c r="H11" s="81">
        <f t="shared" si="2"/>
        <v>86884.676114701069</v>
      </c>
      <c r="I11" s="79">
        <f t="shared" si="3"/>
        <v>2.6965985632613126E-2</v>
      </c>
      <c r="J11" s="79">
        <f t="shared" si="4"/>
        <v>0.11</v>
      </c>
      <c r="K11" s="79">
        <f t="shared" si="5"/>
        <v>7.2759704617367971E-2</v>
      </c>
      <c r="L11">
        <f t="shared" si="6"/>
        <v>5</v>
      </c>
      <c r="P11" s="42"/>
    </row>
    <row r="12" spans="1:49" ht="13.15" x14ac:dyDescent="0.4">
      <c r="A12" s="68" t="s">
        <v>143</v>
      </c>
      <c r="B12" s="42">
        <f t="shared" si="7"/>
        <v>1788.041626</v>
      </c>
      <c r="C12" s="42">
        <f t="shared" si="7"/>
        <v>1691.033813</v>
      </c>
      <c r="D12" s="42">
        <f t="shared" ref="D12:F12" si="10">D56</f>
        <v>1820.5775149999999</v>
      </c>
      <c r="E12" s="42">
        <f t="shared" si="10"/>
        <v>1818.5977780000001</v>
      </c>
      <c r="F12" s="42">
        <f t="shared" si="10"/>
        <v>1754.7139890000001</v>
      </c>
      <c r="G12" s="80">
        <f t="shared" si="1"/>
        <v>1774.5929442000001</v>
      </c>
      <c r="H12" s="81">
        <f t="shared" si="2"/>
        <v>86417.246128130748</v>
      </c>
      <c r="I12" s="79">
        <f t="shared" si="3"/>
        <v>2.7152943518870386E-2</v>
      </c>
      <c r="J12" s="79">
        <f t="shared" si="4"/>
        <v>0.11</v>
      </c>
      <c r="K12" s="79">
        <f t="shared" si="5"/>
        <v>7.2999108005807611E-2</v>
      </c>
      <c r="L12">
        <f t="shared" si="6"/>
        <v>5</v>
      </c>
      <c r="P12" s="42"/>
    </row>
    <row r="13" spans="1:49" ht="13.15" x14ac:dyDescent="0.4">
      <c r="A13" s="68" t="s">
        <v>144</v>
      </c>
      <c r="B13" s="42">
        <f t="shared" si="7"/>
        <v>1782.4041749999999</v>
      </c>
      <c r="C13" s="42">
        <f t="shared" si="7"/>
        <v>1685.2432859999999</v>
      </c>
      <c r="D13" s="42">
        <f t="shared" ref="D13:F13" si="11">D57</f>
        <v>1814.3363039999999</v>
      </c>
      <c r="E13" s="42">
        <f t="shared" si="11"/>
        <v>1812.9063719999999</v>
      </c>
      <c r="F13" s="42">
        <f t="shared" si="11"/>
        <v>1749.5303960000001</v>
      </c>
      <c r="G13" s="80">
        <f t="shared" si="1"/>
        <v>1768.8841065999998</v>
      </c>
      <c r="H13" s="81">
        <f t="shared" si="2"/>
        <v>86139.243206053783</v>
      </c>
      <c r="I13" s="79">
        <f t="shared" si="3"/>
        <v>2.7179302823088679E-2</v>
      </c>
      <c r="J13" s="79">
        <f t="shared" si="4"/>
        <v>0.11</v>
      </c>
      <c r="K13" s="79">
        <f t="shared" si="5"/>
        <v>7.2979918536399638E-2</v>
      </c>
      <c r="L13">
        <f t="shared" si="6"/>
        <v>5</v>
      </c>
      <c r="P13" s="42"/>
    </row>
    <row r="14" spans="1:49" ht="13.15" x14ac:dyDescent="0.4">
      <c r="A14" s="68" t="s">
        <v>145</v>
      </c>
      <c r="B14" s="42">
        <f t="shared" si="7"/>
        <v>1779.4257809999999</v>
      </c>
      <c r="C14" s="42">
        <f t="shared" si="7"/>
        <v>1679.8591309999999</v>
      </c>
      <c r="D14" s="42">
        <f t="shared" ref="D14:F14" si="12">D58</f>
        <v>1809.322876</v>
      </c>
      <c r="E14" s="42">
        <f t="shared" si="12"/>
        <v>1808.536255</v>
      </c>
      <c r="F14" s="42">
        <f t="shared" si="12"/>
        <v>1745.7696530000001</v>
      </c>
      <c r="G14" s="80">
        <f t="shared" si="1"/>
        <v>1764.5827391999999</v>
      </c>
      <c r="H14" s="81">
        <f t="shared" si="2"/>
        <v>85929.779775858042</v>
      </c>
      <c r="I14" s="79">
        <f t="shared" si="3"/>
        <v>2.7397100194296871E-2</v>
      </c>
      <c r="J14" s="79">
        <f t="shared" si="4"/>
        <v>0.11</v>
      </c>
      <c r="K14" s="79">
        <f t="shared" si="5"/>
        <v>7.3367908528162495E-2</v>
      </c>
      <c r="L14">
        <f t="shared" si="6"/>
        <v>5</v>
      </c>
      <c r="P14" s="42"/>
    </row>
    <row r="15" spans="1:49" ht="13.15" x14ac:dyDescent="0.4">
      <c r="A15" s="68" t="s">
        <v>146</v>
      </c>
      <c r="B15" s="42">
        <f t="shared" si="7"/>
        <v>1771.2354740000001</v>
      </c>
      <c r="C15" s="42">
        <f t="shared" si="7"/>
        <v>1670.411499</v>
      </c>
      <c r="D15" s="42">
        <f t="shared" ref="D15:F15" si="13">D59</f>
        <v>1800.5239260000001</v>
      </c>
      <c r="E15" s="42">
        <f t="shared" si="13"/>
        <v>1799.7958980000001</v>
      </c>
      <c r="F15" s="42">
        <f t="shared" si="13"/>
        <v>1738.5532229999999</v>
      </c>
      <c r="G15" s="80">
        <f t="shared" si="1"/>
        <v>1756.104004</v>
      </c>
      <c r="H15" s="81">
        <f t="shared" si="2"/>
        <v>85516.891316547757</v>
      </c>
      <c r="I15" s="79">
        <f t="shared" si="3"/>
        <v>2.7619196150366936E-2</v>
      </c>
      <c r="J15" s="79">
        <f t="shared" si="4"/>
        <v>0.11</v>
      </c>
      <c r="K15" s="79">
        <f t="shared" si="5"/>
        <v>7.4091526870637456E-2</v>
      </c>
      <c r="L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2">
        <f t="shared" si="7"/>
        <v>1627.107178</v>
      </c>
      <c r="C16" s="42">
        <f t="shared" si="7"/>
        <v>1540.6835940000001</v>
      </c>
      <c r="D16" s="42">
        <f t="shared" ref="D16:F16" si="14">D60</f>
        <v>1664.2414550000001</v>
      </c>
      <c r="E16" s="42">
        <f t="shared" si="14"/>
        <v>1658.527832</v>
      </c>
      <c r="F16" s="42">
        <f t="shared" si="14"/>
        <v>1624.20813</v>
      </c>
      <c r="G16" s="80">
        <f t="shared" si="1"/>
        <v>1622.9536378</v>
      </c>
      <c r="H16" s="81">
        <f t="shared" si="2"/>
        <v>79032.87592272833</v>
      </c>
      <c r="I16" s="79">
        <f t="shared" si="3"/>
        <v>2.7219226564922851E-2</v>
      </c>
      <c r="J16" s="79">
        <f t="shared" si="4"/>
        <v>0.11</v>
      </c>
      <c r="K16" s="79">
        <f t="shared" si="5"/>
        <v>7.6131479126840151E-2</v>
      </c>
      <c r="L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2">
        <f t="shared" si="7"/>
        <v>879.66119400000002</v>
      </c>
      <c r="C17" s="42">
        <f t="shared" si="7"/>
        <v>868.88214100000005</v>
      </c>
      <c r="D17" s="42">
        <f t="shared" ref="D17:F17" si="15">D61</f>
        <v>892.79303000000004</v>
      </c>
      <c r="E17" s="42">
        <f t="shared" si="15"/>
        <v>902.99774200000002</v>
      </c>
      <c r="F17" s="42">
        <f t="shared" si="15"/>
        <v>923.80651899999998</v>
      </c>
      <c r="G17" s="80">
        <f t="shared" si="1"/>
        <v>893.62812520000011</v>
      </c>
      <c r="H17" s="81">
        <f t="shared" si="2"/>
        <v>43516.955195176888</v>
      </c>
      <c r="I17" s="79">
        <f t="shared" si="3"/>
        <v>2.1271423716939963E-2</v>
      </c>
      <c r="J17" s="79">
        <f t="shared" si="4"/>
        <v>0.11</v>
      </c>
      <c r="K17" s="79">
        <f t="shared" si="5"/>
        <v>6.1462230710014283E-2</v>
      </c>
      <c r="L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2">
        <f t="shared" si="7"/>
        <v>199.22676100000001</v>
      </c>
      <c r="C18" s="42">
        <f t="shared" si="7"/>
        <v>212.217331</v>
      </c>
      <c r="D18" s="42">
        <f t="shared" ref="D18:F18" si="16">D62</f>
        <v>212.81336999999999</v>
      </c>
      <c r="E18" s="42">
        <f t="shared" si="16"/>
        <v>217.08532700000001</v>
      </c>
      <c r="F18" s="42">
        <f t="shared" si="16"/>
        <v>215.37529000000001</v>
      </c>
      <c r="G18" s="80">
        <f t="shared" si="1"/>
        <v>211.34361580000001</v>
      </c>
      <c r="H18" s="81">
        <f t="shared" si="2"/>
        <v>10291.787377995652</v>
      </c>
      <c r="I18" s="79">
        <f t="shared" si="3"/>
        <v>2.9847807075997254E-2</v>
      </c>
      <c r="J18" s="79">
        <f t="shared" si="4"/>
        <v>0.11</v>
      </c>
      <c r="K18" s="79">
        <f t="shared" si="5"/>
        <v>8.4500144148664635E-2</v>
      </c>
      <c r="L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2">
        <f t="shared" si="7"/>
        <v>79.456695999999994</v>
      </c>
      <c r="C19" s="42">
        <f t="shared" si="7"/>
        <v>76.597351000000003</v>
      </c>
      <c r="D19" s="42">
        <f t="shared" ref="D19:F19" si="17">D63</f>
        <v>78.167991999999998</v>
      </c>
      <c r="E19" s="42">
        <f t="shared" si="17"/>
        <v>79.374367000000007</v>
      </c>
      <c r="F19" s="42">
        <f t="shared" si="17"/>
        <v>80.702208999999996</v>
      </c>
      <c r="G19" s="80">
        <f t="shared" si="1"/>
        <v>78.859723000000002</v>
      </c>
      <c r="H19" s="81">
        <f t="shared" si="2"/>
        <v>3840.2271993476202</v>
      </c>
      <c r="I19" s="79">
        <f t="shared" si="3"/>
        <v>1.7582673060056436E-2</v>
      </c>
      <c r="J19" s="79">
        <f t="shared" si="4"/>
        <v>0.11900000000000001</v>
      </c>
      <c r="K19" s="79">
        <f t="shared" si="5"/>
        <v>5.205265557425294E-2</v>
      </c>
      <c r="L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2">
        <f t="shared" si="7"/>
        <v>68.288086000000007</v>
      </c>
      <c r="C20" s="42">
        <f t="shared" si="7"/>
        <v>64.508376999999996</v>
      </c>
      <c r="D20" s="42">
        <f t="shared" ref="D20:F20" si="18">D64</f>
        <v>67.220375000000004</v>
      </c>
      <c r="E20" s="42">
        <f t="shared" si="18"/>
        <v>66.873665000000003</v>
      </c>
      <c r="F20" s="42">
        <f t="shared" si="18"/>
        <v>69.216881000000001</v>
      </c>
      <c r="G20" s="80">
        <f t="shared" si="1"/>
        <v>67.221476800000005</v>
      </c>
      <c r="H20" s="81">
        <f t="shared" si="2"/>
        <v>3273.4802224409923</v>
      </c>
      <c r="I20" s="79">
        <f t="shared" si="3"/>
        <v>2.3616336040424905E-2</v>
      </c>
      <c r="J20" s="79">
        <f t="shared" si="4"/>
        <v>0.11900000000000001</v>
      </c>
      <c r="K20" s="79">
        <f t="shared" si="5"/>
        <v>7.0044637876804344E-2</v>
      </c>
      <c r="L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2">
        <f t="shared" si="7"/>
        <v>57.864047999999997</v>
      </c>
      <c r="C21" s="42">
        <f t="shared" si="7"/>
        <v>54.654342999999997</v>
      </c>
      <c r="D21" s="42">
        <f t="shared" ref="D21:F21" si="19">D65</f>
        <v>55.863509999999998</v>
      </c>
      <c r="E21" s="42">
        <f t="shared" si="19"/>
        <v>57.421913000000004</v>
      </c>
      <c r="F21" s="42">
        <f t="shared" si="19"/>
        <v>61.797156999999999</v>
      </c>
      <c r="G21" s="80">
        <f t="shared" si="1"/>
        <v>57.520194199999992</v>
      </c>
      <c r="H21" s="81">
        <f t="shared" si="2"/>
        <v>2801.0574457457474</v>
      </c>
      <c r="I21" s="79">
        <f t="shared" si="3"/>
        <v>4.2141098203132367E-2</v>
      </c>
      <c r="J21" s="79">
        <f t="shared" si="4"/>
        <v>0.11900000000000001</v>
      </c>
      <c r="K21" s="79">
        <f t="shared" si="5"/>
        <v>0.12417923999289979</v>
      </c>
      <c r="L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2">
        <f t="shared" si="7"/>
        <v>42.866196000000002</v>
      </c>
      <c r="C22" s="42">
        <f t="shared" si="7"/>
        <v>42.971724999999999</v>
      </c>
      <c r="D22" s="42">
        <f t="shared" ref="D22:F22" si="20">D66</f>
        <v>41.027962000000002</v>
      </c>
      <c r="E22" s="42">
        <f t="shared" si="20"/>
        <v>44.514687000000002</v>
      </c>
      <c r="F22" s="42">
        <f t="shared" si="20"/>
        <v>48.990509000000003</v>
      </c>
      <c r="G22" s="80">
        <f t="shared" si="1"/>
        <v>44.074215800000005</v>
      </c>
      <c r="H22" s="81">
        <f t="shared" si="2"/>
        <v>2146.279442359652</v>
      </c>
      <c r="I22" s="79">
        <f t="shared" si="3"/>
        <v>6.1149630885245179E-2</v>
      </c>
      <c r="J22" s="79">
        <f t="shared" si="4"/>
        <v>0.11900000000000001</v>
      </c>
      <c r="K22" s="79">
        <f t="shared" si="5"/>
        <v>0.18066225014943998</v>
      </c>
      <c r="L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2">
        <f t="shared" si="7"/>
        <v>30.633907000000001</v>
      </c>
      <c r="C23" s="42">
        <f t="shared" si="7"/>
        <v>32.914512999999999</v>
      </c>
      <c r="D23" s="42">
        <f t="shared" ref="D23:F23" si="21">D67</f>
        <v>30.387295000000002</v>
      </c>
      <c r="E23" s="42">
        <f t="shared" si="21"/>
        <v>32.11562</v>
      </c>
      <c r="F23" s="42">
        <f t="shared" si="21"/>
        <v>35.065823000000002</v>
      </c>
      <c r="G23" s="80">
        <f t="shared" si="1"/>
        <v>32.223431599999998</v>
      </c>
      <c r="H23" s="81">
        <f t="shared" si="2"/>
        <v>1569.1825152193039</v>
      </c>
      <c r="I23" s="79">
        <f t="shared" si="3"/>
        <v>5.2786555145442657E-2</v>
      </c>
      <c r="J23" s="79">
        <f t="shared" si="4"/>
        <v>0.13400000000000001</v>
      </c>
      <c r="K23" s="79">
        <f t="shared" si="5"/>
        <v>0.14519024721128709</v>
      </c>
      <c r="L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2">
        <f t="shared" si="7"/>
        <v>21.486281999999999</v>
      </c>
      <c r="C24" s="42">
        <f t="shared" si="7"/>
        <v>23.670003999999999</v>
      </c>
      <c r="D24" s="42">
        <f t="shared" ref="D24:F24" si="22">D68</f>
        <v>22.09985</v>
      </c>
      <c r="E24" s="42">
        <f t="shared" si="22"/>
        <v>24.696504999999998</v>
      </c>
      <c r="F24" s="42">
        <f t="shared" si="22"/>
        <v>25.308375999999999</v>
      </c>
      <c r="G24" s="80">
        <f t="shared" si="1"/>
        <v>23.452203399999998</v>
      </c>
      <c r="H24" s="81">
        <f t="shared" si="2"/>
        <v>1142.0505418375958</v>
      </c>
      <c r="I24" s="79">
        <f t="shared" si="3"/>
        <v>6.2478193712815495E-2</v>
      </c>
      <c r="J24" s="79">
        <f t="shared" si="4"/>
        <v>0.13400000000000001</v>
      </c>
      <c r="K24" s="79">
        <f t="shared" si="5"/>
        <v>0.16297376987613882</v>
      </c>
      <c r="L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2">
        <f t="shared" si="7"/>
        <v>18.720721999999999</v>
      </c>
      <c r="C25" s="42">
        <f t="shared" si="7"/>
        <v>20.216013</v>
      </c>
      <c r="D25" s="42">
        <f t="shared" ref="D25:F25" si="23">D69</f>
        <v>18.825797999999999</v>
      </c>
      <c r="E25" s="42">
        <f t="shared" si="23"/>
        <v>21.139395</v>
      </c>
      <c r="F25" s="42">
        <f t="shared" si="23"/>
        <v>21.242773</v>
      </c>
      <c r="G25" s="80">
        <f t="shared" si="1"/>
        <v>20.028940200000001</v>
      </c>
      <c r="H25" s="81">
        <f t="shared" si="2"/>
        <v>975.34809918298799</v>
      </c>
      <c r="I25" s="79">
        <f t="shared" si="3"/>
        <v>5.4237639389496009E-2</v>
      </c>
      <c r="J25" s="79">
        <f t="shared" si="4"/>
        <v>0.156</v>
      </c>
      <c r="K25" s="79">
        <f t="shared" si="5"/>
        <v>0.12592034200591407</v>
      </c>
      <c r="L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2">
        <f t="shared" si="7"/>
        <v>16.38063</v>
      </c>
      <c r="C26" s="42">
        <f t="shared" si="7"/>
        <v>18.082664000000001</v>
      </c>
      <c r="D26" s="42">
        <f t="shared" ref="D26:F26" si="24">D70</f>
        <v>17.495714</v>
      </c>
      <c r="E26" s="42">
        <f t="shared" si="24"/>
        <v>19.208393000000001</v>
      </c>
      <c r="F26" s="42">
        <f t="shared" si="24"/>
        <v>18.600131999999999</v>
      </c>
      <c r="G26" s="80">
        <f t="shared" si="1"/>
        <v>17.953506600000004</v>
      </c>
      <c r="H26" s="81">
        <f t="shared" si="2"/>
        <v>874.28083368980413</v>
      </c>
      <c r="I26" s="79">
        <f t="shared" si="3"/>
        <v>5.3962716199754124E-2</v>
      </c>
      <c r="J26" s="79">
        <f t="shared" si="4"/>
        <v>0.156</v>
      </c>
      <c r="K26" s="79">
        <f t="shared" si="5"/>
        <v>0.15750477402559343</v>
      </c>
      <c r="L26">
        <f t="shared" si="6"/>
        <v>5</v>
      </c>
      <c r="P26" s="42"/>
    </row>
    <row r="27" spans="1:49" ht="13.15" x14ac:dyDescent="0.4">
      <c r="A27" s="68" t="s">
        <v>158</v>
      </c>
      <c r="B27" s="42">
        <f t="shared" si="7"/>
        <v>13.615069999999999</v>
      </c>
      <c r="C27" s="42">
        <f t="shared" si="7"/>
        <v>15.339788</v>
      </c>
      <c r="D27" s="42">
        <f t="shared" ref="D27:F27" si="25">D71</f>
        <v>15.551746</v>
      </c>
      <c r="E27" s="42">
        <f t="shared" si="25"/>
        <v>16.565968000000002</v>
      </c>
      <c r="F27" s="42">
        <f t="shared" si="25"/>
        <v>16.364049999999999</v>
      </c>
      <c r="G27" s="80">
        <f t="shared" si="1"/>
        <v>15.4873244</v>
      </c>
      <c r="H27" s="81">
        <f t="shared" si="2"/>
        <v>754.185307067336</v>
      </c>
      <c r="I27" s="79">
        <f t="shared" si="3"/>
        <v>6.7494602976683388E-2</v>
      </c>
      <c r="J27" s="79">
        <f t="shared" si="4"/>
        <v>0.156</v>
      </c>
      <c r="K27" s="79">
        <f t="shared" si="5"/>
        <v>0.19053633305440429</v>
      </c>
      <c r="L27">
        <f t="shared" si="6"/>
        <v>5</v>
      </c>
      <c r="P27" s="42"/>
    </row>
    <row r="28" spans="1:49" ht="13.15" x14ac:dyDescent="0.4">
      <c r="A28" s="68" t="s">
        <v>159</v>
      </c>
      <c r="B28" s="42">
        <f t="shared" si="7"/>
        <v>11.381347999999999</v>
      </c>
      <c r="C28" s="42">
        <f t="shared" si="7"/>
        <v>11.885795999999999</v>
      </c>
      <c r="D28" s="42">
        <f t="shared" ref="D28:F28" si="26">D72</f>
        <v>13.096208000000001</v>
      </c>
      <c r="E28" s="42">
        <f t="shared" si="26"/>
        <v>12.907227000000001</v>
      </c>
      <c r="F28" s="42">
        <f t="shared" si="26"/>
        <v>13.721408</v>
      </c>
      <c r="G28" s="80">
        <f t="shared" si="1"/>
        <v>12.5983974</v>
      </c>
      <c r="H28" s="81">
        <f t="shared" si="2"/>
        <v>613.50340228395601</v>
      </c>
      <c r="I28" s="79">
        <f t="shared" si="3"/>
        <v>6.7289870344604999E-2</v>
      </c>
      <c r="J28" s="79">
        <f t="shared" si="4"/>
        <v>0.156</v>
      </c>
      <c r="K28" s="79">
        <f t="shared" si="5"/>
        <v>0.18574267231798874</v>
      </c>
      <c r="L28">
        <f t="shared" si="6"/>
        <v>5</v>
      </c>
      <c r="P28" s="42"/>
    </row>
    <row r="29" spans="1:49" ht="13.15" x14ac:dyDescent="0.4">
      <c r="A29" s="68" t="s">
        <v>160</v>
      </c>
      <c r="B29" s="42">
        <f t="shared" si="7"/>
        <v>9.5730959999999996</v>
      </c>
      <c r="C29" s="42">
        <f t="shared" si="7"/>
        <v>9.9556240000000003</v>
      </c>
      <c r="D29" s="42">
        <f t="shared" ref="D29:F29" si="27">D73</f>
        <v>10.742983000000001</v>
      </c>
      <c r="E29" s="42">
        <f t="shared" si="27"/>
        <v>11.281119</v>
      </c>
      <c r="F29" s="42">
        <f t="shared" si="27"/>
        <v>11.790247000000001</v>
      </c>
      <c r="G29" s="80">
        <f t="shared" si="1"/>
        <v>10.668613800000001</v>
      </c>
      <c r="H29" s="81">
        <f t="shared" si="2"/>
        <v>519.52884610177205</v>
      </c>
      <c r="I29" s="79">
        <f t="shared" si="3"/>
        <v>7.6692387073912446E-2</v>
      </c>
      <c r="J29" s="79">
        <f t="shared" si="4"/>
        <v>0.156</v>
      </c>
      <c r="K29" s="79">
        <f t="shared" si="5"/>
        <v>0.20781997001334898</v>
      </c>
      <c r="L29">
        <f t="shared" si="6"/>
        <v>5</v>
      </c>
      <c r="P29" s="42"/>
    </row>
    <row r="30" spans="1:49" ht="13.15" x14ac:dyDescent="0.4">
      <c r="A30" s="68" t="s">
        <v>161</v>
      </c>
      <c r="B30" s="42">
        <f t="shared" si="7"/>
        <v>7.9775799999999997</v>
      </c>
      <c r="C30" s="42">
        <f t="shared" si="7"/>
        <v>8.8381559999999997</v>
      </c>
      <c r="D30" s="42">
        <f t="shared" ref="D30:F30" si="28">D74</f>
        <v>8.9013290000000005</v>
      </c>
      <c r="E30" s="42">
        <f t="shared" si="28"/>
        <v>9.5533809999999999</v>
      </c>
      <c r="F30" s="42">
        <f t="shared" si="28"/>
        <v>10.062366000000001</v>
      </c>
      <c r="G30" s="80">
        <f t="shared" si="1"/>
        <v>9.0665624000000005</v>
      </c>
      <c r="H30" s="81">
        <f t="shared" si="2"/>
        <v>441.51384519905599</v>
      </c>
      <c r="I30" s="79">
        <f t="shared" si="3"/>
        <v>7.7896523593317279E-2</v>
      </c>
      <c r="J30" s="79">
        <f t="shared" si="4"/>
        <v>0.193</v>
      </c>
      <c r="K30" s="79">
        <f t="shared" si="5"/>
        <v>0.2299422766891232</v>
      </c>
      <c r="L30">
        <f t="shared" si="6"/>
        <v>5</v>
      </c>
      <c r="P30" s="42"/>
    </row>
    <row r="31" spans="1:49" ht="13.15" x14ac:dyDescent="0.4">
      <c r="A31" s="68" t="s">
        <v>162</v>
      </c>
      <c r="B31" s="42">
        <f t="shared" si="7"/>
        <v>6.9139030000000004</v>
      </c>
      <c r="C31" s="42">
        <f t="shared" si="7"/>
        <v>7.923864</v>
      </c>
      <c r="D31" s="42">
        <f t="shared" ref="D31:F31" si="29">D75</f>
        <v>7.7758729999999998</v>
      </c>
      <c r="E31" s="42">
        <f t="shared" si="29"/>
        <v>8.5370640000000009</v>
      </c>
      <c r="F31" s="42">
        <f t="shared" si="29"/>
        <v>8.5377659999999995</v>
      </c>
      <c r="G31" s="80">
        <f t="shared" si="1"/>
        <v>7.9376940000000005</v>
      </c>
      <c r="H31" s="81">
        <f t="shared" si="2"/>
        <v>386.54140845635999</v>
      </c>
      <c r="I31" s="79">
        <f t="shared" si="3"/>
        <v>7.5459591225153611E-2</v>
      </c>
      <c r="J31" s="79">
        <f t="shared" si="4"/>
        <v>0.193</v>
      </c>
      <c r="K31" s="79">
        <f t="shared" si="5"/>
        <v>0.20457616531954986</v>
      </c>
      <c r="L31">
        <f t="shared" si="6"/>
        <v>5</v>
      </c>
      <c r="P31" s="42"/>
    </row>
    <row r="32" spans="1:49" ht="13.15" x14ac:dyDescent="0.4">
      <c r="A32" s="68" t="s">
        <v>163</v>
      </c>
      <c r="B32" s="42">
        <f t="shared" si="7"/>
        <v>5.9565929999999998</v>
      </c>
      <c r="C32" s="42">
        <f t="shared" si="7"/>
        <v>6.6032200000000003</v>
      </c>
      <c r="D32" s="42">
        <f t="shared" ref="D32:F32" si="30">D76</f>
        <v>6.8550459999999998</v>
      </c>
      <c r="E32" s="42">
        <f t="shared" si="30"/>
        <v>7.3174830000000002</v>
      </c>
      <c r="F32" s="42">
        <f t="shared" si="30"/>
        <v>7.3180839999999998</v>
      </c>
      <c r="G32" s="80">
        <f t="shared" si="1"/>
        <v>6.8100852000000005</v>
      </c>
      <c r="H32" s="81">
        <f t="shared" si="2"/>
        <v>331.63031037928801</v>
      </c>
      <c r="I32" s="79">
        <f t="shared" si="3"/>
        <v>7.4550689729966896E-2</v>
      </c>
      <c r="J32" s="79">
        <f t="shared" si="4"/>
        <v>0.193</v>
      </c>
      <c r="K32" s="79">
        <f t="shared" si="5"/>
        <v>0.1999227557387975</v>
      </c>
      <c r="L32">
        <f t="shared" si="6"/>
        <v>5</v>
      </c>
      <c r="P32" s="42"/>
    </row>
    <row r="33" spans="1:16" ht="13.15" x14ac:dyDescent="0.4">
      <c r="A33" s="68" t="s">
        <v>164</v>
      </c>
      <c r="B33" s="42">
        <f t="shared" si="7"/>
        <v>5.3183870000000004</v>
      </c>
      <c r="C33" s="42">
        <f t="shared" si="7"/>
        <v>5.6889279999999998</v>
      </c>
      <c r="D33" s="42">
        <f t="shared" ref="D33:F33" si="31">D77</f>
        <v>5.4226479999999997</v>
      </c>
      <c r="E33" s="42">
        <f t="shared" si="31"/>
        <v>6.6060610000000004</v>
      </c>
      <c r="F33" s="42">
        <f t="shared" si="31"/>
        <v>6.0984040000000004</v>
      </c>
      <c r="G33" s="80">
        <f t="shared" si="1"/>
        <v>5.8268855999999998</v>
      </c>
      <c r="H33" s="81">
        <f t="shared" si="2"/>
        <v>283.75149845006399</v>
      </c>
      <c r="I33" s="79">
        <f t="shared" si="3"/>
        <v>8.1291560179438893E-2</v>
      </c>
      <c r="J33" s="79">
        <f t="shared" si="4"/>
        <v>0.193</v>
      </c>
      <c r="K33" s="79">
        <f t="shared" si="5"/>
        <v>0.22098837842294347</v>
      </c>
      <c r="L33">
        <f t="shared" si="6"/>
        <v>5</v>
      </c>
      <c r="P33" s="42"/>
    </row>
    <row r="34" spans="1:16" ht="13.15" x14ac:dyDescent="0.4">
      <c r="A34" s="68" t="s">
        <v>165</v>
      </c>
      <c r="B34" s="42">
        <f t="shared" si="7"/>
        <v>3.9356059999999999</v>
      </c>
      <c r="C34" s="42">
        <f t="shared" si="7"/>
        <v>4.165108</v>
      </c>
      <c r="D34" s="42">
        <f t="shared" ref="D34:F34" si="32">D78</f>
        <v>4.6041359999999996</v>
      </c>
      <c r="E34" s="42">
        <f t="shared" si="32"/>
        <v>5.5897439999999996</v>
      </c>
      <c r="F34" s="42">
        <f t="shared" si="32"/>
        <v>5.2852829999999997</v>
      </c>
      <c r="G34" s="80">
        <f t="shared" si="1"/>
        <v>4.7159753999999996</v>
      </c>
      <c r="H34" s="81">
        <f t="shared" si="2"/>
        <v>229.65357109527596</v>
      </c>
      <c r="I34" s="79">
        <f t="shared" si="3"/>
        <v>0.13452834236785338</v>
      </c>
      <c r="J34" s="79">
        <f t="shared" si="4"/>
        <v>0.193</v>
      </c>
      <c r="K34" s="79">
        <f t="shared" si="5"/>
        <v>0.35075204166671431</v>
      </c>
      <c r="L34">
        <f t="shared" si="6"/>
        <v>5</v>
      </c>
      <c r="P34" s="42"/>
    </row>
    <row r="35" spans="1:16" ht="13.15" x14ac:dyDescent="0.4">
      <c r="A35" s="68" t="s">
        <v>166</v>
      </c>
      <c r="B35" s="42">
        <f t="shared" si="7"/>
        <v>2.7655609999999999</v>
      </c>
      <c r="C35" s="42">
        <f t="shared" si="7"/>
        <v>3.758756</v>
      </c>
      <c r="D35" s="42">
        <f t="shared" ref="D35:F35" si="33">D79</f>
        <v>3.580994</v>
      </c>
      <c r="E35" s="42">
        <f t="shared" si="33"/>
        <v>3.9636369999999999</v>
      </c>
      <c r="F35" s="42">
        <f t="shared" si="33"/>
        <v>4.2688829999999998</v>
      </c>
      <c r="G35" s="80">
        <f t="shared" si="1"/>
        <v>3.6675662000000004</v>
      </c>
      <c r="H35" s="81">
        <f t="shared" si="2"/>
        <v>178.59925118742802</v>
      </c>
      <c r="I35" s="79">
        <f t="shared" si="3"/>
        <v>0.13788441265442714</v>
      </c>
      <c r="J35" s="79">
        <f t="shared" si="4"/>
        <v>0.27500000000000002</v>
      </c>
      <c r="K35" s="79">
        <f t="shared" si="5"/>
        <v>0.40989635033717992</v>
      </c>
      <c r="L35">
        <f t="shared" si="6"/>
        <v>5</v>
      </c>
      <c r="P35" s="42"/>
    </row>
    <row r="36" spans="1:16" ht="13.15" x14ac:dyDescent="0.4">
      <c r="A36" s="68" t="s">
        <v>167</v>
      </c>
      <c r="B36" s="42">
        <f t="shared" si="7"/>
        <v>0.42547099999999999</v>
      </c>
      <c r="C36" s="42">
        <f t="shared" si="7"/>
        <v>0.91429199999999999</v>
      </c>
      <c r="D36" s="42">
        <f t="shared" ref="D36:F36" si="34">D80</f>
        <v>0.71619900000000003</v>
      </c>
      <c r="E36" s="42">
        <f t="shared" si="34"/>
        <v>0.81305400000000005</v>
      </c>
      <c r="F36" s="42">
        <f t="shared" si="34"/>
        <v>0.91476100000000005</v>
      </c>
      <c r="G36" s="80">
        <f t="shared" si="1"/>
        <v>0.75675540000000008</v>
      </c>
      <c r="H36" s="81">
        <f t="shared" si="2"/>
        <v>36.851672308476005</v>
      </c>
      <c r="I36" s="79">
        <f t="shared" si="3"/>
        <v>0.23957456042313463</v>
      </c>
      <c r="J36" s="79">
        <f t="shared" si="4"/>
        <v>0.27500000000000002</v>
      </c>
      <c r="K36" s="79">
        <f t="shared" si="5"/>
        <v>0.64656294490927979</v>
      </c>
      <c r="L36">
        <f t="shared" si="6"/>
        <v>5</v>
      </c>
      <c r="P36" s="42"/>
    </row>
    <row r="37" spans="1:16" ht="13.15" x14ac:dyDescent="0.4">
      <c r="A37" s="68" t="s">
        <v>168</v>
      </c>
      <c r="B37" s="42">
        <f t="shared" si="7"/>
        <v>0</v>
      </c>
      <c r="C37" s="42">
        <f t="shared" si="7"/>
        <v>0.30476399999999998</v>
      </c>
      <c r="D37" s="42">
        <f t="shared" ref="D37:F37" si="35">D81</f>
        <v>0.30694199999999999</v>
      </c>
      <c r="E37" s="42">
        <f t="shared" si="35"/>
        <v>0</v>
      </c>
      <c r="F37" s="42">
        <f t="shared" si="35"/>
        <v>0.50819999999999999</v>
      </c>
      <c r="G37" s="80">
        <f t="shared" si="1"/>
        <v>0.22398119999999996</v>
      </c>
      <c r="H37" s="81">
        <f t="shared" si="2"/>
        <v>10.907199057527997</v>
      </c>
      <c r="I37" s="79">
        <f t="shared" si="3"/>
        <v>0.88062263640917371</v>
      </c>
      <c r="J37" s="79">
        <f t="shared" si="4"/>
        <v>0.27500000000000002</v>
      </c>
      <c r="K37" s="79">
        <f t="shared" si="5"/>
        <v>2.2689404289288566</v>
      </c>
      <c r="L37">
        <f t="shared" si="6"/>
        <v>5</v>
      </c>
    </row>
    <row r="38" spans="1:16" ht="13.15" x14ac:dyDescent="0.4">
      <c r="A38" s="68" t="s">
        <v>169</v>
      </c>
      <c r="B38" s="42">
        <f t="shared" si="7"/>
        <v>0</v>
      </c>
      <c r="C38" s="42">
        <f t="shared" si="7"/>
        <v>0</v>
      </c>
      <c r="D38" s="42">
        <f t="shared" ref="D38:F38" si="36">D82</f>
        <v>0</v>
      </c>
      <c r="E38" s="42">
        <f t="shared" si="36"/>
        <v>0</v>
      </c>
      <c r="F38" s="42">
        <f t="shared" si="36"/>
        <v>0.30492000000000002</v>
      </c>
      <c r="G38" s="80">
        <f t="shared" si="1"/>
        <v>6.0984000000000003E-2</v>
      </c>
      <c r="H38" s="81">
        <f t="shared" si="2"/>
        <v>2.96973418896</v>
      </c>
      <c r="I38" s="79">
        <f t="shared" si="3"/>
        <v>2</v>
      </c>
      <c r="J38" s="79">
        <f t="shared" si="4"/>
        <v>0.27500000000000002</v>
      </c>
      <c r="K38" s="79">
        <f t="shared" si="5"/>
        <v>5</v>
      </c>
      <c r="L38">
        <f t="shared" si="6"/>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t="s">
        <v>40</v>
      </c>
      <c r="C51" s="65" t="s">
        <v>41</v>
      </c>
      <c r="D51" s="65" t="s">
        <v>43</v>
      </c>
      <c r="E51" s="65" t="s">
        <v>44</v>
      </c>
      <c r="F51" s="65" t="s">
        <v>46</v>
      </c>
      <c r="G51" s="65" t="s">
        <v>40</v>
      </c>
      <c r="H51" s="65" t="s">
        <v>41</v>
      </c>
      <c r="I51" s="65" t="s">
        <v>43</v>
      </c>
      <c r="J51" s="65" t="s">
        <v>44</v>
      </c>
      <c r="K51" s="65" t="s">
        <v>46</v>
      </c>
      <c r="L51" s="65" t="s">
        <v>40</v>
      </c>
      <c r="M51" s="65" t="s">
        <v>41</v>
      </c>
      <c r="N51" s="65" t="s">
        <v>43</v>
      </c>
      <c r="O51" s="65" t="s">
        <v>44</v>
      </c>
      <c r="P51" s="65" t="s">
        <v>46</v>
      </c>
      <c r="Q51" s="65" t="s">
        <v>40</v>
      </c>
      <c r="R51" s="65" t="s">
        <v>41</v>
      </c>
      <c r="S51" s="65" t="s">
        <v>43</v>
      </c>
      <c r="T51" s="65" t="s">
        <v>44</v>
      </c>
      <c r="U51" s="65" t="s">
        <v>46</v>
      </c>
      <c r="V51" s="65" t="s">
        <v>40</v>
      </c>
      <c r="W51" s="65" t="s">
        <v>41</v>
      </c>
      <c r="X51" s="65" t="s">
        <v>43</v>
      </c>
      <c r="Y51" s="65" t="s">
        <v>44</v>
      </c>
      <c r="Z51" s="65" t="s">
        <v>46</v>
      </c>
      <c r="AA51" s="65"/>
      <c r="AB51" s="65"/>
      <c r="AC51" s="65"/>
      <c r="AD51" s="65"/>
      <c r="AE51" s="65"/>
    </row>
    <row r="52" spans="1:31" ht="13.15" x14ac:dyDescent="0.4">
      <c r="A52" s="65" t="s">
        <v>181</v>
      </c>
      <c r="B52" s="186">
        <v>9.4013469999999995</v>
      </c>
      <c r="C52" s="186">
        <v>9.8436819999999994</v>
      </c>
      <c r="D52" s="186">
        <v>9.7738219999999991</v>
      </c>
      <c r="E52" s="186">
        <v>9.8394490000000001</v>
      </c>
      <c r="F52" s="186">
        <v>9.8386399999999998</v>
      </c>
      <c r="G52" s="186">
        <v>9.3964200000000009</v>
      </c>
      <c r="H52" s="186">
        <v>9.8391719999999996</v>
      </c>
      <c r="I52" s="186">
        <v>9.7717980000000004</v>
      </c>
      <c r="J52" s="186">
        <v>9.8409580000000005</v>
      </c>
      <c r="K52" s="186">
        <v>9.8377719999999993</v>
      </c>
      <c r="L52" s="186">
        <v>9.4034879999999994</v>
      </c>
      <c r="M52" s="186">
        <v>9.8474179999999993</v>
      </c>
      <c r="N52" s="186">
        <v>9.7709329999999994</v>
      </c>
      <c r="O52" s="186">
        <v>9.8387840000000004</v>
      </c>
      <c r="P52" s="186">
        <v>9.8422610000000006</v>
      </c>
      <c r="Q52" s="186">
        <v>9.3969489999999993</v>
      </c>
      <c r="R52" s="186">
        <v>9.8371519999999997</v>
      </c>
      <c r="S52" s="186">
        <v>9.7742649999999998</v>
      </c>
      <c r="T52" s="186">
        <v>9.8321760000000005</v>
      </c>
      <c r="U52" s="186">
        <v>9.1000800000000002</v>
      </c>
      <c r="V52" s="186">
        <v>9.3977529999999998</v>
      </c>
      <c r="W52" s="186">
        <v>9.8388399999999994</v>
      </c>
      <c r="X52" s="186">
        <v>9.7722610000000003</v>
      </c>
      <c r="Y52" s="186">
        <v>9.8395860000000006</v>
      </c>
      <c r="Z52" s="186">
        <v>9.8540539999999996</v>
      </c>
      <c r="AA52" s="50"/>
      <c r="AB52" s="50"/>
      <c r="AC52" s="50"/>
      <c r="AD52" s="50"/>
      <c r="AE52" s="50"/>
    </row>
    <row r="53" spans="1:31" ht="13.15" x14ac:dyDescent="0.4">
      <c r="A53" s="8">
        <v>4</v>
      </c>
      <c r="B53" s="186">
        <v>1838.779053</v>
      </c>
      <c r="C53" s="186">
        <v>1741.0151370000001</v>
      </c>
      <c r="D53" s="186">
        <v>1871.9392089999999</v>
      </c>
      <c r="E53" s="186">
        <v>1865.043457</v>
      </c>
      <c r="F53" s="186">
        <v>1799.740601</v>
      </c>
      <c r="G53" s="186">
        <v>1826.3339840000001</v>
      </c>
      <c r="H53" s="186">
        <v>1807.367432</v>
      </c>
      <c r="I53" s="186">
        <v>1885.8350829999999</v>
      </c>
      <c r="J53" s="186">
        <v>1797.4876710000001</v>
      </c>
      <c r="K53" s="186">
        <v>1750.1929929999999</v>
      </c>
      <c r="L53" s="186">
        <v>1868.0302730000001</v>
      </c>
      <c r="M53" s="186">
        <v>1786.965942</v>
      </c>
      <c r="N53" s="186">
        <v>1832.9876710000001</v>
      </c>
      <c r="O53" s="186">
        <v>1774.2030030000001</v>
      </c>
      <c r="P53" s="186">
        <v>1677.1552730000001</v>
      </c>
      <c r="Q53" s="186">
        <v>1752.4837649999999</v>
      </c>
      <c r="R53" s="186">
        <v>1785.7811280000001</v>
      </c>
      <c r="S53" s="186">
        <v>1859.2701420000001</v>
      </c>
      <c r="T53" s="186">
        <v>1825.231689</v>
      </c>
      <c r="U53" s="186">
        <v>1559.5467530000001</v>
      </c>
      <c r="V53" s="186">
        <v>1852.6770019999999</v>
      </c>
      <c r="W53" s="186">
        <v>1816.169312</v>
      </c>
      <c r="X53" s="186">
        <v>1907.951538</v>
      </c>
      <c r="Y53" s="186">
        <v>1826.3979489999999</v>
      </c>
      <c r="Z53" s="186">
        <v>1571.3328859999999</v>
      </c>
      <c r="AA53" s="50"/>
      <c r="AB53" s="50"/>
      <c r="AC53" s="50"/>
      <c r="AD53" s="50"/>
      <c r="AE53" s="50"/>
    </row>
    <row r="54" spans="1:31" ht="13.15" x14ac:dyDescent="0.4">
      <c r="A54" s="8">
        <v>5</v>
      </c>
      <c r="B54" s="186">
        <v>1813.7825929999999</v>
      </c>
      <c r="C54" s="186">
        <v>1715.1102289999999</v>
      </c>
      <c r="D54" s="186">
        <v>1844.825928</v>
      </c>
      <c r="E54" s="186">
        <v>1840.3469239999999</v>
      </c>
      <c r="F54" s="186">
        <v>1776.6683350000001</v>
      </c>
      <c r="G54" s="186">
        <v>1803.772217</v>
      </c>
      <c r="H54" s="186">
        <v>1784.8045649999999</v>
      </c>
      <c r="I54" s="186">
        <v>1861.274658</v>
      </c>
      <c r="J54" s="186">
        <v>1776.6563719999999</v>
      </c>
      <c r="K54" s="186">
        <v>1730.0664059999999</v>
      </c>
      <c r="L54" s="186">
        <v>1845.4853519999999</v>
      </c>
      <c r="M54" s="186">
        <v>1766.757568</v>
      </c>
      <c r="N54" s="186">
        <v>1810.0625</v>
      </c>
      <c r="O54" s="186">
        <v>1753.2653809999999</v>
      </c>
      <c r="P54" s="186">
        <v>1657.3426509999999</v>
      </c>
      <c r="Q54" s="186">
        <v>1731.9451899999999</v>
      </c>
      <c r="R54" s="186">
        <v>1763.7219239999999</v>
      </c>
      <c r="S54" s="186">
        <v>1836.0458980000001</v>
      </c>
      <c r="T54" s="186">
        <v>1801.9407960000001</v>
      </c>
      <c r="U54" s="186">
        <v>1530.645996</v>
      </c>
      <c r="V54" s="186">
        <v>1829.905518</v>
      </c>
      <c r="W54" s="186">
        <v>1793.4023440000001</v>
      </c>
      <c r="X54" s="186">
        <v>1883.1876219999999</v>
      </c>
      <c r="Y54" s="186">
        <v>1804.4458010000001</v>
      </c>
      <c r="Z54" s="186">
        <v>1553.4722899999999</v>
      </c>
      <c r="AA54" s="50"/>
      <c r="AB54" s="50"/>
      <c r="AC54" s="50"/>
      <c r="AD54" s="50"/>
      <c r="AE54" s="50"/>
    </row>
    <row r="55" spans="1:31" ht="13.15" x14ac:dyDescent="0.4">
      <c r="A55" s="8">
        <v>6</v>
      </c>
      <c r="B55" s="186">
        <v>1798.5720209999999</v>
      </c>
      <c r="C55" s="186">
        <v>1700.684692</v>
      </c>
      <c r="D55" s="186">
        <v>1830.501953</v>
      </c>
      <c r="E55" s="186">
        <v>1827.134888</v>
      </c>
      <c r="F55" s="186">
        <v>1764.0649410000001</v>
      </c>
      <c r="G55" s="186">
        <v>1792.278442</v>
      </c>
      <c r="H55" s="186">
        <v>1771.8969729999999</v>
      </c>
      <c r="I55" s="186">
        <v>1847.254639</v>
      </c>
      <c r="J55" s="186">
        <v>1765.783447</v>
      </c>
      <c r="K55" s="186">
        <v>1720.511475</v>
      </c>
      <c r="L55" s="186">
        <v>1834.0002440000001</v>
      </c>
      <c r="M55" s="186">
        <v>1754.0638429999999</v>
      </c>
      <c r="N55" s="186">
        <v>1797.6788329999999</v>
      </c>
      <c r="O55" s="186">
        <v>1740.7639160000001</v>
      </c>
      <c r="P55" s="186">
        <v>1646.2680660000001</v>
      </c>
      <c r="Q55" s="186">
        <v>1722.899658</v>
      </c>
      <c r="R55" s="186">
        <v>1753.14978</v>
      </c>
      <c r="S55" s="186">
        <v>1824.4849850000001</v>
      </c>
      <c r="T55" s="186">
        <v>1790.142822</v>
      </c>
      <c r="U55" s="186">
        <v>1513.8328859999999</v>
      </c>
      <c r="V55" s="186">
        <v>1818.413452</v>
      </c>
      <c r="W55" s="186">
        <v>1782.4255370000001</v>
      </c>
      <c r="X55" s="186">
        <v>1872.1358640000001</v>
      </c>
      <c r="Y55" s="186">
        <v>1792.351807</v>
      </c>
      <c r="Z55" s="186">
        <v>1542.6137699999999</v>
      </c>
      <c r="AA55" s="50"/>
      <c r="AB55" s="50"/>
      <c r="AC55" s="50"/>
      <c r="AD55" s="50"/>
      <c r="AE55" s="50"/>
    </row>
    <row r="56" spans="1:31" ht="13.15" x14ac:dyDescent="0.4">
      <c r="A56" s="8">
        <v>7</v>
      </c>
      <c r="B56" s="186">
        <v>1788.041626</v>
      </c>
      <c r="C56" s="186">
        <v>1691.033813</v>
      </c>
      <c r="D56" s="186">
        <v>1820.5775149999999</v>
      </c>
      <c r="E56" s="186">
        <v>1818.5977780000001</v>
      </c>
      <c r="F56" s="186">
        <v>1754.7139890000001</v>
      </c>
      <c r="G56" s="186">
        <v>1785.8930660000001</v>
      </c>
      <c r="H56" s="186">
        <v>1764.7825929999999</v>
      </c>
      <c r="I56" s="186">
        <v>1840.1936040000001</v>
      </c>
      <c r="J56" s="186">
        <v>1759.4832759999999</v>
      </c>
      <c r="K56" s="186">
        <v>1716.1405030000001</v>
      </c>
      <c r="L56" s="186">
        <v>1827.194336</v>
      </c>
      <c r="M56" s="186">
        <v>1747.0570070000001</v>
      </c>
      <c r="N56" s="186">
        <v>1789.5936280000001</v>
      </c>
      <c r="O56" s="186">
        <v>1733.3442379999999</v>
      </c>
      <c r="P56" s="186">
        <v>1639.5622559999999</v>
      </c>
      <c r="Q56" s="186">
        <v>1716.7274170000001</v>
      </c>
      <c r="R56" s="186">
        <v>1747.4570309999999</v>
      </c>
      <c r="S56" s="186">
        <v>1818.4487300000001</v>
      </c>
      <c r="T56" s="186">
        <v>1784.345581</v>
      </c>
      <c r="U56" s="186">
        <v>1505.9208980000001</v>
      </c>
      <c r="V56" s="186">
        <v>1811.9224850000001</v>
      </c>
      <c r="W56" s="186">
        <v>1773.3797609999999</v>
      </c>
      <c r="X56" s="186">
        <v>1864.8704829999999</v>
      </c>
      <c r="Y56" s="186">
        <v>1784.7294919999999</v>
      </c>
      <c r="Z56" s="186">
        <v>1535.9160159999999</v>
      </c>
      <c r="AA56" s="50"/>
      <c r="AB56" s="50"/>
      <c r="AC56" s="50"/>
      <c r="AD56" s="50"/>
      <c r="AE56" s="50"/>
    </row>
    <row r="57" spans="1:31" ht="13.15" x14ac:dyDescent="0.4">
      <c r="A57" s="8">
        <v>8</v>
      </c>
      <c r="B57" s="186">
        <v>1782.4041749999999</v>
      </c>
      <c r="C57" s="186">
        <v>1685.2432859999999</v>
      </c>
      <c r="D57" s="186">
        <v>1814.3363039999999</v>
      </c>
      <c r="E57" s="186">
        <v>1812.9063719999999</v>
      </c>
      <c r="F57" s="186">
        <v>1749.5303960000001</v>
      </c>
      <c r="G57" s="186">
        <v>1781.3167719999999</v>
      </c>
      <c r="H57" s="186">
        <v>1760.107422</v>
      </c>
      <c r="I57" s="186">
        <v>1837.1235349999999</v>
      </c>
      <c r="J57" s="186">
        <v>1755.1137699999999</v>
      </c>
      <c r="K57" s="186">
        <v>1712.3795170000001</v>
      </c>
      <c r="L57" s="186">
        <v>1822.30249</v>
      </c>
      <c r="M57" s="186">
        <v>1743.299683</v>
      </c>
      <c r="N57" s="186">
        <v>1785.3975829999999</v>
      </c>
      <c r="O57" s="186">
        <v>1728.973755</v>
      </c>
      <c r="P57" s="186">
        <v>1634.58374</v>
      </c>
      <c r="Q57" s="186">
        <v>1712.470703</v>
      </c>
      <c r="R57" s="186">
        <v>1743.594116</v>
      </c>
      <c r="S57" s="186">
        <v>1813.8447269999999</v>
      </c>
      <c r="T57" s="186">
        <v>1779.7687989999999</v>
      </c>
      <c r="U57" s="186">
        <v>1501.7451169999999</v>
      </c>
      <c r="V57" s="186">
        <v>1805.8572999999999</v>
      </c>
      <c r="W57" s="186">
        <v>1771.0419919999999</v>
      </c>
      <c r="X57" s="186">
        <v>1858.6282960000001</v>
      </c>
      <c r="Y57" s="186">
        <v>1780.359375</v>
      </c>
      <c r="Z57" s="186">
        <v>1532.871582</v>
      </c>
      <c r="AA57" s="50"/>
      <c r="AB57" s="50"/>
      <c r="AC57" s="50"/>
      <c r="AD57" s="50"/>
      <c r="AE57" s="50"/>
    </row>
    <row r="58" spans="1:31" ht="13.15" x14ac:dyDescent="0.4">
      <c r="A58" s="8">
        <v>9</v>
      </c>
      <c r="B58" s="186">
        <v>1779.4257809999999</v>
      </c>
      <c r="C58" s="186">
        <v>1679.8591309999999</v>
      </c>
      <c r="D58" s="186">
        <v>1809.322876</v>
      </c>
      <c r="E58" s="186">
        <v>1808.536255</v>
      </c>
      <c r="F58" s="186">
        <v>1745.7696530000001</v>
      </c>
      <c r="G58" s="186">
        <v>1777.6983640000001</v>
      </c>
      <c r="H58" s="186">
        <v>1756.753418</v>
      </c>
      <c r="I58" s="186">
        <v>1833.030029</v>
      </c>
      <c r="J58" s="186">
        <v>1752.674927</v>
      </c>
      <c r="K58" s="186">
        <v>1709.1267089999999</v>
      </c>
      <c r="L58" s="186">
        <v>1817.623413</v>
      </c>
      <c r="M58" s="186">
        <v>1740.2531739999999</v>
      </c>
      <c r="N58" s="186">
        <v>1781.099121</v>
      </c>
      <c r="O58" s="186">
        <v>1725.213135</v>
      </c>
      <c r="P58" s="186">
        <v>1630.7227780000001</v>
      </c>
      <c r="Q58" s="186">
        <v>1709.278198</v>
      </c>
      <c r="R58" s="186">
        <v>1740.2395019999999</v>
      </c>
      <c r="S58" s="186">
        <v>1809.3431399999999</v>
      </c>
      <c r="T58" s="186">
        <v>1776.412476</v>
      </c>
      <c r="U58" s="186">
        <v>1496.8000489999999</v>
      </c>
      <c r="V58" s="186">
        <v>1802.5585940000001</v>
      </c>
      <c r="W58" s="186">
        <v>1767.7895510000001</v>
      </c>
      <c r="X58" s="186">
        <v>1854.944336</v>
      </c>
      <c r="Y58" s="186">
        <v>1776.9039310000001</v>
      </c>
      <c r="Z58" s="186">
        <v>1530.7404790000001</v>
      </c>
      <c r="AA58" s="50"/>
      <c r="AB58" s="50"/>
      <c r="AC58" s="50"/>
      <c r="AD58" s="50"/>
      <c r="AE58" s="50"/>
    </row>
    <row r="59" spans="1:31" ht="13.15" x14ac:dyDescent="0.4">
      <c r="A59" s="8">
        <v>10</v>
      </c>
      <c r="B59" s="186">
        <v>1771.2354740000001</v>
      </c>
      <c r="C59" s="186">
        <v>1670.411499</v>
      </c>
      <c r="D59" s="186">
        <v>1800.5239260000001</v>
      </c>
      <c r="E59" s="186">
        <v>1799.7958980000001</v>
      </c>
      <c r="F59" s="186">
        <v>1738.5532229999999</v>
      </c>
      <c r="G59" s="186">
        <v>1769.929443</v>
      </c>
      <c r="H59" s="186">
        <v>1749.8422849999999</v>
      </c>
      <c r="I59" s="186">
        <v>1823.205933</v>
      </c>
      <c r="J59" s="186">
        <v>1746.273193</v>
      </c>
      <c r="K59" s="186">
        <v>1700.791504</v>
      </c>
      <c r="L59" s="186">
        <v>1809.3286129999999</v>
      </c>
      <c r="M59" s="186">
        <v>1733.246216</v>
      </c>
      <c r="N59" s="186">
        <v>1771.9904790000001</v>
      </c>
      <c r="O59" s="186">
        <v>1718.0985109999999</v>
      </c>
      <c r="P59" s="186">
        <v>1623.3057859999999</v>
      </c>
      <c r="Q59" s="186">
        <v>1701.9354249999999</v>
      </c>
      <c r="R59" s="186">
        <v>1733.6319579999999</v>
      </c>
      <c r="S59" s="186">
        <v>1800.135254</v>
      </c>
      <c r="T59" s="186">
        <v>1759.122314</v>
      </c>
      <c r="U59" s="186">
        <v>1488.009033</v>
      </c>
      <c r="V59" s="186">
        <v>1796.3869629999999</v>
      </c>
      <c r="W59" s="186">
        <v>1760.8781739999999</v>
      </c>
      <c r="X59" s="186">
        <v>1845.7346190000001</v>
      </c>
      <c r="Y59" s="186">
        <v>1771.1110839999999</v>
      </c>
      <c r="Z59" s="186">
        <v>1524.347168</v>
      </c>
      <c r="AA59" s="50"/>
      <c r="AB59" s="50"/>
      <c r="AC59" s="50"/>
      <c r="AD59" s="50"/>
      <c r="AE59" s="50"/>
    </row>
    <row r="60" spans="1:31" ht="13.15" x14ac:dyDescent="0.4">
      <c r="A60" s="8">
        <v>11</v>
      </c>
      <c r="B60" s="186">
        <v>1627.107178</v>
      </c>
      <c r="C60" s="186">
        <v>1540.6835940000001</v>
      </c>
      <c r="D60" s="186">
        <v>1664.2414550000001</v>
      </c>
      <c r="E60" s="186">
        <v>1658.527832</v>
      </c>
      <c r="F60" s="186">
        <v>1624.20813</v>
      </c>
      <c r="G60" s="186">
        <v>1620.5108640000001</v>
      </c>
      <c r="H60" s="186">
        <v>1619.0385739999999</v>
      </c>
      <c r="I60" s="186">
        <v>1655.273682</v>
      </c>
      <c r="J60" s="186">
        <v>1625.2482910000001</v>
      </c>
      <c r="K60" s="186">
        <v>1551.1641850000001</v>
      </c>
      <c r="L60" s="186">
        <v>1661.085693</v>
      </c>
      <c r="M60" s="186">
        <v>1613.2147219999999</v>
      </c>
      <c r="N60" s="186">
        <v>1603.940918</v>
      </c>
      <c r="O60" s="186">
        <v>1591.3551030000001</v>
      </c>
      <c r="P60" s="186">
        <v>1493.6607670000001</v>
      </c>
      <c r="Q60" s="186">
        <v>1554.8664550000001</v>
      </c>
      <c r="R60" s="186">
        <v>1615.9149170000001</v>
      </c>
      <c r="S60" s="186">
        <v>1646.261841</v>
      </c>
      <c r="T60" s="186">
        <v>1572.2867429999999</v>
      </c>
      <c r="U60" s="186">
        <v>1395.8120120000001</v>
      </c>
      <c r="V60" s="186">
        <v>1669.7608640000001</v>
      </c>
      <c r="W60" s="186">
        <v>1644.4011230000001</v>
      </c>
      <c r="X60" s="186">
        <v>1686.099121</v>
      </c>
      <c r="Y60" s="186">
        <v>1650.5775149999999</v>
      </c>
      <c r="Z60" s="186">
        <v>1441.9445800000001</v>
      </c>
      <c r="AA60" s="50"/>
      <c r="AB60" s="50"/>
      <c r="AC60" s="50"/>
      <c r="AD60" s="50"/>
      <c r="AE60" s="50"/>
    </row>
    <row r="61" spans="1:31" ht="13.15" x14ac:dyDescent="0.4">
      <c r="A61" s="8">
        <v>12</v>
      </c>
      <c r="B61" s="186">
        <v>879.66119400000002</v>
      </c>
      <c r="C61" s="186">
        <v>868.88214100000005</v>
      </c>
      <c r="D61" s="186">
        <v>892.79303000000004</v>
      </c>
      <c r="E61" s="186">
        <v>902.99774200000002</v>
      </c>
      <c r="F61" s="186">
        <v>923.80651899999998</v>
      </c>
      <c r="G61" s="186">
        <v>860.540527</v>
      </c>
      <c r="H61" s="186">
        <v>883.509277</v>
      </c>
      <c r="I61" s="186">
        <v>879.77667199999996</v>
      </c>
      <c r="J61" s="186">
        <v>894.72997999999995</v>
      </c>
      <c r="K61" s="186">
        <v>854.563354</v>
      </c>
      <c r="L61" s="186">
        <v>897.64562999999998</v>
      </c>
      <c r="M61" s="186">
        <v>909.98474099999999</v>
      </c>
      <c r="N61" s="186">
        <v>836.97229000000004</v>
      </c>
      <c r="O61" s="186">
        <v>861.28527799999995</v>
      </c>
      <c r="P61" s="186">
        <v>845.84222399999999</v>
      </c>
      <c r="Q61" s="186">
        <v>836.228882</v>
      </c>
      <c r="R61" s="186">
        <v>888.671875</v>
      </c>
      <c r="S61" s="186">
        <v>878.42919900000004</v>
      </c>
      <c r="T61" s="186">
        <v>850.26953100000003</v>
      </c>
      <c r="U61" s="186">
        <v>911.31073000000004</v>
      </c>
      <c r="V61" s="186">
        <v>920.21997099999999</v>
      </c>
      <c r="W61" s="186">
        <v>902.03716999999995</v>
      </c>
      <c r="X61" s="186">
        <v>886.07952899999998</v>
      </c>
      <c r="Y61" s="186">
        <v>918.02642800000001</v>
      </c>
      <c r="Z61" s="186">
        <v>872.73718299999996</v>
      </c>
      <c r="AA61" s="50"/>
      <c r="AB61" s="50"/>
      <c r="AC61" s="50"/>
      <c r="AD61" s="50"/>
      <c r="AE61" s="50"/>
    </row>
    <row r="62" spans="1:31" ht="13.15" x14ac:dyDescent="0.4">
      <c r="A62" s="8">
        <v>13</v>
      </c>
      <c r="B62" s="186">
        <v>199.22676100000001</v>
      </c>
      <c r="C62" s="186">
        <v>212.217331</v>
      </c>
      <c r="D62" s="186">
        <v>212.81336999999999</v>
      </c>
      <c r="E62" s="186">
        <v>217.08532700000001</v>
      </c>
      <c r="F62" s="186">
        <v>215.37529000000001</v>
      </c>
      <c r="G62" s="186">
        <v>204.86526499999999</v>
      </c>
      <c r="H62" s="186">
        <v>205.403458</v>
      </c>
      <c r="I62" s="186">
        <v>205.79631000000001</v>
      </c>
      <c r="J62" s="186">
        <v>207.09367399999999</v>
      </c>
      <c r="K62" s="186">
        <v>193.641403</v>
      </c>
      <c r="L62" s="186">
        <v>213.32508899999999</v>
      </c>
      <c r="M62" s="186">
        <v>210.71513400000001</v>
      </c>
      <c r="N62" s="186">
        <v>201.51606799999999</v>
      </c>
      <c r="O62" s="186">
        <v>206.12303199999999</v>
      </c>
      <c r="P62" s="186">
        <v>193.34986900000001</v>
      </c>
      <c r="Q62" s="186">
        <v>185.16648900000001</v>
      </c>
      <c r="R62" s="186">
        <v>195.58506800000001</v>
      </c>
      <c r="S62" s="186">
        <v>204.312027</v>
      </c>
      <c r="T62" s="186">
        <v>207.27862500000001</v>
      </c>
      <c r="U62" s="186">
        <v>279.22833300000002</v>
      </c>
      <c r="V62" s="186">
        <v>213.24246199999999</v>
      </c>
      <c r="W62" s="186">
        <v>203.98745700000001</v>
      </c>
      <c r="X62" s="186">
        <v>202.30732699999999</v>
      </c>
      <c r="Y62" s="186">
        <v>211.18774400000001</v>
      </c>
      <c r="Z62" s="186">
        <v>199.61326600000001</v>
      </c>
      <c r="AA62" s="50"/>
      <c r="AB62" s="50"/>
      <c r="AC62" s="50"/>
      <c r="AD62" s="50"/>
      <c r="AE62" s="50"/>
    </row>
    <row r="63" spans="1:31" ht="13.15" x14ac:dyDescent="0.4">
      <c r="A63" s="8">
        <v>14</v>
      </c>
      <c r="B63" s="186">
        <v>79.456695999999994</v>
      </c>
      <c r="C63" s="186">
        <v>76.597351000000003</v>
      </c>
      <c r="D63" s="186">
        <v>78.167991999999998</v>
      </c>
      <c r="E63" s="186">
        <v>79.374367000000007</v>
      </c>
      <c r="F63" s="186">
        <v>80.702208999999996</v>
      </c>
      <c r="G63" s="186">
        <v>73.964340000000007</v>
      </c>
      <c r="H63" s="186">
        <v>69.416404999999997</v>
      </c>
      <c r="I63" s="186">
        <v>76.342140000000001</v>
      </c>
      <c r="J63" s="186">
        <v>70.724823000000001</v>
      </c>
      <c r="K63" s="186">
        <v>66.580116000000004</v>
      </c>
      <c r="L63" s="186">
        <v>82.522568000000007</v>
      </c>
      <c r="M63" s="186">
        <v>75.552802999999997</v>
      </c>
      <c r="N63" s="186">
        <v>76.962967000000006</v>
      </c>
      <c r="O63" s="186">
        <v>79.379729999999995</v>
      </c>
      <c r="P63" s="186">
        <v>61.977626999999998</v>
      </c>
      <c r="Q63" s="186">
        <v>63.105590999999997</v>
      </c>
      <c r="R63" s="186">
        <v>64.144585000000006</v>
      </c>
      <c r="S63" s="186">
        <v>73.560516000000007</v>
      </c>
      <c r="T63" s="186">
        <v>74.144317999999998</v>
      </c>
      <c r="U63" s="186">
        <v>136.04276999999999</v>
      </c>
      <c r="V63" s="186">
        <v>66.611671000000001</v>
      </c>
      <c r="W63" s="186">
        <v>70.638405000000006</v>
      </c>
      <c r="X63" s="186">
        <v>69.584716999999998</v>
      </c>
      <c r="Y63" s="186">
        <v>68.600448999999998</v>
      </c>
      <c r="Z63" s="186">
        <v>62.207897000000003</v>
      </c>
      <c r="AA63" s="50"/>
      <c r="AB63" s="50"/>
      <c r="AC63" s="50"/>
      <c r="AD63" s="50"/>
      <c r="AE63" s="50"/>
    </row>
    <row r="64" spans="1:31" ht="13.15" x14ac:dyDescent="0.4">
      <c r="A64" s="8">
        <v>15</v>
      </c>
      <c r="B64" s="186">
        <v>68.288086000000007</v>
      </c>
      <c r="C64" s="186">
        <v>64.508376999999996</v>
      </c>
      <c r="D64" s="186">
        <v>67.220375000000004</v>
      </c>
      <c r="E64" s="186">
        <v>66.873665000000003</v>
      </c>
      <c r="F64" s="186">
        <v>69.216881000000001</v>
      </c>
      <c r="G64" s="186">
        <v>61.299945999999998</v>
      </c>
      <c r="H64" s="186">
        <v>58.643143000000002</v>
      </c>
      <c r="I64" s="186">
        <v>64.471244999999996</v>
      </c>
      <c r="J64" s="186">
        <v>60.156745999999998</v>
      </c>
      <c r="K64" s="186">
        <v>55.093772999999999</v>
      </c>
      <c r="L64" s="186">
        <v>71.569182999999995</v>
      </c>
      <c r="M64" s="186">
        <v>63.366866999999999</v>
      </c>
      <c r="N64" s="186">
        <v>64.067573999999993</v>
      </c>
      <c r="O64" s="186">
        <v>65.963431999999997</v>
      </c>
      <c r="P64" s="186">
        <v>51.715758999999998</v>
      </c>
      <c r="Q64" s="186">
        <v>53.102345</v>
      </c>
      <c r="R64" s="186">
        <v>53.267451999999999</v>
      </c>
      <c r="S64" s="186">
        <v>62.511093000000002</v>
      </c>
      <c r="T64" s="186">
        <v>63.159973000000001</v>
      </c>
      <c r="U64" s="186">
        <v>121.97695899999999</v>
      </c>
      <c r="V64" s="186">
        <v>56.290053999999998</v>
      </c>
      <c r="W64" s="186">
        <v>58.645122999999998</v>
      </c>
      <c r="X64" s="186">
        <v>59.249339999999997</v>
      </c>
      <c r="Y64" s="186">
        <v>57.827632999999999</v>
      </c>
      <c r="Z64" s="186">
        <v>51.653866000000001</v>
      </c>
      <c r="AA64" s="50"/>
      <c r="AB64" s="50"/>
      <c r="AC64" s="50"/>
      <c r="AD64" s="50"/>
      <c r="AE64" s="50"/>
    </row>
    <row r="65" spans="1:31" ht="13.15" x14ac:dyDescent="0.4">
      <c r="A65" s="8">
        <v>16</v>
      </c>
      <c r="B65" s="186">
        <v>57.864047999999997</v>
      </c>
      <c r="C65" s="186">
        <v>54.654342999999997</v>
      </c>
      <c r="D65" s="186">
        <v>55.863509999999998</v>
      </c>
      <c r="E65" s="186">
        <v>57.421913000000004</v>
      </c>
      <c r="F65" s="186">
        <v>61.797156999999999</v>
      </c>
      <c r="G65" s="186">
        <v>51.402557000000002</v>
      </c>
      <c r="H65" s="186">
        <v>48.784592000000004</v>
      </c>
      <c r="I65" s="186">
        <v>54.135379999999998</v>
      </c>
      <c r="J65" s="186">
        <v>50.198368000000002</v>
      </c>
      <c r="K65" s="186">
        <v>46.453606000000001</v>
      </c>
      <c r="L65" s="186">
        <v>61.785583000000003</v>
      </c>
      <c r="M65" s="186">
        <v>52.704169999999998</v>
      </c>
      <c r="N65" s="186">
        <v>54.856583000000001</v>
      </c>
      <c r="O65" s="186">
        <v>54.986469</v>
      </c>
      <c r="P65" s="186">
        <v>43.689148000000003</v>
      </c>
      <c r="Q65" s="186">
        <v>44.588940000000001</v>
      </c>
      <c r="R65" s="186">
        <v>45.338329000000002</v>
      </c>
      <c r="S65" s="186">
        <v>51.666285999999999</v>
      </c>
      <c r="T65" s="186">
        <v>54.006354999999999</v>
      </c>
      <c r="U65" s="186">
        <v>112.41660299999999</v>
      </c>
      <c r="V65" s="186">
        <v>48.415829000000002</v>
      </c>
      <c r="W65" s="186">
        <v>49.904254999999999</v>
      </c>
      <c r="X65" s="186">
        <v>50.960571000000002</v>
      </c>
      <c r="Y65" s="186">
        <v>48.579276999999998</v>
      </c>
      <c r="Z65" s="186">
        <v>43.230938000000002</v>
      </c>
      <c r="AA65" s="50"/>
      <c r="AB65" s="50"/>
      <c r="AC65" s="50"/>
      <c r="AD65" s="50"/>
      <c r="AE65" s="50"/>
    </row>
    <row r="66" spans="1:31" ht="13.15" x14ac:dyDescent="0.4">
      <c r="A66" s="8">
        <v>17</v>
      </c>
      <c r="B66" s="186">
        <v>42.866196000000002</v>
      </c>
      <c r="C66" s="186">
        <v>42.971724999999999</v>
      </c>
      <c r="D66" s="186">
        <v>41.027962000000002</v>
      </c>
      <c r="E66" s="186">
        <v>44.514687000000002</v>
      </c>
      <c r="F66" s="186">
        <v>48.990509000000003</v>
      </c>
      <c r="G66" s="186">
        <v>40.653782</v>
      </c>
      <c r="H66" s="186">
        <v>38.011325999999997</v>
      </c>
      <c r="I66" s="186">
        <v>40.831791000000003</v>
      </c>
      <c r="J66" s="186">
        <v>38.410896000000001</v>
      </c>
      <c r="K66" s="186">
        <v>36.288704000000003</v>
      </c>
      <c r="L66" s="186">
        <v>47.854584000000003</v>
      </c>
      <c r="M66" s="186">
        <v>40.822884000000002</v>
      </c>
      <c r="N66" s="186">
        <v>40.630713999999998</v>
      </c>
      <c r="O66" s="186">
        <v>41.773453000000003</v>
      </c>
      <c r="P66" s="186">
        <v>33.732086000000002</v>
      </c>
      <c r="Q66" s="186">
        <v>33.840770999999997</v>
      </c>
      <c r="R66" s="186">
        <v>33.038017000000004</v>
      </c>
      <c r="S66" s="186">
        <v>38.979911999999999</v>
      </c>
      <c r="T66" s="186">
        <v>39.970806000000003</v>
      </c>
      <c r="U66" s="186">
        <v>102.08702099999999</v>
      </c>
      <c r="V66" s="186">
        <v>37.349353999999998</v>
      </c>
      <c r="W66" s="186">
        <v>39.333903999999997</v>
      </c>
      <c r="X66" s="186">
        <v>38.169266</v>
      </c>
      <c r="Y66" s="186">
        <v>37.501575000000003</v>
      </c>
      <c r="Z66" s="186">
        <v>33.184311000000001</v>
      </c>
      <c r="AA66" s="50"/>
      <c r="AB66" s="50"/>
      <c r="AC66" s="50"/>
      <c r="AD66" s="50"/>
      <c r="AE66" s="50"/>
    </row>
    <row r="67" spans="1:31" ht="13.15" x14ac:dyDescent="0.4">
      <c r="A67" s="8">
        <v>18</v>
      </c>
      <c r="B67" s="186">
        <v>30.633907000000001</v>
      </c>
      <c r="C67" s="186">
        <v>32.914512999999999</v>
      </c>
      <c r="D67" s="186">
        <v>30.387295000000002</v>
      </c>
      <c r="E67" s="186">
        <v>32.11562</v>
      </c>
      <c r="F67" s="186">
        <v>35.065823000000002</v>
      </c>
      <c r="G67" s="186">
        <v>28.734348000000001</v>
      </c>
      <c r="H67" s="186">
        <v>27.542967000000001</v>
      </c>
      <c r="I67" s="186">
        <v>26.914186000000001</v>
      </c>
      <c r="J67" s="186">
        <v>28.046050999999999</v>
      </c>
      <c r="K67" s="186">
        <v>25.107309000000001</v>
      </c>
      <c r="L67" s="186">
        <v>33.817238000000003</v>
      </c>
      <c r="M67" s="186">
        <v>29.449345000000001</v>
      </c>
      <c r="N67" s="186">
        <v>28.963456999999998</v>
      </c>
      <c r="O67" s="186">
        <v>30.389935000000001</v>
      </c>
      <c r="P67" s="186">
        <v>23.673421999999999</v>
      </c>
      <c r="Q67" s="186">
        <v>23.943943000000001</v>
      </c>
      <c r="R67" s="186">
        <v>23.177441000000002</v>
      </c>
      <c r="S67" s="186">
        <v>25.577369999999998</v>
      </c>
      <c r="T67" s="186">
        <v>28.477927999999999</v>
      </c>
      <c r="U67" s="186">
        <v>91.647552000000005</v>
      </c>
      <c r="V67" s="186">
        <v>25.644428000000001</v>
      </c>
      <c r="W67" s="186">
        <v>28.865190999999999</v>
      </c>
      <c r="X67" s="186">
        <v>26.503592000000001</v>
      </c>
      <c r="Y67" s="186">
        <v>24.899422000000001</v>
      </c>
      <c r="Z67" s="186">
        <v>23.137684</v>
      </c>
      <c r="AA67" s="50"/>
      <c r="AB67" s="50"/>
      <c r="AC67" s="50"/>
      <c r="AD67" s="50"/>
      <c r="AE67" s="50"/>
    </row>
    <row r="68" spans="1:31" ht="13.15" x14ac:dyDescent="0.4">
      <c r="A68" s="8">
        <v>19</v>
      </c>
      <c r="B68" s="186">
        <v>21.486281999999999</v>
      </c>
      <c r="C68" s="186">
        <v>23.670003999999999</v>
      </c>
      <c r="D68" s="186">
        <v>22.09985</v>
      </c>
      <c r="E68" s="186">
        <v>24.696504999999998</v>
      </c>
      <c r="F68" s="186">
        <v>25.308375999999999</v>
      </c>
      <c r="G68" s="186">
        <v>20.859009</v>
      </c>
      <c r="H68" s="186">
        <v>19.310568</v>
      </c>
      <c r="I68" s="186">
        <v>19.239038000000001</v>
      </c>
      <c r="J68" s="186">
        <v>20.526457000000001</v>
      </c>
      <c r="K68" s="186">
        <v>16.772089000000001</v>
      </c>
      <c r="L68" s="186">
        <v>24.565351</v>
      </c>
      <c r="M68" s="186">
        <v>20.919188999999999</v>
      </c>
      <c r="N68" s="186">
        <v>20.366529</v>
      </c>
      <c r="O68" s="186">
        <v>22.258848</v>
      </c>
      <c r="P68" s="186">
        <v>17.069248000000002</v>
      </c>
      <c r="Q68" s="186">
        <v>17.346056000000001</v>
      </c>
      <c r="R68" s="186">
        <v>14.943350000000001</v>
      </c>
      <c r="S68" s="186">
        <v>17.597231000000001</v>
      </c>
      <c r="T68" s="186">
        <v>19.934549000000001</v>
      </c>
      <c r="U68" s="186">
        <v>82.306976000000006</v>
      </c>
      <c r="V68" s="186">
        <v>17.450980999999999</v>
      </c>
      <c r="W68" s="186">
        <v>20.022684000000002</v>
      </c>
      <c r="X68" s="186">
        <v>18.624146</v>
      </c>
      <c r="Y68" s="186">
        <v>16.667368</v>
      </c>
      <c r="Z68" s="186">
        <v>15.729566</v>
      </c>
      <c r="AA68" s="50"/>
      <c r="AB68" s="50"/>
      <c r="AC68" s="50"/>
      <c r="AD68" s="50"/>
      <c r="AE68" s="50"/>
    </row>
    <row r="69" spans="1:31" ht="13.15" x14ac:dyDescent="0.4">
      <c r="A69" s="8">
        <v>20</v>
      </c>
      <c r="B69" s="186">
        <v>18.720721999999999</v>
      </c>
      <c r="C69" s="186">
        <v>20.216013</v>
      </c>
      <c r="D69" s="186">
        <v>18.825797999999999</v>
      </c>
      <c r="E69" s="186">
        <v>21.139395</v>
      </c>
      <c r="F69" s="186">
        <v>21.242773</v>
      </c>
      <c r="G69" s="186">
        <v>18.091996999999999</v>
      </c>
      <c r="H69" s="186">
        <v>16.159894999999999</v>
      </c>
      <c r="I69" s="186">
        <v>15.554967</v>
      </c>
      <c r="J69" s="186">
        <v>16.156963000000001</v>
      </c>
      <c r="K69" s="186">
        <v>13.62097</v>
      </c>
      <c r="L69" s="186">
        <v>19.673549999999999</v>
      </c>
      <c r="M69" s="186">
        <v>18.482002000000001</v>
      </c>
      <c r="N69" s="186">
        <v>17.705576000000001</v>
      </c>
      <c r="O69" s="186">
        <v>17.888390000000001</v>
      </c>
      <c r="P69" s="186">
        <v>14.833989000000001</v>
      </c>
      <c r="Q69" s="186">
        <v>14.047112</v>
      </c>
      <c r="R69" s="186">
        <v>11.080443000000001</v>
      </c>
      <c r="S69" s="186">
        <v>13.811780000000001</v>
      </c>
      <c r="T69" s="186">
        <v>15.967980000000001</v>
      </c>
      <c r="U69" s="186">
        <v>76.592735000000005</v>
      </c>
      <c r="V69" s="186">
        <v>15.003587</v>
      </c>
      <c r="W69" s="186">
        <v>16.871905999999999</v>
      </c>
      <c r="X69" s="186">
        <v>15.656561999999999</v>
      </c>
      <c r="Y69" s="186">
        <v>12.602156000000001</v>
      </c>
      <c r="Z69" s="186">
        <v>13.192539</v>
      </c>
      <c r="AA69" s="50"/>
      <c r="AB69" s="50"/>
      <c r="AC69" s="50"/>
      <c r="AD69" s="50"/>
      <c r="AE69" s="50"/>
    </row>
    <row r="70" spans="1:31" ht="13.15" x14ac:dyDescent="0.4">
      <c r="A70" s="8">
        <v>21</v>
      </c>
      <c r="B70" s="186">
        <v>16.38063</v>
      </c>
      <c r="C70" s="186">
        <v>18.082664000000001</v>
      </c>
      <c r="D70" s="186">
        <v>17.495714</v>
      </c>
      <c r="E70" s="186">
        <v>19.208393000000001</v>
      </c>
      <c r="F70" s="186">
        <v>18.600131999999999</v>
      </c>
      <c r="G70" s="186">
        <v>15.537832999999999</v>
      </c>
      <c r="H70" s="186">
        <v>13.822301</v>
      </c>
      <c r="I70" s="186">
        <v>14.019938</v>
      </c>
      <c r="J70" s="186">
        <v>14.937571</v>
      </c>
      <c r="K70" s="186">
        <v>12.197884</v>
      </c>
      <c r="L70" s="186">
        <v>17.227650000000001</v>
      </c>
      <c r="M70" s="186">
        <v>17.060310000000001</v>
      </c>
      <c r="N70" s="186">
        <v>15.965722</v>
      </c>
      <c r="O70" s="186">
        <v>15.245786000000001</v>
      </c>
      <c r="P70" s="186">
        <v>13.513154999999999</v>
      </c>
      <c r="Q70" s="186">
        <v>12.876519999999999</v>
      </c>
      <c r="R70" s="186">
        <v>9.6572680000000002</v>
      </c>
      <c r="S70" s="186">
        <v>12.686375999999999</v>
      </c>
      <c r="T70" s="186">
        <v>14.645790999999999</v>
      </c>
      <c r="U70" s="186">
        <v>74.394951000000006</v>
      </c>
      <c r="V70" s="186">
        <v>12.875419000000001</v>
      </c>
      <c r="W70" s="186">
        <v>14.839147000000001</v>
      </c>
      <c r="X70" s="186">
        <v>14.121605000000001</v>
      </c>
      <c r="Y70" s="186">
        <v>10.976070999999999</v>
      </c>
      <c r="Z70" s="186">
        <v>11.873284999999999</v>
      </c>
      <c r="AA70" s="50"/>
      <c r="AB70" s="50"/>
      <c r="AC70" s="50"/>
      <c r="AD70" s="50"/>
      <c r="AE70" s="50"/>
    </row>
    <row r="71" spans="1:31" ht="13.15" x14ac:dyDescent="0.4">
      <c r="A71" s="8">
        <v>22</v>
      </c>
      <c r="B71" s="186">
        <v>13.615069999999999</v>
      </c>
      <c r="C71" s="186">
        <v>15.339788</v>
      </c>
      <c r="D71" s="186">
        <v>15.551746</v>
      </c>
      <c r="E71" s="186">
        <v>16.565968000000002</v>
      </c>
      <c r="F71" s="186">
        <v>16.364049999999999</v>
      </c>
      <c r="G71" s="186">
        <v>13.090093</v>
      </c>
      <c r="H71" s="186">
        <v>11.687975</v>
      </c>
      <c r="I71" s="186">
        <v>11.768560000000001</v>
      </c>
      <c r="J71" s="186">
        <v>12.498784000000001</v>
      </c>
      <c r="K71" s="186">
        <v>10.368200999999999</v>
      </c>
      <c r="L71" s="186">
        <v>14.781749</v>
      </c>
      <c r="M71" s="186">
        <v>15.029320999999999</v>
      </c>
      <c r="N71" s="186">
        <v>13.611801</v>
      </c>
      <c r="O71" s="186">
        <v>14.026123</v>
      </c>
      <c r="P71" s="186">
        <v>11.481101000000001</v>
      </c>
      <c r="Q71" s="186">
        <v>10.961004000000001</v>
      </c>
      <c r="R71" s="186">
        <v>8.5390569999999997</v>
      </c>
      <c r="S71" s="186">
        <v>10.947113999999999</v>
      </c>
      <c r="T71" s="186">
        <v>13.018481</v>
      </c>
      <c r="U71" s="186">
        <v>70.768615999999994</v>
      </c>
      <c r="V71" s="186">
        <v>11.066476</v>
      </c>
      <c r="W71" s="186">
        <v>12.501473000000001</v>
      </c>
      <c r="X71" s="186">
        <v>12.381987000000001</v>
      </c>
      <c r="Y71" s="186">
        <v>9.7565080000000002</v>
      </c>
      <c r="Z71" s="186">
        <v>10.554031</v>
      </c>
      <c r="AA71" s="50"/>
      <c r="AB71" s="50"/>
      <c r="AC71" s="50"/>
      <c r="AD71" s="50"/>
      <c r="AE71" s="50"/>
    </row>
    <row r="72" spans="1:31" ht="13.15" x14ac:dyDescent="0.4">
      <c r="A72" s="8">
        <v>23</v>
      </c>
      <c r="B72" s="186">
        <v>11.381347999999999</v>
      </c>
      <c r="C72" s="186">
        <v>11.885795999999999</v>
      </c>
      <c r="D72" s="186">
        <v>13.096208000000001</v>
      </c>
      <c r="E72" s="186">
        <v>12.907227000000001</v>
      </c>
      <c r="F72" s="186">
        <v>13.721408</v>
      </c>
      <c r="G72" s="186">
        <v>10.855199000000001</v>
      </c>
      <c r="H72" s="186">
        <v>9.4520149999999994</v>
      </c>
      <c r="I72" s="186">
        <v>9.9265249999999998</v>
      </c>
      <c r="J72" s="186">
        <v>10.466461000000001</v>
      </c>
      <c r="K72" s="186">
        <v>8.7418169999999993</v>
      </c>
      <c r="L72" s="186">
        <v>12.016817</v>
      </c>
      <c r="M72" s="186">
        <v>12.084386</v>
      </c>
      <c r="N72" s="186">
        <v>11.155537000000001</v>
      </c>
      <c r="O72" s="186">
        <v>11.485158999999999</v>
      </c>
      <c r="P72" s="186">
        <v>9.7538560000000007</v>
      </c>
      <c r="Q72" s="186">
        <v>9.0454889999999999</v>
      </c>
      <c r="R72" s="186">
        <v>6.9125699999999997</v>
      </c>
      <c r="S72" s="186">
        <v>8.4916870000000007</v>
      </c>
      <c r="T72" s="186">
        <v>11.492877999999999</v>
      </c>
      <c r="U72" s="186">
        <v>67.471939000000006</v>
      </c>
      <c r="V72" s="186">
        <v>9.1511239999999994</v>
      </c>
      <c r="W72" s="186">
        <v>10.468712999999999</v>
      </c>
      <c r="X72" s="186">
        <v>10.540037999999999</v>
      </c>
      <c r="Y72" s="186">
        <v>8.3336839999999999</v>
      </c>
      <c r="Z72" s="186">
        <v>8.1184849999999997</v>
      </c>
      <c r="AA72" s="50"/>
      <c r="AB72" s="50"/>
      <c r="AC72" s="50"/>
      <c r="AD72" s="50"/>
      <c r="AE72" s="50"/>
    </row>
    <row r="73" spans="1:31" ht="13.15" x14ac:dyDescent="0.4">
      <c r="A73" s="8">
        <v>24</v>
      </c>
      <c r="B73" s="186">
        <v>9.5730959999999996</v>
      </c>
      <c r="C73" s="186">
        <v>9.9556240000000003</v>
      </c>
      <c r="D73" s="186">
        <v>10.742983000000001</v>
      </c>
      <c r="E73" s="186">
        <v>11.281119</v>
      </c>
      <c r="F73" s="186">
        <v>11.790247000000001</v>
      </c>
      <c r="G73" s="186">
        <v>8.1946110000000001</v>
      </c>
      <c r="H73" s="186">
        <v>8.2324000000000002</v>
      </c>
      <c r="I73" s="186">
        <v>8.4938310000000001</v>
      </c>
      <c r="J73" s="186">
        <v>9.0438360000000007</v>
      </c>
      <c r="K73" s="186">
        <v>7.7253259999999999</v>
      </c>
      <c r="L73" s="186">
        <v>10.421664</v>
      </c>
      <c r="M73" s="186">
        <v>10.459595</v>
      </c>
      <c r="N73" s="186">
        <v>9.8250600000000006</v>
      </c>
      <c r="O73" s="186">
        <v>9.8589420000000008</v>
      </c>
      <c r="P73" s="186">
        <v>7.7218030000000004</v>
      </c>
      <c r="Q73" s="186">
        <v>8.3005669999999991</v>
      </c>
      <c r="R73" s="186">
        <v>5.4893939999999999</v>
      </c>
      <c r="S73" s="186">
        <v>6.5478069999999997</v>
      </c>
      <c r="T73" s="186">
        <v>9.6621539999999992</v>
      </c>
      <c r="U73" s="186">
        <v>64.175262000000004</v>
      </c>
      <c r="V73" s="186">
        <v>7.5549970000000002</v>
      </c>
      <c r="W73" s="186">
        <v>8.8425049999999992</v>
      </c>
      <c r="X73" s="186">
        <v>8.5957589999999993</v>
      </c>
      <c r="Y73" s="186">
        <v>6.605969</v>
      </c>
      <c r="Z73" s="186">
        <v>6.7992319999999999</v>
      </c>
      <c r="AA73" s="50"/>
      <c r="AB73" s="50"/>
      <c r="AC73" s="50"/>
      <c r="AD73" s="50"/>
      <c r="AE73" s="50"/>
    </row>
    <row r="74" spans="1:31" ht="13.15" x14ac:dyDescent="0.4">
      <c r="A74" s="8">
        <v>25</v>
      </c>
      <c r="B74" s="186">
        <v>7.9775799999999997</v>
      </c>
      <c r="C74" s="186">
        <v>8.8381559999999997</v>
      </c>
      <c r="D74" s="186">
        <v>8.9013290000000005</v>
      </c>
      <c r="E74" s="186">
        <v>9.5533809999999999</v>
      </c>
      <c r="F74" s="186">
        <v>10.062366000000001</v>
      </c>
      <c r="G74" s="186">
        <v>6.2789869999999999</v>
      </c>
      <c r="H74" s="186">
        <v>7.012785</v>
      </c>
      <c r="I74" s="186">
        <v>7.2658069999999997</v>
      </c>
      <c r="J74" s="186">
        <v>7.8244420000000003</v>
      </c>
      <c r="K74" s="186">
        <v>6.6071869999999997</v>
      </c>
      <c r="L74" s="186">
        <v>9.1455420000000007</v>
      </c>
      <c r="M74" s="186">
        <v>9.0379020000000008</v>
      </c>
      <c r="N74" s="186">
        <v>8.4945830000000004</v>
      </c>
      <c r="O74" s="186">
        <v>8.3343629999999997</v>
      </c>
      <c r="P74" s="186">
        <v>6.6041730000000003</v>
      </c>
      <c r="Q74" s="186">
        <v>6.9171389999999997</v>
      </c>
      <c r="R74" s="186">
        <v>4.9811170000000002</v>
      </c>
      <c r="S74" s="186">
        <v>5.2177829999999998</v>
      </c>
      <c r="T74" s="186">
        <v>8.1365510000000008</v>
      </c>
      <c r="U74" s="186">
        <v>62.856594000000001</v>
      </c>
      <c r="V74" s="186">
        <v>6.3845049999999999</v>
      </c>
      <c r="W74" s="186">
        <v>6.8097450000000004</v>
      </c>
      <c r="X74" s="186">
        <v>6.7538109999999998</v>
      </c>
      <c r="Y74" s="186">
        <v>5.3864049999999999</v>
      </c>
      <c r="Z74" s="186">
        <v>5.3784970000000003</v>
      </c>
      <c r="AA74" s="50"/>
      <c r="AB74" s="50"/>
      <c r="AC74" s="50"/>
      <c r="AD74" s="50"/>
      <c r="AE74" s="50"/>
    </row>
    <row r="75" spans="1:31" ht="13.15" x14ac:dyDescent="0.4">
      <c r="A75" s="8">
        <v>26</v>
      </c>
      <c r="B75" s="186">
        <v>6.9139030000000004</v>
      </c>
      <c r="C75" s="186">
        <v>7.923864</v>
      </c>
      <c r="D75" s="186">
        <v>7.7758729999999998</v>
      </c>
      <c r="E75" s="186">
        <v>8.5370640000000009</v>
      </c>
      <c r="F75" s="186">
        <v>8.5377659999999995</v>
      </c>
      <c r="G75" s="186">
        <v>5.4275989999999998</v>
      </c>
      <c r="H75" s="186">
        <v>6.1997080000000002</v>
      </c>
      <c r="I75" s="186">
        <v>5.9354480000000001</v>
      </c>
      <c r="J75" s="186">
        <v>6.8082799999999999</v>
      </c>
      <c r="K75" s="186">
        <v>4.9808029999999999</v>
      </c>
      <c r="L75" s="186">
        <v>7.3377030000000003</v>
      </c>
      <c r="M75" s="186">
        <v>7.1084620000000003</v>
      </c>
      <c r="N75" s="186">
        <v>7.3687940000000003</v>
      </c>
      <c r="O75" s="186">
        <v>7.521255</v>
      </c>
      <c r="P75" s="186">
        <v>5.080133</v>
      </c>
      <c r="Q75" s="186">
        <v>5.4272939999999998</v>
      </c>
      <c r="R75" s="186">
        <v>4.0662180000000001</v>
      </c>
      <c r="S75" s="186">
        <v>4.0923790000000002</v>
      </c>
      <c r="T75" s="186">
        <v>7.5263090000000004</v>
      </c>
      <c r="U75" s="186">
        <v>60.658810000000003</v>
      </c>
      <c r="V75" s="186">
        <v>5.7460550000000001</v>
      </c>
      <c r="W75" s="186">
        <v>5.3868140000000002</v>
      </c>
      <c r="X75" s="186">
        <v>5.3211839999999997</v>
      </c>
      <c r="Y75" s="186">
        <v>4.3701020000000002</v>
      </c>
      <c r="Z75" s="186">
        <v>4.3636860000000004</v>
      </c>
      <c r="AA75" s="50"/>
      <c r="AB75" s="50"/>
      <c r="AC75" s="50"/>
      <c r="AD75" s="50"/>
      <c r="AE75" s="50"/>
    </row>
    <row r="76" spans="1:31" ht="13.15" x14ac:dyDescent="0.4">
      <c r="A76" s="8">
        <v>27</v>
      </c>
      <c r="B76" s="186">
        <v>5.9565929999999998</v>
      </c>
      <c r="C76" s="186">
        <v>6.6032200000000003</v>
      </c>
      <c r="D76" s="186">
        <v>6.8550459999999998</v>
      </c>
      <c r="E76" s="186">
        <v>7.3174830000000002</v>
      </c>
      <c r="F76" s="186">
        <v>7.3180839999999998</v>
      </c>
      <c r="G76" s="186">
        <v>4.3633639999999998</v>
      </c>
      <c r="H76" s="186">
        <v>4.8784590000000003</v>
      </c>
      <c r="I76" s="186">
        <v>5.2191010000000002</v>
      </c>
      <c r="J76" s="186">
        <v>5.5888869999999997</v>
      </c>
      <c r="K76" s="186">
        <v>3.862663</v>
      </c>
      <c r="L76" s="186">
        <v>6.2742680000000002</v>
      </c>
      <c r="M76" s="186">
        <v>5.9914180000000004</v>
      </c>
      <c r="N76" s="186">
        <v>6.6523839999999996</v>
      </c>
      <c r="O76" s="186">
        <v>6.5048690000000002</v>
      </c>
      <c r="P76" s="186">
        <v>3.962504</v>
      </c>
      <c r="Q76" s="186">
        <v>4.3631180000000001</v>
      </c>
      <c r="R76" s="186">
        <v>3.5579399999999999</v>
      </c>
      <c r="S76" s="186">
        <v>3.580832</v>
      </c>
      <c r="T76" s="186">
        <v>6.7126539999999997</v>
      </c>
      <c r="U76" s="186">
        <v>58.790694999999999</v>
      </c>
      <c r="V76" s="186">
        <v>4.6819709999999999</v>
      </c>
      <c r="W76" s="186">
        <v>4.4720719999999998</v>
      </c>
      <c r="X76" s="186">
        <v>4.5025409999999999</v>
      </c>
      <c r="Y76" s="186">
        <v>3.3538000000000001</v>
      </c>
      <c r="Z76" s="186">
        <v>3.4503560000000002</v>
      </c>
      <c r="AA76" s="50"/>
      <c r="AB76" s="50"/>
      <c r="AC76" s="50"/>
      <c r="AD76" s="50"/>
      <c r="AE76" s="50"/>
    </row>
    <row r="77" spans="1:31" ht="13.15" x14ac:dyDescent="0.4">
      <c r="A77" s="8">
        <v>28</v>
      </c>
      <c r="B77" s="186">
        <v>5.3183870000000004</v>
      </c>
      <c r="C77" s="186">
        <v>5.6889279999999998</v>
      </c>
      <c r="D77" s="186">
        <v>5.4226479999999997</v>
      </c>
      <c r="E77" s="186">
        <v>6.6060610000000004</v>
      </c>
      <c r="F77" s="186">
        <v>6.0984040000000004</v>
      </c>
      <c r="G77" s="186">
        <v>3.6183999999999998</v>
      </c>
      <c r="H77" s="186">
        <v>3.9637479999999998</v>
      </c>
      <c r="I77" s="186">
        <v>4.6050890000000004</v>
      </c>
      <c r="J77" s="186">
        <v>4.97919</v>
      </c>
      <c r="K77" s="186">
        <v>2.8461729999999998</v>
      </c>
      <c r="L77" s="186">
        <v>5.8488939999999996</v>
      </c>
      <c r="M77" s="186">
        <v>4.8743740000000004</v>
      </c>
      <c r="N77" s="186">
        <v>5.9359739999999999</v>
      </c>
      <c r="O77" s="186">
        <v>5.590122</v>
      </c>
      <c r="P77" s="186">
        <v>3.454491</v>
      </c>
      <c r="Q77" s="186">
        <v>3.5117780000000001</v>
      </c>
      <c r="R77" s="186">
        <v>3.252974</v>
      </c>
      <c r="S77" s="186">
        <v>3.2739029999999998</v>
      </c>
      <c r="T77" s="186">
        <v>5.7972919999999997</v>
      </c>
      <c r="U77" s="186">
        <v>55.494019000000002</v>
      </c>
      <c r="V77" s="186">
        <v>3.6178859999999999</v>
      </c>
      <c r="W77" s="186">
        <v>3.862244</v>
      </c>
      <c r="X77" s="186">
        <v>3.7862269999999998</v>
      </c>
      <c r="Y77" s="186">
        <v>2.5407570000000002</v>
      </c>
      <c r="Z77" s="186">
        <v>3.044432</v>
      </c>
      <c r="AA77" s="50"/>
      <c r="AB77" s="50"/>
      <c r="AC77" s="50"/>
      <c r="AD77" s="50"/>
      <c r="AE77" s="50"/>
    </row>
    <row r="78" spans="1:31" ht="13.15" x14ac:dyDescent="0.4">
      <c r="A78" s="8">
        <v>29</v>
      </c>
      <c r="B78" s="186">
        <v>3.9356059999999999</v>
      </c>
      <c r="C78" s="186">
        <v>4.165108</v>
      </c>
      <c r="D78" s="186">
        <v>4.6041359999999996</v>
      </c>
      <c r="E78" s="186">
        <v>5.5897439999999996</v>
      </c>
      <c r="F78" s="186">
        <v>5.2852829999999997</v>
      </c>
      <c r="G78" s="186">
        <v>2.9798580000000001</v>
      </c>
      <c r="H78" s="186">
        <v>3.150671</v>
      </c>
      <c r="I78" s="186">
        <v>3.5817359999999998</v>
      </c>
      <c r="J78" s="186">
        <v>4.2678770000000004</v>
      </c>
      <c r="K78" s="186">
        <v>2.1346289999999999</v>
      </c>
      <c r="L78" s="186">
        <v>4.9981450000000001</v>
      </c>
      <c r="M78" s="186">
        <v>3.8588800000000001</v>
      </c>
      <c r="N78" s="186">
        <v>5.219563</v>
      </c>
      <c r="O78" s="186">
        <v>4.4720969999999998</v>
      </c>
      <c r="P78" s="186">
        <v>3.0480800000000001</v>
      </c>
      <c r="Q78" s="186">
        <v>2.6604380000000001</v>
      </c>
      <c r="R78" s="186">
        <v>2.7446969999999999</v>
      </c>
      <c r="S78" s="186">
        <v>2.4554269999999998</v>
      </c>
      <c r="T78" s="186">
        <v>5.2887579999999996</v>
      </c>
      <c r="U78" s="186">
        <v>53.516013999999998</v>
      </c>
      <c r="V78" s="186">
        <v>3.0858439999999998</v>
      </c>
      <c r="W78" s="186">
        <v>3.04914</v>
      </c>
      <c r="X78" s="186">
        <v>2.967584</v>
      </c>
      <c r="Y78" s="186">
        <v>2.0326059999999999</v>
      </c>
      <c r="Z78" s="186">
        <v>2.6385079999999999</v>
      </c>
      <c r="AA78" s="50"/>
      <c r="AB78" s="50"/>
      <c r="AC78" s="50"/>
      <c r="AD78" s="50"/>
      <c r="AE78" s="50"/>
    </row>
    <row r="79" spans="1:31" ht="13.15" x14ac:dyDescent="0.4">
      <c r="A79" s="8">
        <v>30</v>
      </c>
      <c r="B79" s="186">
        <v>2.7655609999999999</v>
      </c>
      <c r="C79" s="186">
        <v>3.758756</v>
      </c>
      <c r="D79" s="186">
        <v>3.580994</v>
      </c>
      <c r="E79" s="186">
        <v>3.9636369999999999</v>
      </c>
      <c r="F79" s="186">
        <v>4.2688829999999998</v>
      </c>
      <c r="G79" s="186">
        <v>2.3413170000000001</v>
      </c>
      <c r="H79" s="186">
        <v>2.6424989999999999</v>
      </c>
      <c r="I79" s="186">
        <v>2.967724</v>
      </c>
      <c r="J79" s="186">
        <v>3.4549479999999999</v>
      </c>
      <c r="K79" s="186">
        <v>1.6263840000000001</v>
      </c>
      <c r="L79" s="186">
        <v>3.7220230000000001</v>
      </c>
      <c r="M79" s="186">
        <v>3.4526819999999998</v>
      </c>
      <c r="N79" s="186">
        <v>4.4008079999999996</v>
      </c>
      <c r="O79" s="186">
        <v>3.7606269999999999</v>
      </c>
      <c r="P79" s="186">
        <v>2.844875</v>
      </c>
      <c r="Q79" s="186">
        <v>2.1283500000000002</v>
      </c>
      <c r="R79" s="186">
        <v>2.4397310000000001</v>
      </c>
      <c r="S79" s="186">
        <v>1.636952</v>
      </c>
      <c r="T79" s="186">
        <v>4.6785170000000003</v>
      </c>
      <c r="U79" s="186">
        <v>51.86768</v>
      </c>
      <c r="V79" s="186">
        <v>2.7666189999999999</v>
      </c>
      <c r="W79" s="186">
        <v>2.6425879999999999</v>
      </c>
      <c r="X79" s="186">
        <v>2.3536009999999998</v>
      </c>
      <c r="Y79" s="186">
        <v>1.4228240000000001</v>
      </c>
      <c r="Z79" s="186">
        <v>1.826659</v>
      </c>
      <c r="AA79" s="50"/>
      <c r="AB79" s="50"/>
      <c r="AC79" s="50"/>
      <c r="AD79" s="50"/>
      <c r="AE79" s="50"/>
    </row>
    <row r="80" spans="1:31" ht="13.15" x14ac:dyDescent="0.4">
      <c r="A80" s="8">
        <v>38</v>
      </c>
      <c r="B80" s="186">
        <v>0.42547099999999999</v>
      </c>
      <c r="C80" s="186">
        <v>0.91429199999999999</v>
      </c>
      <c r="D80" s="186">
        <v>0.71619900000000003</v>
      </c>
      <c r="E80" s="186">
        <v>0.81305400000000005</v>
      </c>
      <c r="F80" s="186">
        <v>0.91476100000000005</v>
      </c>
      <c r="G80" s="186">
        <v>0.31927100000000003</v>
      </c>
      <c r="H80" s="186">
        <v>0.20326900000000001</v>
      </c>
      <c r="I80" s="186">
        <v>0.307006</v>
      </c>
      <c r="J80" s="186">
        <v>0.30484800000000001</v>
      </c>
      <c r="K80" s="186">
        <v>0</v>
      </c>
      <c r="L80" s="186">
        <v>1.276122</v>
      </c>
      <c r="M80" s="186">
        <v>0.60929699999999998</v>
      </c>
      <c r="N80" s="186">
        <v>0.51172200000000001</v>
      </c>
      <c r="O80" s="186">
        <v>0.40655400000000003</v>
      </c>
      <c r="P80" s="186">
        <v>0.40641100000000002</v>
      </c>
      <c r="Q80" s="186">
        <v>0.31925300000000001</v>
      </c>
      <c r="R80" s="186">
        <v>0</v>
      </c>
      <c r="S80" s="186">
        <v>0.30692799999999998</v>
      </c>
      <c r="T80" s="186">
        <v>1.3221890000000001</v>
      </c>
      <c r="U80" s="186">
        <v>35.164527999999997</v>
      </c>
      <c r="V80" s="186">
        <v>0.31922499999999998</v>
      </c>
      <c r="W80" s="186">
        <v>0.20327600000000001</v>
      </c>
      <c r="X80" s="186">
        <v>0.20466100000000001</v>
      </c>
      <c r="Y80" s="186">
        <v>0.203261</v>
      </c>
      <c r="Z80" s="186">
        <v>0.30444300000000002</v>
      </c>
      <c r="AA80" s="50"/>
      <c r="AB80" s="50"/>
      <c r="AC80" s="50"/>
      <c r="AD80" s="50"/>
      <c r="AE80" s="50"/>
    </row>
    <row r="81" spans="1:32" ht="13.15" x14ac:dyDescent="0.4">
      <c r="A81" s="8">
        <v>50</v>
      </c>
      <c r="B81" s="186">
        <v>0</v>
      </c>
      <c r="C81" s="186">
        <v>0.30476399999999998</v>
      </c>
      <c r="D81" s="186">
        <v>0.30694199999999999</v>
      </c>
      <c r="E81" s="186">
        <v>0</v>
      </c>
      <c r="F81" s="186">
        <v>0.50819999999999999</v>
      </c>
      <c r="G81" s="186">
        <v>0.21284700000000001</v>
      </c>
      <c r="H81" s="186">
        <v>0</v>
      </c>
      <c r="I81" s="186">
        <v>0.102335</v>
      </c>
      <c r="J81" s="186">
        <v>0.101616</v>
      </c>
      <c r="K81" s="186">
        <v>0</v>
      </c>
      <c r="L81" s="186">
        <v>0.21268699999999999</v>
      </c>
      <c r="M81" s="186">
        <v>0.30464799999999997</v>
      </c>
      <c r="N81" s="186">
        <v>0.20468900000000001</v>
      </c>
      <c r="O81" s="186">
        <v>0</v>
      </c>
      <c r="P81" s="186">
        <v>0.101603</v>
      </c>
      <c r="Q81" s="186">
        <v>0.106418</v>
      </c>
      <c r="R81" s="186">
        <v>0</v>
      </c>
      <c r="S81" s="186">
        <v>0</v>
      </c>
      <c r="T81" s="186">
        <v>0.50853400000000004</v>
      </c>
      <c r="U81" s="186">
        <v>22.747053000000001</v>
      </c>
      <c r="V81" s="186">
        <v>0.106408</v>
      </c>
      <c r="W81" s="186">
        <v>0</v>
      </c>
      <c r="X81" s="186">
        <v>0</v>
      </c>
      <c r="Y81" s="186">
        <v>0.10163</v>
      </c>
      <c r="Z81" s="186">
        <v>0</v>
      </c>
      <c r="AA81" s="50"/>
      <c r="AB81" s="50"/>
      <c r="AC81" s="50"/>
      <c r="AD81" s="50"/>
      <c r="AE81" s="50"/>
    </row>
    <row r="82" spans="1:32" ht="13.15" x14ac:dyDescent="0.4">
      <c r="A82" s="8">
        <v>70</v>
      </c>
      <c r="B82" s="186">
        <v>0</v>
      </c>
      <c r="C82" s="186">
        <v>0</v>
      </c>
      <c r="D82" s="186">
        <v>0</v>
      </c>
      <c r="E82" s="186">
        <v>0</v>
      </c>
      <c r="F82" s="186">
        <v>0.30492000000000002</v>
      </c>
      <c r="G82" s="186">
        <v>0.106424</v>
      </c>
      <c r="H82" s="186">
        <v>0</v>
      </c>
      <c r="I82" s="186">
        <v>0</v>
      </c>
      <c r="J82" s="186">
        <v>0.101616</v>
      </c>
      <c r="K82" s="186">
        <v>0</v>
      </c>
      <c r="L82" s="186">
        <v>0.10634399999999999</v>
      </c>
      <c r="M82" s="186">
        <v>0</v>
      </c>
      <c r="N82" s="186">
        <v>0</v>
      </c>
      <c r="O82" s="186">
        <v>0</v>
      </c>
      <c r="P82" s="186">
        <v>0</v>
      </c>
      <c r="Q82" s="186">
        <v>0</v>
      </c>
      <c r="R82" s="186">
        <v>0</v>
      </c>
      <c r="S82" s="186">
        <v>0</v>
      </c>
      <c r="T82" s="186">
        <v>0.20341400000000001</v>
      </c>
      <c r="U82" s="186">
        <v>13.955921999999999</v>
      </c>
      <c r="V82" s="186">
        <v>0.106408</v>
      </c>
      <c r="W82" s="186">
        <v>0</v>
      </c>
      <c r="X82" s="186">
        <v>0</v>
      </c>
      <c r="Y82" s="186">
        <v>0.10163</v>
      </c>
      <c r="Z82" s="186">
        <v>0</v>
      </c>
      <c r="AA82" s="50"/>
      <c r="AB82" s="50"/>
      <c r="AC82" s="50"/>
      <c r="AD82" s="50"/>
      <c r="AE82" s="50"/>
    </row>
    <row r="85" spans="1:32" x14ac:dyDescent="0.35">
      <c r="B85" t="s">
        <v>393</v>
      </c>
    </row>
    <row r="92" spans="1:32" x14ac:dyDescent="0.35">
      <c r="A92" t="s">
        <v>351</v>
      </c>
    </row>
    <row r="93" spans="1:32" x14ac:dyDescent="0.35">
      <c r="A93">
        <v>1</v>
      </c>
      <c r="B93">
        <v>9.4013469999999995</v>
      </c>
      <c r="C93">
        <v>1838.779053</v>
      </c>
      <c r="D93">
        <v>1813.7825929999999</v>
      </c>
      <c r="E93">
        <v>1798.5720209999999</v>
      </c>
      <c r="F93">
        <v>1788.041626</v>
      </c>
      <c r="G93">
        <v>1782.4041749999999</v>
      </c>
      <c r="H93">
        <v>1779.4257809999999</v>
      </c>
      <c r="I93">
        <v>1771.2354740000001</v>
      </c>
      <c r="J93">
        <v>1627.107178</v>
      </c>
      <c r="K93">
        <v>879.66119400000002</v>
      </c>
      <c r="L93">
        <v>199.22676100000001</v>
      </c>
      <c r="M93">
        <v>79.456695999999994</v>
      </c>
      <c r="N93">
        <v>68.288086000000007</v>
      </c>
      <c r="O93">
        <v>57.864047999999997</v>
      </c>
      <c r="P93">
        <v>42.866196000000002</v>
      </c>
      <c r="Q93">
        <v>30.633907000000001</v>
      </c>
      <c r="R93">
        <v>21.486281999999999</v>
      </c>
      <c r="S93">
        <v>18.720721999999999</v>
      </c>
      <c r="T93">
        <v>16.38063</v>
      </c>
      <c r="U93">
        <v>13.615069999999999</v>
      </c>
      <c r="V93">
        <v>11.381347999999999</v>
      </c>
      <c r="W93">
        <v>9.5730959999999996</v>
      </c>
      <c r="X93">
        <v>7.9775799999999997</v>
      </c>
      <c r="Y93">
        <v>6.9139030000000004</v>
      </c>
      <c r="Z93">
        <v>5.9565929999999998</v>
      </c>
      <c r="AA93">
        <v>5.3183870000000004</v>
      </c>
      <c r="AB93">
        <v>3.9356059999999999</v>
      </c>
      <c r="AC93">
        <v>2.7655609999999999</v>
      </c>
      <c r="AD93">
        <v>0.42547099999999999</v>
      </c>
      <c r="AE93">
        <v>0</v>
      </c>
      <c r="AF93">
        <v>0</v>
      </c>
    </row>
    <row r="94" spans="1:32" x14ac:dyDescent="0.35">
      <c r="A94">
        <v>2</v>
      </c>
      <c r="B94">
        <v>9.8436819999999994</v>
      </c>
      <c r="C94">
        <v>1741.0151370000001</v>
      </c>
      <c r="D94">
        <v>1715.1102289999999</v>
      </c>
      <c r="E94">
        <v>1700.684692</v>
      </c>
      <c r="F94">
        <v>1691.033813</v>
      </c>
      <c r="G94">
        <v>1685.2432859999999</v>
      </c>
      <c r="H94">
        <v>1679.8591309999999</v>
      </c>
      <c r="I94">
        <v>1670.411499</v>
      </c>
      <c r="J94">
        <v>1540.6835940000001</v>
      </c>
      <c r="K94">
        <v>868.88214100000005</v>
      </c>
      <c r="L94">
        <v>212.217331</v>
      </c>
      <c r="M94">
        <v>76.597351000000003</v>
      </c>
      <c r="N94">
        <v>64.508376999999996</v>
      </c>
      <c r="O94">
        <v>54.654342999999997</v>
      </c>
      <c r="P94">
        <v>42.971724999999999</v>
      </c>
      <c r="Q94">
        <v>32.914512999999999</v>
      </c>
      <c r="R94">
        <v>23.670003999999999</v>
      </c>
      <c r="S94">
        <v>20.216013</v>
      </c>
      <c r="T94">
        <v>18.082664000000001</v>
      </c>
      <c r="U94">
        <v>15.339788</v>
      </c>
      <c r="V94">
        <v>11.885795999999999</v>
      </c>
      <c r="W94">
        <v>9.9556240000000003</v>
      </c>
      <c r="X94">
        <v>8.8381559999999997</v>
      </c>
      <c r="Y94">
        <v>7.923864</v>
      </c>
      <c r="Z94">
        <v>6.6032200000000003</v>
      </c>
      <c r="AA94">
        <v>5.6889279999999998</v>
      </c>
      <c r="AB94">
        <v>4.165108</v>
      </c>
      <c r="AC94">
        <v>3.758756</v>
      </c>
      <c r="AD94">
        <v>0.91429199999999999</v>
      </c>
      <c r="AE94">
        <v>0.30476399999999998</v>
      </c>
      <c r="AF94">
        <v>0</v>
      </c>
    </row>
    <row r="95" spans="1:32" x14ac:dyDescent="0.35">
      <c r="A95">
        <v>3</v>
      </c>
      <c r="B95">
        <v>9.7738219999999991</v>
      </c>
      <c r="C95">
        <v>1871.9392089999999</v>
      </c>
      <c r="D95">
        <v>1844.825928</v>
      </c>
      <c r="E95">
        <v>1830.501953</v>
      </c>
      <c r="F95">
        <v>1820.5775149999999</v>
      </c>
      <c r="G95">
        <v>1814.3363039999999</v>
      </c>
      <c r="H95">
        <v>1809.322876</v>
      </c>
      <c r="I95">
        <v>1800.5239260000001</v>
      </c>
      <c r="J95">
        <v>1664.2414550000001</v>
      </c>
      <c r="K95">
        <v>892.79303000000004</v>
      </c>
      <c r="L95">
        <v>212.81336999999999</v>
      </c>
      <c r="M95">
        <v>78.167991999999998</v>
      </c>
      <c r="N95">
        <v>67.220375000000004</v>
      </c>
      <c r="O95">
        <v>55.863509999999998</v>
      </c>
      <c r="P95">
        <v>41.027962000000002</v>
      </c>
      <c r="Q95">
        <v>30.387295000000002</v>
      </c>
      <c r="R95">
        <v>22.09985</v>
      </c>
      <c r="S95">
        <v>18.825797999999999</v>
      </c>
      <c r="T95">
        <v>17.495714</v>
      </c>
      <c r="U95">
        <v>15.551746</v>
      </c>
      <c r="V95">
        <v>13.096208000000001</v>
      </c>
      <c r="W95">
        <v>10.742983000000001</v>
      </c>
      <c r="X95">
        <v>8.9013290000000005</v>
      </c>
      <c r="Y95">
        <v>7.7758729999999998</v>
      </c>
      <c r="Z95">
        <v>6.8550459999999998</v>
      </c>
      <c r="AA95">
        <v>5.4226479999999997</v>
      </c>
      <c r="AB95">
        <v>4.6041359999999996</v>
      </c>
      <c r="AC95">
        <v>3.580994</v>
      </c>
      <c r="AD95">
        <v>0.71619900000000003</v>
      </c>
      <c r="AE95">
        <v>0.30694199999999999</v>
      </c>
      <c r="AF95">
        <v>0</v>
      </c>
    </row>
    <row r="96" spans="1:32" x14ac:dyDescent="0.35">
      <c r="A96">
        <v>4</v>
      </c>
      <c r="B96">
        <v>9.8394490000000001</v>
      </c>
      <c r="C96">
        <v>1865.043457</v>
      </c>
      <c r="D96">
        <v>1840.3469239999999</v>
      </c>
      <c r="E96">
        <v>1827.134888</v>
      </c>
      <c r="F96">
        <v>1818.5977780000001</v>
      </c>
      <c r="G96">
        <v>1812.9063719999999</v>
      </c>
      <c r="H96">
        <v>1808.536255</v>
      </c>
      <c r="I96">
        <v>1799.7958980000001</v>
      </c>
      <c r="J96">
        <v>1658.527832</v>
      </c>
      <c r="K96">
        <v>902.99774200000002</v>
      </c>
      <c r="L96">
        <v>217.08532700000001</v>
      </c>
      <c r="M96">
        <v>79.374367000000007</v>
      </c>
      <c r="N96">
        <v>66.873665000000003</v>
      </c>
      <c r="O96">
        <v>57.421913000000004</v>
      </c>
      <c r="P96">
        <v>44.514687000000002</v>
      </c>
      <c r="Q96">
        <v>32.11562</v>
      </c>
      <c r="R96">
        <v>24.696504999999998</v>
      </c>
      <c r="S96">
        <v>21.139395</v>
      </c>
      <c r="T96">
        <v>19.208393000000001</v>
      </c>
      <c r="U96">
        <v>16.565968000000002</v>
      </c>
      <c r="V96">
        <v>12.907227000000001</v>
      </c>
      <c r="W96">
        <v>11.281119</v>
      </c>
      <c r="X96">
        <v>9.5533809999999999</v>
      </c>
      <c r="Y96">
        <v>8.5370640000000009</v>
      </c>
      <c r="Z96">
        <v>7.3174830000000002</v>
      </c>
      <c r="AA96">
        <v>6.6060610000000004</v>
      </c>
      <c r="AB96">
        <v>5.5897439999999996</v>
      </c>
      <c r="AC96">
        <v>3.9636369999999999</v>
      </c>
      <c r="AD96">
        <v>0.81305400000000005</v>
      </c>
      <c r="AE96">
        <v>0</v>
      </c>
      <c r="AF96">
        <v>0</v>
      </c>
    </row>
    <row r="97" spans="1:32" x14ac:dyDescent="0.35">
      <c r="A97">
        <v>5</v>
      </c>
      <c r="B97">
        <v>9.8386399999999998</v>
      </c>
      <c r="C97">
        <v>1799.740601</v>
      </c>
      <c r="D97">
        <v>1776.6683350000001</v>
      </c>
      <c r="E97">
        <v>1764.0649410000001</v>
      </c>
      <c r="F97">
        <v>1754.7139890000001</v>
      </c>
      <c r="G97">
        <v>1749.5303960000001</v>
      </c>
      <c r="H97">
        <v>1745.7696530000001</v>
      </c>
      <c r="I97">
        <v>1738.5532229999999</v>
      </c>
      <c r="J97">
        <v>1624.20813</v>
      </c>
      <c r="K97">
        <v>923.80651899999998</v>
      </c>
      <c r="L97">
        <v>215.37529000000001</v>
      </c>
      <c r="M97">
        <v>80.702208999999996</v>
      </c>
      <c r="N97">
        <v>69.216881000000001</v>
      </c>
      <c r="O97">
        <v>61.797156999999999</v>
      </c>
      <c r="P97">
        <v>48.990509000000003</v>
      </c>
      <c r="Q97">
        <v>35.065823000000002</v>
      </c>
      <c r="R97">
        <v>25.308375999999999</v>
      </c>
      <c r="S97">
        <v>21.242773</v>
      </c>
      <c r="T97">
        <v>18.600131999999999</v>
      </c>
      <c r="U97">
        <v>16.364049999999999</v>
      </c>
      <c r="V97">
        <v>13.721408</v>
      </c>
      <c r="W97">
        <v>11.790247000000001</v>
      </c>
      <c r="X97">
        <v>10.062366000000001</v>
      </c>
      <c r="Y97">
        <v>8.5377659999999995</v>
      </c>
      <c r="Z97">
        <v>7.3180839999999998</v>
      </c>
      <c r="AA97">
        <v>6.0984040000000004</v>
      </c>
      <c r="AB97">
        <v>5.2852829999999997</v>
      </c>
      <c r="AC97">
        <v>4.2688829999999998</v>
      </c>
      <c r="AD97">
        <v>0.91476100000000005</v>
      </c>
      <c r="AE97">
        <v>0.50819999999999999</v>
      </c>
      <c r="AF97">
        <v>0.30492000000000002</v>
      </c>
    </row>
    <row r="98" spans="1:32" x14ac:dyDescent="0.35">
      <c r="A98">
        <v>1</v>
      </c>
      <c r="B98">
        <v>9.3964200000000009</v>
      </c>
      <c r="C98">
        <v>1826.3339840000001</v>
      </c>
      <c r="D98">
        <v>1803.772217</v>
      </c>
      <c r="E98">
        <v>1792.278442</v>
      </c>
      <c r="F98">
        <v>1785.8930660000001</v>
      </c>
      <c r="G98">
        <v>1781.3167719999999</v>
      </c>
      <c r="H98">
        <v>1777.6983640000001</v>
      </c>
      <c r="I98">
        <v>1769.929443</v>
      </c>
      <c r="J98">
        <v>1620.5108640000001</v>
      </c>
      <c r="K98">
        <v>860.540527</v>
      </c>
      <c r="L98">
        <v>204.86526499999999</v>
      </c>
      <c r="M98">
        <v>73.964340000000007</v>
      </c>
      <c r="N98">
        <v>61.299945999999998</v>
      </c>
      <c r="O98">
        <v>51.402557000000002</v>
      </c>
      <c r="P98">
        <v>40.653782</v>
      </c>
      <c r="Q98">
        <v>28.734348000000001</v>
      </c>
      <c r="R98">
        <v>20.859009</v>
      </c>
      <c r="S98">
        <v>18.091996999999999</v>
      </c>
      <c r="T98">
        <v>15.537832999999999</v>
      </c>
      <c r="U98">
        <v>13.090093</v>
      </c>
      <c r="V98">
        <v>10.855199000000001</v>
      </c>
      <c r="W98">
        <v>8.1946110000000001</v>
      </c>
      <c r="X98">
        <v>6.2789869999999999</v>
      </c>
      <c r="Y98">
        <v>5.4275989999999998</v>
      </c>
      <c r="Z98">
        <v>4.3633639999999998</v>
      </c>
      <c r="AA98">
        <v>3.6183999999999998</v>
      </c>
      <c r="AB98">
        <v>2.9798580000000001</v>
      </c>
      <c r="AC98">
        <v>2.3413170000000001</v>
      </c>
      <c r="AD98">
        <v>0.31927100000000003</v>
      </c>
      <c r="AE98">
        <v>0.21284700000000001</v>
      </c>
      <c r="AF98">
        <v>0.106424</v>
      </c>
    </row>
    <row r="99" spans="1:32" x14ac:dyDescent="0.35">
      <c r="A99">
        <v>2</v>
      </c>
      <c r="B99">
        <v>9.8391719999999996</v>
      </c>
      <c r="C99">
        <v>1807.367432</v>
      </c>
      <c r="D99">
        <v>1784.8045649999999</v>
      </c>
      <c r="E99">
        <v>1771.8969729999999</v>
      </c>
      <c r="F99">
        <v>1764.7825929999999</v>
      </c>
      <c r="G99">
        <v>1760.107422</v>
      </c>
      <c r="H99">
        <v>1756.753418</v>
      </c>
      <c r="I99">
        <v>1749.8422849999999</v>
      </c>
      <c r="J99">
        <v>1619.0385739999999</v>
      </c>
      <c r="K99">
        <v>883.509277</v>
      </c>
      <c r="L99">
        <v>205.403458</v>
      </c>
      <c r="M99">
        <v>69.416404999999997</v>
      </c>
      <c r="N99">
        <v>58.643143000000002</v>
      </c>
      <c r="O99">
        <v>48.784592000000004</v>
      </c>
      <c r="P99">
        <v>38.011325999999997</v>
      </c>
      <c r="Q99">
        <v>27.542967000000001</v>
      </c>
      <c r="R99">
        <v>19.310568</v>
      </c>
      <c r="S99">
        <v>16.159894999999999</v>
      </c>
      <c r="T99">
        <v>13.822301</v>
      </c>
      <c r="U99">
        <v>11.687975</v>
      </c>
      <c r="V99">
        <v>9.4520149999999994</v>
      </c>
      <c r="W99">
        <v>8.2324000000000002</v>
      </c>
      <c r="X99">
        <v>7.012785</v>
      </c>
      <c r="Y99">
        <v>6.1997080000000002</v>
      </c>
      <c r="Z99">
        <v>4.8784590000000003</v>
      </c>
      <c r="AA99">
        <v>3.9637479999999998</v>
      </c>
      <c r="AB99">
        <v>3.150671</v>
      </c>
      <c r="AC99">
        <v>2.6424989999999999</v>
      </c>
      <c r="AD99">
        <v>0.20326900000000001</v>
      </c>
      <c r="AE99">
        <v>0</v>
      </c>
      <c r="AF99">
        <v>0</v>
      </c>
    </row>
    <row r="100" spans="1:32" x14ac:dyDescent="0.35">
      <c r="A100">
        <v>3</v>
      </c>
      <c r="B100">
        <v>9.7717980000000004</v>
      </c>
      <c r="C100">
        <v>1885.8350829999999</v>
      </c>
      <c r="D100">
        <v>1861.274658</v>
      </c>
      <c r="E100">
        <v>1847.254639</v>
      </c>
      <c r="F100">
        <v>1840.1936040000001</v>
      </c>
      <c r="G100">
        <v>1837.1235349999999</v>
      </c>
      <c r="H100">
        <v>1833.030029</v>
      </c>
      <c r="I100">
        <v>1823.205933</v>
      </c>
      <c r="J100">
        <v>1655.273682</v>
      </c>
      <c r="K100">
        <v>879.77667199999996</v>
      </c>
      <c r="L100">
        <v>205.79631000000001</v>
      </c>
      <c r="M100">
        <v>76.342140000000001</v>
      </c>
      <c r="N100">
        <v>64.471244999999996</v>
      </c>
      <c r="O100">
        <v>54.135379999999998</v>
      </c>
      <c r="P100">
        <v>40.831791000000003</v>
      </c>
      <c r="Q100">
        <v>26.914186000000001</v>
      </c>
      <c r="R100">
        <v>19.239038000000001</v>
      </c>
      <c r="S100">
        <v>15.554967</v>
      </c>
      <c r="T100">
        <v>14.019938</v>
      </c>
      <c r="U100">
        <v>11.768560000000001</v>
      </c>
      <c r="V100">
        <v>9.9265249999999998</v>
      </c>
      <c r="W100">
        <v>8.4938310000000001</v>
      </c>
      <c r="X100">
        <v>7.2658069999999997</v>
      </c>
      <c r="Y100">
        <v>5.9354480000000001</v>
      </c>
      <c r="Z100">
        <v>5.2191010000000002</v>
      </c>
      <c r="AA100">
        <v>4.6050890000000004</v>
      </c>
      <c r="AB100">
        <v>3.5817359999999998</v>
      </c>
      <c r="AC100">
        <v>2.967724</v>
      </c>
      <c r="AD100">
        <v>0.307006</v>
      </c>
      <c r="AE100">
        <v>0.102335</v>
      </c>
      <c r="AF100">
        <v>0</v>
      </c>
    </row>
    <row r="101" spans="1:32" x14ac:dyDescent="0.35">
      <c r="A101">
        <v>4</v>
      </c>
      <c r="B101">
        <v>9.8409580000000005</v>
      </c>
      <c r="C101">
        <v>1797.4876710000001</v>
      </c>
      <c r="D101">
        <v>1776.6563719999999</v>
      </c>
      <c r="E101">
        <v>1765.783447</v>
      </c>
      <c r="F101">
        <v>1759.4832759999999</v>
      </c>
      <c r="G101">
        <v>1755.1137699999999</v>
      </c>
      <c r="H101">
        <v>1752.674927</v>
      </c>
      <c r="I101">
        <v>1746.273193</v>
      </c>
      <c r="J101">
        <v>1625.2482910000001</v>
      </c>
      <c r="K101">
        <v>894.72997999999995</v>
      </c>
      <c r="L101">
        <v>207.09367399999999</v>
      </c>
      <c r="M101">
        <v>70.724823000000001</v>
      </c>
      <c r="N101">
        <v>60.156745999999998</v>
      </c>
      <c r="O101">
        <v>50.198368000000002</v>
      </c>
      <c r="P101">
        <v>38.410896000000001</v>
      </c>
      <c r="Q101">
        <v>28.046050999999999</v>
      </c>
      <c r="R101">
        <v>20.526457000000001</v>
      </c>
      <c r="S101">
        <v>16.156963000000001</v>
      </c>
      <c r="T101">
        <v>14.937571</v>
      </c>
      <c r="U101">
        <v>12.498784000000001</v>
      </c>
      <c r="V101">
        <v>10.466461000000001</v>
      </c>
      <c r="W101">
        <v>9.0438360000000007</v>
      </c>
      <c r="X101">
        <v>7.8244420000000003</v>
      </c>
      <c r="Y101">
        <v>6.8082799999999999</v>
      </c>
      <c r="Z101">
        <v>5.5888869999999997</v>
      </c>
      <c r="AA101">
        <v>4.97919</v>
      </c>
      <c r="AB101">
        <v>4.2678770000000004</v>
      </c>
      <c r="AC101">
        <v>3.4549479999999999</v>
      </c>
      <c r="AD101">
        <v>0.30484800000000001</v>
      </c>
      <c r="AE101">
        <v>0.101616</v>
      </c>
      <c r="AF101">
        <v>0.101616</v>
      </c>
    </row>
    <row r="102" spans="1:32" x14ac:dyDescent="0.35">
      <c r="A102">
        <v>5</v>
      </c>
      <c r="B102">
        <v>9.8377719999999993</v>
      </c>
      <c r="C102">
        <v>1750.1929929999999</v>
      </c>
      <c r="D102">
        <v>1730.0664059999999</v>
      </c>
      <c r="E102">
        <v>1720.511475</v>
      </c>
      <c r="F102">
        <v>1716.1405030000001</v>
      </c>
      <c r="G102">
        <v>1712.3795170000001</v>
      </c>
      <c r="H102">
        <v>1709.1267089999999</v>
      </c>
      <c r="I102">
        <v>1700.791504</v>
      </c>
      <c r="J102">
        <v>1551.1641850000001</v>
      </c>
      <c r="K102">
        <v>854.563354</v>
      </c>
      <c r="L102">
        <v>193.641403</v>
      </c>
      <c r="M102">
        <v>66.580116000000004</v>
      </c>
      <c r="N102">
        <v>55.093772999999999</v>
      </c>
      <c r="O102">
        <v>46.453606000000001</v>
      </c>
      <c r="P102">
        <v>36.288704000000003</v>
      </c>
      <c r="Q102">
        <v>25.107309000000001</v>
      </c>
      <c r="R102">
        <v>16.772089000000001</v>
      </c>
      <c r="S102">
        <v>13.62097</v>
      </c>
      <c r="T102">
        <v>12.197884</v>
      </c>
      <c r="U102">
        <v>10.368200999999999</v>
      </c>
      <c r="V102">
        <v>8.7418169999999993</v>
      </c>
      <c r="W102">
        <v>7.7253259999999999</v>
      </c>
      <c r="X102">
        <v>6.6071869999999997</v>
      </c>
      <c r="Y102">
        <v>4.9808029999999999</v>
      </c>
      <c r="Z102">
        <v>3.862663</v>
      </c>
      <c r="AA102">
        <v>2.8461729999999998</v>
      </c>
      <c r="AB102">
        <v>2.1346289999999999</v>
      </c>
      <c r="AC102">
        <v>1.6263840000000001</v>
      </c>
      <c r="AD102">
        <v>0</v>
      </c>
      <c r="AE102">
        <v>0</v>
      </c>
      <c r="AF102">
        <v>0</v>
      </c>
    </row>
    <row r="103" spans="1:32" x14ac:dyDescent="0.35">
      <c r="A103">
        <v>1</v>
      </c>
      <c r="B103">
        <v>9.4034879999999994</v>
      </c>
      <c r="C103">
        <v>1868.0302730000001</v>
      </c>
      <c r="D103">
        <v>1845.4853519999999</v>
      </c>
      <c r="E103">
        <v>1834.0002440000001</v>
      </c>
      <c r="F103">
        <v>1827.194336</v>
      </c>
      <c r="G103">
        <v>1822.30249</v>
      </c>
      <c r="H103">
        <v>1817.623413</v>
      </c>
      <c r="I103">
        <v>1809.3286129999999</v>
      </c>
      <c r="J103">
        <v>1661.085693</v>
      </c>
      <c r="K103">
        <v>897.64562999999998</v>
      </c>
      <c r="L103">
        <v>213.32508899999999</v>
      </c>
      <c r="M103">
        <v>82.522568000000007</v>
      </c>
      <c r="N103">
        <v>71.569182999999995</v>
      </c>
      <c r="O103">
        <v>61.785583000000003</v>
      </c>
      <c r="P103">
        <v>47.854584000000003</v>
      </c>
      <c r="Q103">
        <v>33.817238000000003</v>
      </c>
      <c r="R103">
        <v>24.565351</v>
      </c>
      <c r="S103">
        <v>19.673549999999999</v>
      </c>
      <c r="T103">
        <v>17.227650000000001</v>
      </c>
      <c r="U103">
        <v>14.781749</v>
      </c>
      <c r="V103">
        <v>12.016817</v>
      </c>
      <c r="W103">
        <v>10.421664</v>
      </c>
      <c r="X103">
        <v>9.1455420000000007</v>
      </c>
      <c r="Y103">
        <v>7.3377030000000003</v>
      </c>
      <c r="Z103">
        <v>6.2742680000000002</v>
      </c>
      <c r="AA103">
        <v>5.8488939999999996</v>
      </c>
      <c r="AB103">
        <v>4.9981450000000001</v>
      </c>
      <c r="AC103">
        <v>3.7220230000000001</v>
      </c>
      <c r="AD103">
        <v>1.276122</v>
      </c>
      <c r="AE103">
        <v>0.21268699999999999</v>
      </c>
      <c r="AF103">
        <v>0.10634399999999999</v>
      </c>
    </row>
    <row r="104" spans="1:32" x14ac:dyDescent="0.35">
      <c r="A104">
        <v>2</v>
      </c>
      <c r="B104">
        <v>9.8474179999999993</v>
      </c>
      <c r="C104">
        <v>1786.965942</v>
      </c>
      <c r="D104">
        <v>1766.757568</v>
      </c>
      <c r="E104">
        <v>1754.0638429999999</v>
      </c>
      <c r="F104">
        <v>1747.0570070000001</v>
      </c>
      <c r="G104">
        <v>1743.299683</v>
      </c>
      <c r="H104">
        <v>1740.2531739999999</v>
      </c>
      <c r="I104">
        <v>1733.246216</v>
      </c>
      <c r="J104">
        <v>1613.2147219999999</v>
      </c>
      <c r="K104">
        <v>909.98474099999999</v>
      </c>
      <c r="L104">
        <v>210.71513400000001</v>
      </c>
      <c r="M104">
        <v>75.552802999999997</v>
      </c>
      <c r="N104">
        <v>63.366866999999999</v>
      </c>
      <c r="O104">
        <v>52.704169999999998</v>
      </c>
      <c r="P104">
        <v>40.822884000000002</v>
      </c>
      <c r="Q104">
        <v>29.449345000000001</v>
      </c>
      <c r="R104">
        <v>20.919188999999999</v>
      </c>
      <c r="S104">
        <v>18.482002000000001</v>
      </c>
      <c r="T104">
        <v>17.060310000000001</v>
      </c>
      <c r="U104">
        <v>15.029320999999999</v>
      </c>
      <c r="V104">
        <v>12.084386</v>
      </c>
      <c r="W104">
        <v>10.459595</v>
      </c>
      <c r="X104">
        <v>9.0379020000000008</v>
      </c>
      <c r="Y104">
        <v>7.1084620000000003</v>
      </c>
      <c r="Z104">
        <v>5.9914180000000004</v>
      </c>
      <c r="AA104">
        <v>4.8743740000000004</v>
      </c>
      <c r="AB104">
        <v>3.8588800000000001</v>
      </c>
      <c r="AC104">
        <v>3.4526819999999998</v>
      </c>
      <c r="AD104">
        <v>0.60929699999999998</v>
      </c>
      <c r="AE104">
        <v>0.30464799999999997</v>
      </c>
      <c r="AF104">
        <v>0</v>
      </c>
    </row>
    <row r="105" spans="1:32" x14ac:dyDescent="0.35">
      <c r="A105">
        <v>3</v>
      </c>
      <c r="B105">
        <v>9.7709329999999994</v>
      </c>
      <c r="C105">
        <v>1832.9876710000001</v>
      </c>
      <c r="D105">
        <v>1810.0625</v>
      </c>
      <c r="E105">
        <v>1797.6788329999999</v>
      </c>
      <c r="F105">
        <v>1789.5936280000001</v>
      </c>
      <c r="G105">
        <v>1785.3975829999999</v>
      </c>
      <c r="H105">
        <v>1781.099121</v>
      </c>
      <c r="I105">
        <v>1771.9904790000001</v>
      </c>
      <c r="J105">
        <v>1603.940918</v>
      </c>
      <c r="K105">
        <v>836.97229000000004</v>
      </c>
      <c r="L105">
        <v>201.51606799999999</v>
      </c>
      <c r="M105">
        <v>76.962967000000006</v>
      </c>
      <c r="N105">
        <v>64.067573999999993</v>
      </c>
      <c r="O105">
        <v>54.856583000000001</v>
      </c>
      <c r="P105">
        <v>40.630713999999998</v>
      </c>
      <c r="Q105">
        <v>28.963456999999998</v>
      </c>
      <c r="R105">
        <v>20.366529</v>
      </c>
      <c r="S105">
        <v>17.705576000000001</v>
      </c>
      <c r="T105">
        <v>15.965722</v>
      </c>
      <c r="U105">
        <v>13.611801</v>
      </c>
      <c r="V105">
        <v>11.155537000000001</v>
      </c>
      <c r="W105">
        <v>9.8250600000000006</v>
      </c>
      <c r="X105">
        <v>8.4945830000000004</v>
      </c>
      <c r="Y105">
        <v>7.3687940000000003</v>
      </c>
      <c r="Z105">
        <v>6.6523839999999996</v>
      </c>
      <c r="AA105">
        <v>5.9359739999999999</v>
      </c>
      <c r="AB105">
        <v>5.219563</v>
      </c>
      <c r="AC105">
        <v>4.4008079999999996</v>
      </c>
      <c r="AD105">
        <v>0.51172200000000001</v>
      </c>
      <c r="AE105">
        <v>0.20468900000000001</v>
      </c>
      <c r="AF105">
        <v>0</v>
      </c>
    </row>
    <row r="106" spans="1:32" x14ac:dyDescent="0.35">
      <c r="A106">
        <v>4</v>
      </c>
      <c r="B106">
        <v>9.8387840000000004</v>
      </c>
      <c r="C106">
        <v>1774.2030030000001</v>
      </c>
      <c r="D106">
        <v>1753.2653809999999</v>
      </c>
      <c r="E106">
        <v>1740.7639160000001</v>
      </c>
      <c r="F106">
        <v>1733.3442379999999</v>
      </c>
      <c r="G106">
        <v>1728.973755</v>
      </c>
      <c r="H106">
        <v>1725.213135</v>
      </c>
      <c r="I106">
        <v>1718.0985109999999</v>
      </c>
      <c r="J106">
        <v>1591.3551030000001</v>
      </c>
      <c r="K106">
        <v>861.28527799999995</v>
      </c>
      <c r="L106">
        <v>206.12303199999999</v>
      </c>
      <c r="M106">
        <v>79.379729999999995</v>
      </c>
      <c r="N106">
        <v>65.963431999999997</v>
      </c>
      <c r="O106">
        <v>54.986469</v>
      </c>
      <c r="P106">
        <v>41.773453000000003</v>
      </c>
      <c r="Q106">
        <v>30.389935000000001</v>
      </c>
      <c r="R106">
        <v>22.258848</v>
      </c>
      <c r="S106">
        <v>17.888390000000001</v>
      </c>
      <c r="T106">
        <v>15.245786000000001</v>
      </c>
      <c r="U106">
        <v>14.026123</v>
      </c>
      <c r="V106">
        <v>11.485158999999999</v>
      </c>
      <c r="W106">
        <v>9.8589420000000008</v>
      </c>
      <c r="X106">
        <v>8.3343629999999997</v>
      </c>
      <c r="Y106">
        <v>7.521255</v>
      </c>
      <c r="Z106">
        <v>6.5048690000000002</v>
      </c>
      <c r="AA106">
        <v>5.590122</v>
      </c>
      <c r="AB106">
        <v>4.4720969999999998</v>
      </c>
      <c r="AC106">
        <v>3.7606269999999999</v>
      </c>
      <c r="AD106">
        <v>0.40655400000000003</v>
      </c>
      <c r="AE106">
        <v>0</v>
      </c>
      <c r="AF106">
        <v>0</v>
      </c>
    </row>
    <row r="107" spans="1:32" x14ac:dyDescent="0.35">
      <c r="A107">
        <v>5</v>
      </c>
      <c r="B107">
        <v>9.8422610000000006</v>
      </c>
      <c r="C107">
        <v>1677.1552730000001</v>
      </c>
      <c r="D107">
        <v>1657.3426509999999</v>
      </c>
      <c r="E107">
        <v>1646.2680660000001</v>
      </c>
      <c r="F107">
        <v>1639.5622559999999</v>
      </c>
      <c r="G107">
        <v>1634.58374</v>
      </c>
      <c r="H107">
        <v>1630.7227780000001</v>
      </c>
      <c r="I107">
        <v>1623.3057859999999</v>
      </c>
      <c r="J107">
        <v>1493.6607670000001</v>
      </c>
      <c r="K107">
        <v>845.84222399999999</v>
      </c>
      <c r="L107">
        <v>193.34986900000001</v>
      </c>
      <c r="M107">
        <v>61.977626999999998</v>
      </c>
      <c r="N107">
        <v>51.715758999999998</v>
      </c>
      <c r="O107">
        <v>43.689148000000003</v>
      </c>
      <c r="P107">
        <v>33.732086000000002</v>
      </c>
      <c r="Q107">
        <v>23.673421999999999</v>
      </c>
      <c r="R107">
        <v>17.069248000000002</v>
      </c>
      <c r="S107">
        <v>14.833989000000001</v>
      </c>
      <c r="T107">
        <v>13.513154999999999</v>
      </c>
      <c r="U107">
        <v>11.481101000000001</v>
      </c>
      <c r="V107">
        <v>9.7538560000000007</v>
      </c>
      <c r="W107">
        <v>7.7218030000000004</v>
      </c>
      <c r="X107">
        <v>6.6041730000000003</v>
      </c>
      <c r="Y107">
        <v>5.080133</v>
      </c>
      <c r="Z107">
        <v>3.962504</v>
      </c>
      <c r="AA107">
        <v>3.454491</v>
      </c>
      <c r="AB107">
        <v>3.0480800000000001</v>
      </c>
      <c r="AC107">
        <v>2.844875</v>
      </c>
      <c r="AD107">
        <v>0.40641100000000002</v>
      </c>
      <c r="AE107">
        <v>0.101603</v>
      </c>
      <c r="AF107">
        <v>0</v>
      </c>
    </row>
    <row r="108" spans="1:32" x14ac:dyDescent="0.35">
      <c r="A108">
        <v>1</v>
      </c>
      <c r="B108">
        <v>9.3969489999999993</v>
      </c>
      <c r="C108">
        <v>1752.4837649999999</v>
      </c>
      <c r="D108">
        <v>1731.9451899999999</v>
      </c>
      <c r="E108">
        <v>1722.899658</v>
      </c>
      <c r="F108">
        <v>1716.7274170000001</v>
      </c>
      <c r="G108">
        <v>1712.470703</v>
      </c>
      <c r="H108">
        <v>1709.278198</v>
      </c>
      <c r="I108">
        <v>1701.9354249999999</v>
      </c>
      <c r="J108">
        <v>1554.8664550000001</v>
      </c>
      <c r="K108">
        <v>836.228882</v>
      </c>
      <c r="L108">
        <v>185.16648900000001</v>
      </c>
      <c r="M108">
        <v>63.105590999999997</v>
      </c>
      <c r="N108">
        <v>53.102345</v>
      </c>
      <c r="O108">
        <v>44.588940000000001</v>
      </c>
      <c r="P108">
        <v>33.840770999999997</v>
      </c>
      <c r="Q108">
        <v>23.943943000000001</v>
      </c>
      <c r="R108">
        <v>17.346056000000001</v>
      </c>
      <c r="S108">
        <v>14.047112</v>
      </c>
      <c r="T108">
        <v>12.876519999999999</v>
      </c>
      <c r="U108">
        <v>10.961004000000001</v>
      </c>
      <c r="V108">
        <v>9.0454889999999999</v>
      </c>
      <c r="W108">
        <v>8.3005669999999991</v>
      </c>
      <c r="X108">
        <v>6.9171389999999997</v>
      </c>
      <c r="Y108">
        <v>5.4272939999999998</v>
      </c>
      <c r="Z108">
        <v>4.3631180000000001</v>
      </c>
      <c r="AA108">
        <v>3.5117780000000001</v>
      </c>
      <c r="AB108">
        <v>2.6604380000000001</v>
      </c>
      <c r="AC108">
        <v>2.1283500000000002</v>
      </c>
      <c r="AD108">
        <v>0.31925300000000001</v>
      </c>
      <c r="AE108">
        <v>0.106418</v>
      </c>
      <c r="AF108">
        <v>0</v>
      </c>
    </row>
    <row r="109" spans="1:32" x14ac:dyDescent="0.35">
      <c r="A109">
        <v>2</v>
      </c>
      <c r="B109">
        <v>9.8371519999999997</v>
      </c>
      <c r="C109">
        <v>1785.7811280000001</v>
      </c>
      <c r="D109">
        <v>1763.7219239999999</v>
      </c>
      <c r="E109">
        <v>1753.14978</v>
      </c>
      <c r="F109">
        <v>1747.4570309999999</v>
      </c>
      <c r="G109">
        <v>1743.594116</v>
      </c>
      <c r="H109">
        <v>1740.2395019999999</v>
      </c>
      <c r="I109">
        <v>1733.6319579999999</v>
      </c>
      <c r="J109">
        <v>1615.9149170000001</v>
      </c>
      <c r="K109">
        <v>888.671875</v>
      </c>
      <c r="L109">
        <v>195.58506800000001</v>
      </c>
      <c r="M109">
        <v>64.144585000000006</v>
      </c>
      <c r="N109">
        <v>53.267451999999999</v>
      </c>
      <c r="O109">
        <v>45.338329000000002</v>
      </c>
      <c r="P109">
        <v>33.038017000000004</v>
      </c>
      <c r="Q109">
        <v>23.177441000000002</v>
      </c>
      <c r="R109">
        <v>14.943350000000001</v>
      </c>
      <c r="S109">
        <v>11.080443000000001</v>
      </c>
      <c r="T109">
        <v>9.6572680000000002</v>
      </c>
      <c r="U109">
        <v>8.5390569999999997</v>
      </c>
      <c r="V109">
        <v>6.9125699999999997</v>
      </c>
      <c r="W109">
        <v>5.4893939999999999</v>
      </c>
      <c r="X109">
        <v>4.9811170000000002</v>
      </c>
      <c r="Y109">
        <v>4.0662180000000001</v>
      </c>
      <c r="Z109">
        <v>3.5579399999999999</v>
      </c>
      <c r="AA109">
        <v>3.252974</v>
      </c>
      <c r="AB109">
        <v>2.7446969999999999</v>
      </c>
      <c r="AC109">
        <v>2.4397310000000001</v>
      </c>
      <c r="AD109">
        <v>0</v>
      </c>
      <c r="AE109">
        <v>0</v>
      </c>
      <c r="AF109">
        <v>0</v>
      </c>
    </row>
    <row r="110" spans="1:32" x14ac:dyDescent="0.35">
      <c r="A110">
        <v>3</v>
      </c>
      <c r="B110">
        <v>9.7742649999999998</v>
      </c>
      <c r="C110">
        <v>1859.2701420000001</v>
      </c>
      <c r="D110">
        <v>1836.0458980000001</v>
      </c>
      <c r="E110">
        <v>1824.4849850000001</v>
      </c>
      <c r="F110">
        <v>1818.4487300000001</v>
      </c>
      <c r="G110">
        <v>1813.8447269999999</v>
      </c>
      <c r="H110">
        <v>1809.3431399999999</v>
      </c>
      <c r="I110">
        <v>1800.135254</v>
      </c>
      <c r="J110">
        <v>1646.261841</v>
      </c>
      <c r="K110">
        <v>878.42919900000004</v>
      </c>
      <c r="L110">
        <v>204.312027</v>
      </c>
      <c r="M110">
        <v>73.560516000000007</v>
      </c>
      <c r="N110">
        <v>62.511093000000002</v>
      </c>
      <c r="O110">
        <v>51.666285999999999</v>
      </c>
      <c r="P110">
        <v>38.979911999999999</v>
      </c>
      <c r="Q110">
        <v>25.577369999999998</v>
      </c>
      <c r="R110">
        <v>17.597231000000001</v>
      </c>
      <c r="S110">
        <v>13.811780000000001</v>
      </c>
      <c r="T110">
        <v>12.686375999999999</v>
      </c>
      <c r="U110">
        <v>10.947113999999999</v>
      </c>
      <c r="V110">
        <v>8.4916870000000007</v>
      </c>
      <c r="W110">
        <v>6.5478069999999997</v>
      </c>
      <c r="X110">
        <v>5.2177829999999998</v>
      </c>
      <c r="Y110">
        <v>4.0923790000000002</v>
      </c>
      <c r="Z110">
        <v>3.580832</v>
      </c>
      <c r="AA110">
        <v>3.2739029999999998</v>
      </c>
      <c r="AB110">
        <v>2.4554269999999998</v>
      </c>
      <c r="AC110">
        <v>1.636952</v>
      </c>
      <c r="AD110">
        <v>0.30692799999999998</v>
      </c>
      <c r="AE110">
        <v>0</v>
      </c>
      <c r="AF110">
        <v>0</v>
      </c>
    </row>
    <row r="111" spans="1:32" x14ac:dyDescent="0.35">
      <c r="A111">
        <v>4</v>
      </c>
      <c r="B111">
        <v>9.8321760000000005</v>
      </c>
      <c r="C111">
        <v>1825.231689</v>
      </c>
      <c r="D111">
        <v>1801.9407960000001</v>
      </c>
      <c r="E111">
        <v>1790.142822</v>
      </c>
      <c r="F111">
        <v>1784.345581</v>
      </c>
      <c r="G111">
        <v>1779.7687989999999</v>
      </c>
      <c r="H111">
        <v>1776.412476</v>
      </c>
      <c r="I111">
        <v>1759.122314</v>
      </c>
      <c r="J111">
        <v>1572.2867429999999</v>
      </c>
      <c r="K111">
        <v>850.26953100000003</v>
      </c>
      <c r="L111">
        <v>207.27862500000001</v>
      </c>
      <c r="M111">
        <v>74.144317999999998</v>
      </c>
      <c r="N111">
        <v>63.159973000000001</v>
      </c>
      <c r="O111">
        <v>54.006354999999999</v>
      </c>
      <c r="P111">
        <v>39.970806000000003</v>
      </c>
      <c r="Q111">
        <v>28.477927999999999</v>
      </c>
      <c r="R111">
        <v>19.934549000000001</v>
      </c>
      <c r="S111">
        <v>15.967980000000001</v>
      </c>
      <c r="T111">
        <v>14.645790999999999</v>
      </c>
      <c r="U111">
        <v>13.018481</v>
      </c>
      <c r="V111">
        <v>11.492877999999999</v>
      </c>
      <c r="W111">
        <v>9.6621539999999992</v>
      </c>
      <c r="X111">
        <v>8.1365510000000008</v>
      </c>
      <c r="Y111">
        <v>7.5263090000000004</v>
      </c>
      <c r="Z111">
        <v>6.7126539999999997</v>
      </c>
      <c r="AA111">
        <v>5.7972919999999997</v>
      </c>
      <c r="AB111">
        <v>5.2887579999999996</v>
      </c>
      <c r="AC111">
        <v>4.6785170000000003</v>
      </c>
      <c r="AD111">
        <v>1.3221890000000001</v>
      </c>
      <c r="AE111">
        <v>0.50853400000000004</v>
      </c>
      <c r="AF111">
        <v>0.20341400000000001</v>
      </c>
    </row>
    <row r="112" spans="1:32" x14ac:dyDescent="0.35">
      <c r="A112">
        <v>5</v>
      </c>
      <c r="B112">
        <v>9.1000800000000002</v>
      </c>
      <c r="C112">
        <v>1559.5467530000001</v>
      </c>
      <c r="D112">
        <v>1530.645996</v>
      </c>
      <c r="E112">
        <v>1513.8328859999999</v>
      </c>
      <c r="F112">
        <v>1505.9208980000001</v>
      </c>
      <c r="G112">
        <v>1501.7451169999999</v>
      </c>
      <c r="H112">
        <v>1496.8000489999999</v>
      </c>
      <c r="I112">
        <v>1488.009033</v>
      </c>
      <c r="J112">
        <v>1395.8120120000001</v>
      </c>
      <c r="K112">
        <v>911.31073000000004</v>
      </c>
      <c r="L112">
        <v>279.22833300000002</v>
      </c>
      <c r="M112">
        <v>136.04276999999999</v>
      </c>
      <c r="N112">
        <v>121.97695899999999</v>
      </c>
      <c r="O112">
        <v>112.41660299999999</v>
      </c>
      <c r="P112">
        <v>102.08702099999999</v>
      </c>
      <c r="Q112">
        <v>91.647552000000005</v>
      </c>
      <c r="R112">
        <v>82.306976000000006</v>
      </c>
      <c r="S112">
        <v>76.592735000000005</v>
      </c>
      <c r="T112">
        <v>74.394951000000006</v>
      </c>
      <c r="U112">
        <v>70.768615999999994</v>
      </c>
      <c r="V112">
        <v>67.471939000000006</v>
      </c>
      <c r="W112">
        <v>64.175262000000004</v>
      </c>
      <c r="X112">
        <v>62.856594000000001</v>
      </c>
      <c r="Y112">
        <v>60.658810000000003</v>
      </c>
      <c r="Z112">
        <v>58.790694999999999</v>
      </c>
      <c r="AA112">
        <v>55.494019000000002</v>
      </c>
      <c r="AB112">
        <v>53.516013999999998</v>
      </c>
      <c r="AC112">
        <v>51.86768</v>
      </c>
      <c r="AD112">
        <v>35.164527999999997</v>
      </c>
      <c r="AE112">
        <v>22.747053000000001</v>
      </c>
      <c r="AF112">
        <v>13.955921999999999</v>
      </c>
    </row>
    <row r="113" spans="1:32" x14ac:dyDescent="0.35">
      <c r="A113">
        <v>1</v>
      </c>
      <c r="B113">
        <v>9.3977529999999998</v>
      </c>
      <c r="C113">
        <v>1852.6770019999999</v>
      </c>
      <c r="D113">
        <v>1829.905518</v>
      </c>
      <c r="E113">
        <v>1818.413452</v>
      </c>
      <c r="F113">
        <v>1811.9224850000001</v>
      </c>
      <c r="G113">
        <v>1805.8572999999999</v>
      </c>
      <c r="H113">
        <v>1802.5585940000001</v>
      </c>
      <c r="I113">
        <v>1796.3869629999999</v>
      </c>
      <c r="J113">
        <v>1669.7608640000001</v>
      </c>
      <c r="K113">
        <v>920.21997099999999</v>
      </c>
      <c r="L113">
        <v>213.24246199999999</v>
      </c>
      <c r="M113">
        <v>66.611671000000001</v>
      </c>
      <c r="N113">
        <v>56.290053999999998</v>
      </c>
      <c r="O113">
        <v>48.415829000000002</v>
      </c>
      <c r="P113">
        <v>37.349353999999998</v>
      </c>
      <c r="Q113">
        <v>25.644428000000001</v>
      </c>
      <c r="R113">
        <v>17.450980999999999</v>
      </c>
      <c r="S113">
        <v>15.003587</v>
      </c>
      <c r="T113">
        <v>12.875419000000001</v>
      </c>
      <c r="U113">
        <v>11.066476</v>
      </c>
      <c r="V113">
        <v>9.1511239999999994</v>
      </c>
      <c r="W113">
        <v>7.5549970000000002</v>
      </c>
      <c r="X113">
        <v>6.3845049999999999</v>
      </c>
      <c r="Y113">
        <v>5.7460550000000001</v>
      </c>
      <c r="Z113">
        <v>4.6819709999999999</v>
      </c>
      <c r="AA113">
        <v>3.6178859999999999</v>
      </c>
      <c r="AB113">
        <v>3.0858439999999998</v>
      </c>
      <c r="AC113">
        <v>2.7666189999999999</v>
      </c>
      <c r="AD113">
        <v>0.31922499999999998</v>
      </c>
      <c r="AE113">
        <v>0.106408</v>
      </c>
      <c r="AF113">
        <v>0.106408</v>
      </c>
    </row>
    <row r="114" spans="1:32" x14ac:dyDescent="0.35">
      <c r="A114">
        <v>2</v>
      </c>
      <c r="B114">
        <v>9.8388399999999994</v>
      </c>
      <c r="C114">
        <v>1816.169312</v>
      </c>
      <c r="D114">
        <v>1793.4023440000001</v>
      </c>
      <c r="E114">
        <v>1782.4255370000001</v>
      </c>
      <c r="F114">
        <v>1773.3797609999999</v>
      </c>
      <c r="G114">
        <v>1771.0419919999999</v>
      </c>
      <c r="H114">
        <v>1767.7895510000001</v>
      </c>
      <c r="I114">
        <v>1760.8781739999999</v>
      </c>
      <c r="J114">
        <v>1644.4011230000001</v>
      </c>
      <c r="K114">
        <v>902.03716999999995</v>
      </c>
      <c r="L114">
        <v>203.98745700000001</v>
      </c>
      <c r="M114">
        <v>70.638405000000006</v>
      </c>
      <c r="N114">
        <v>58.645122999999998</v>
      </c>
      <c r="O114">
        <v>49.904254999999999</v>
      </c>
      <c r="P114">
        <v>39.333903999999997</v>
      </c>
      <c r="Q114">
        <v>28.865190999999999</v>
      </c>
      <c r="R114">
        <v>20.022684000000002</v>
      </c>
      <c r="S114">
        <v>16.871905999999999</v>
      </c>
      <c r="T114">
        <v>14.839147000000001</v>
      </c>
      <c r="U114">
        <v>12.501473000000001</v>
      </c>
      <c r="V114">
        <v>10.468712999999999</v>
      </c>
      <c r="W114">
        <v>8.8425049999999992</v>
      </c>
      <c r="X114">
        <v>6.8097450000000004</v>
      </c>
      <c r="Y114">
        <v>5.3868140000000002</v>
      </c>
      <c r="Z114">
        <v>4.4720719999999998</v>
      </c>
      <c r="AA114">
        <v>3.862244</v>
      </c>
      <c r="AB114">
        <v>3.04914</v>
      </c>
      <c r="AC114">
        <v>2.6425879999999999</v>
      </c>
      <c r="AD114">
        <v>0.20327600000000001</v>
      </c>
      <c r="AE114">
        <v>0</v>
      </c>
      <c r="AF114">
        <v>0</v>
      </c>
    </row>
    <row r="115" spans="1:32" x14ac:dyDescent="0.35">
      <c r="A115">
        <v>3</v>
      </c>
      <c r="B115">
        <v>9.7722610000000003</v>
      </c>
      <c r="C115">
        <v>1907.951538</v>
      </c>
      <c r="D115">
        <v>1883.1876219999999</v>
      </c>
      <c r="E115">
        <v>1872.1358640000001</v>
      </c>
      <c r="F115">
        <v>1864.8704829999999</v>
      </c>
      <c r="G115">
        <v>1858.6282960000001</v>
      </c>
      <c r="H115">
        <v>1854.944336</v>
      </c>
      <c r="I115">
        <v>1845.7346190000001</v>
      </c>
      <c r="J115">
        <v>1686.099121</v>
      </c>
      <c r="K115">
        <v>886.07952899999998</v>
      </c>
      <c r="L115">
        <v>202.30732699999999</v>
      </c>
      <c r="M115">
        <v>69.584716999999998</v>
      </c>
      <c r="N115">
        <v>59.249339999999997</v>
      </c>
      <c r="O115">
        <v>50.960571000000002</v>
      </c>
      <c r="P115">
        <v>38.169266</v>
      </c>
      <c r="Q115">
        <v>26.503592000000001</v>
      </c>
      <c r="R115">
        <v>18.624146</v>
      </c>
      <c r="S115">
        <v>15.656561999999999</v>
      </c>
      <c r="T115">
        <v>14.121605000000001</v>
      </c>
      <c r="U115">
        <v>12.381987000000001</v>
      </c>
      <c r="V115">
        <v>10.540037999999999</v>
      </c>
      <c r="W115">
        <v>8.5957589999999993</v>
      </c>
      <c r="X115">
        <v>6.7538109999999998</v>
      </c>
      <c r="Y115">
        <v>5.3211839999999997</v>
      </c>
      <c r="Z115">
        <v>4.5025409999999999</v>
      </c>
      <c r="AA115">
        <v>3.7862269999999998</v>
      </c>
      <c r="AB115">
        <v>2.967584</v>
      </c>
      <c r="AC115">
        <v>2.3536009999999998</v>
      </c>
      <c r="AD115">
        <v>0.20466100000000001</v>
      </c>
      <c r="AE115">
        <v>0</v>
      </c>
      <c r="AF115">
        <v>0</v>
      </c>
    </row>
    <row r="116" spans="1:32" x14ac:dyDescent="0.35">
      <c r="A116">
        <v>4</v>
      </c>
      <c r="B116">
        <v>9.8395860000000006</v>
      </c>
      <c r="C116">
        <v>1826.3979489999999</v>
      </c>
      <c r="D116">
        <v>1804.4458010000001</v>
      </c>
      <c r="E116">
        <v>1792.351807</v>
      </c>
      <c r="F116">
        <v>1784.7294919999999</v>
      </c>
      <c r="G116">
        <v>1780.359375</v>
      </c>
      <c r="H116">
        <v>1776.9039310000001</v>
      </c>
      <c r="I116">
        <v>1771.1110839999999</v>
      </c>
      <c r="J116">
        <v>1650.5775149999999</v>
      </c>
      <c r="K116">
        <v>918.02642800000001</v>
      </c>
      <c r="L116">
        <v>211.18774400000001</v>
      </c>
      <c r="M116">
        <v>68.600448999999998</v>
      </c>
      <c r="N116">
        <v>57.827632999999999</v>
      </c>
      <c r="O116">
        <v>48.579276999999998</v>
      </c>
      <c r="P116">
        <v>37.501575000000003</v>
      </c>
      <c r="Q116">
        <v>24.899422000000001</v>
      </c>
      <c r="R116">
        <v>16.667368</v>
      </c>
      <c r="S116">
        <v>12.602156000000001</v>
      </c>
      <c r="T116">
        <v>10.976070999999999</v>
      </c>
      <c r="U116">
        <v>9.7565080000000002</v>
      </c>
      <c r="V116">
        <v>8.3336839999999999</v>
      </c>
      <c r="W116">
        <v>6.605969</v>
      </c>
      <c r="X116">
        <v>5.3864049999999999</v>
      </c>
      <c r="Y116">
        <v>4.3701020000000002</v>
      </c>
      <c r="Z116">
        <v>3.3538000000000001</v>
      </c>
      <c r="AA116">
        <v>2.5407570000000002</v>
      </c>
      <c r="AB116">
        <v>2.0326059999999999</v>
      </c>
      <c r="AC116">
        <v>1.4228240000000001</v>
      </c>
      <c r="AD116">
        <v>0.203261</v>
      </c>
      <c r="AE116">
        <v>0.10163</v>
      </c>
      <c r="AF116">
        <v>0.10163</v>
      </c>
    </row>
    <row r="117" spans="1:32" x14ac:dyDescent="0.35">
      <c r="A117">
        <v>5</v>
      </c>
      <c r="B117">
        <v>9.8540539999999996</v>
      </c>
      <c r="C117">
        <v>1571.3328859999999</v>
      </c>
      <c r="D117">
        <v>1553.4722899999999</v>
      </c>
      <c r="E117">
        <v>1542.6137699999999</v>
      </c>
      <c r="F117">
        <v>1535.9160159999999</v>
      </c>
      <c r="G117">
        <v>1532.871582</v>
      </c>
      <c r="H117">
        <v>1530.7404790000001</v>
      </c>
      <c r="I117">
        <v>1524.347168</v>
      </c>
      <c r="J117">
        <v>1441.9445800000001</v>
      </c>
      <c r="K117">
        <v>872.73718299999996</v>
      </c>
      <c r="L117">
        <v>199.61326600000001</v>
      </c>
      <c r="M117">
        <v>62.207897000000003</v>
      </c>
      <c r="N117">
        <v>51.653866000000001</v>
      </c>
      <c r="O117">
        <v>43.230938000000002</v>
      </c>
      <c r="P117">
        <v>33.184311000000001</v>
      </c>
      <c r="Q117">
        <v>23.137684</v>
      </c>
      <c r="R117">
        <v>15.729566</v>
      </c>
      <c r="S117">
        <v>13.192539</v>
      </c>
      <c r="T117">
        <v>11.873284999999999</v>
      </c>
      <c r="U117">
        <v>10.554031</v>
      </c>
      <c r="V117">
        <v>8.1184849999999997</v>
      </c>
      <c r="W117">
        <v>6.7992319999999999</v>
      </c>
      <c r="X117">
        <v>5.3784970000000003</v>
      </c>
      <c r="Y117">
        <v>4.3636860000000004</v>
      </c>
      <c r="Z117">
        <v>3.4503560000000002</v>
      </c>
      <c r="AA117">
        <v>3.044432</v>
      </c>
      <c r="AB117">
        <v>2.6385079999999999</v>
      </c>
      <c r="AC117">
        <v>1.826659</v>
      </c>
      <c r="AD117">
        <v>0.30444300000000002</v>
      </c>
      <c r="AE117">
        <v>0</v>
      </c>
      <c r="AF117">
        <v>0</v>
      </c>
    </row>
  </sheetData>
  <mergeCells count="1">
    <mergeCell ref="A2:E2"/>
  </mergeCells>
  <conditionalFormatting sqref="H9:H40">
    <cfRule type="cellIs" dxfId="42" priority="1" operator="greaterThan">
      <formula>1000</formula>
    </cfRule>
  </conditionalFormatting>
  <conditionalFormatting sqref="K9:K40">
    <cfRule type="cellIs" dxfId="41"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B3E80-3A2A-4DC4-8664-797C57DBC067}">
  <sheetPr codeName="Sheet18"/>
  <dimension ref="A1:AW82"/>
  <sheetViews>
    <sheetView zoomScale="70" zoomScaleNormal="70" workbookViewId="0">
      <selection activeCell="B53" sqref="B53"/>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182</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15">
        <f>G52</f>
        <v>9.3964200000000009</v>
      </c>
      <c r="C8" s="15">
        <f t="shared" ref="C8:F8" si="0">H52</f>
        <v>9.8391719999999996</v>
      </c>
      <c r="D8" s="15">
        <f t="shared" si="0"/>
        <v>9.7717980000000004</v>
      </c>
      <c r="E8" s="15">
        <f t="shared" si="0"/>
        <v>9.8409580000000005</v>
      </c>
      <c r="F8" s="15">
        <f t="shared" si="0"/>
        <v>9.8377719999999993</v>
      </c>
      <c r="G8" s="78">
        <f>AVERAGE(B$8:F$8)*5</f>
        <v>48.686120000000003</v>
      </c>
      <c r="I8" s="79"/>
      <c r="K8" s="79"/>
    </row>
    <row r="9" spans="1:49" ht="13.15" x14ac:dyDescent="0.4">
      <c r="A9" s="68" t="s">
        <v>140</v>
      </c>
      <c r="B9" s="15">
        <f t="shared" ref="B9:F9" si="1">G53</f>
        <v>1826.3339840000001</v>
      </c>
      <c r="C9" s="15">
        <f t="shared" si="1"/>
        <v>1807.367432</v>
      </c>
      <c r="D9" s="15">
        <f t="shared" si="1"/>
        <v>1885.8350829999999</v>
      </c>
      <c r="E9" s="15">
        <f t="shared" si="1"/>
        <v>1797.4876710000001</v>
      </c>
      <c r="F9" s="15">
        <f t="shared" si="1"/>
        <v>1750.1929929999999</v>
      </c>
      <c r="G9" s="80">
        <f t="shared" ref="G9:G38" si="2">AVERAGE(B9:F9)</f>
        <v>1813.4434325999998</v>
      </c>
      <c r="H9" s="81">
        <f t="shared" ref="H9:H38" si="3">G9*G$8</f>
        <v>88289.52457277551</v>
      </c>
      <c r="I9" s="79">
        <f t="shared" ref="I9:I38" si="4">STDEVP(B9:F9)/AVERAGE(B9:F9)</f>
        <v>2.4286832239745679E-2</v>
      </c>
      <c r="J9" s="79">
        <f t="shared" ref="J9:J38" si="5">IF(H9&gt;$A$43, $C$43, IF(H9&gt;$A$44, $C$44, IF(H9&gt;$A$45,$C$45,IF(H9&gt;$A$46,$C$46, IF(H9&gt;$A$47,$C$47,IF(H9&gt;$A$48,$C$48,$C$49))))))/100</f>
        <v>0.11</v>
      </c>
      <c r="K9" s="79">
        <f t="shared" ref="K9:K38" si="6">(MAX(B9:F9)-MIN(B9:F9))/G9</f>
        <v>7.4798081683488227E-2</v>
      </c>
      <c r="L9">
        <f t="shared" ref="L9:L38" si="7">COUNTA(B9:F9)</f>
        <v>5</v>
      </c>
      <c r="P9" s="42"/>
    </row>
    <row r="10" spans="1:49" ht="13.15" x14ac:dyDescent="0.4">
      <c r="A10" s="68" t="s">
        <v>141</v>
      </c>
      <c r="B10" s="15">
        <f t="shared" ref="B10:F10" si="8">G54</f>
        <v>1803.772217</v>
      </c>
      <c r="C10" s="15">
        <f t="shared" si="8"/>
        <v>1784.8045649999999</v>
      </c>
      <c r="D10" s="15">
        <f t="shared" si="8"/>
        <v>1861.274658</v>
      </c>
      <c r="E10" s="15">
        <f t="shared" si="8"/>
        <v>1776.6563719999999</v>
      </c>
      <c r="F10" s="15">
        <f t="shared" si="8"/>
        <v>1730.0664059999999</v>
      </c>
      <c r="G10" s="80">
        <f t="shared" si="2"/>
        <v>1791.3148435999999</v>
      </c>
      <c r="H10" s="81">
        <f t="shared" si="3"/>
        <v>87212.169433290837</v>
      </c>
      <c r="I10" s="79">
        <f t="shared" si="4"/>
        <v>2.3760945820133283E-2</v>
      </c>
      <c r="J10" s="79">
        <f t="shared" si="5"/>
        <v>0.11</v>
      </c>
      <c r="K10" s="79">
        <f t="shared" si="6"/>
        <v>7.3246895970733611E-2</v>
      </c>
      <c r="L10">
        <f t="shared" si="7"/>
        <v>5</v>
      </c>
      <c r="P10" s="42"/>
    </row>
    <row r="11" spans="1:49" ht="13.15" x14ac:dyDescent="0.4">
      <c r="A11" s="68" t="s">
        <v>142</v>
      </c>
      <c r="B11" s="15">
        <f t="shared" ref="B11:F11" si="9">G55</f>
        <v>1792.278442</v>
      </c>
      <c r="C11" s="15">
        <f t="shared" si="9"/>
        <v>1771.8969729999999</v>
      </c>
      <c r="D11" s="15"/>
      <c r="E11" s="15">
        <f t="shared" si="9"/>
        <v>1765.783447</v>
      </c>
      <c r="F11" s="15">
        <f t="shared" si="9"/>
        <v>1720.511475</v>
      </c>
      <c r="G11" s="80">
        <f t="shared" si="2"/>
        <v>1762.6175842499999</v>
      </c>
      <c r="H11" s="81">
        <f t="shared" si="3"/>
        <v>85815.01122090561</v>
      </c>
      <c r="I11" s="79">
        <f t="shared" si="4"/>
        <v>1.4872538750485463E-2</v>
      </c>
      <c r="J11" s="79">
        <f t="shared" si="5"/>
        <v>0.11</v>
      </c>
      <c r="K11" s="79">
        <f t="shared" si="6"/>
        <v>4.0716130169855945E-2</v>
      </c>
      <c r="L11">
        <f t="shared" si="7"/>
        <v>4</v>
      </c>
      <c r="P11" s="42"/>
    </row>
    <row r="12" spans="1:49" ht="13.15" x14ac:dyDescent="0.4">
      <c r="A12" s="68" t="s">
        <v>143</v>
      </c>
      <c r="B12" s="15">
        <f t="shared" ref="B12:F12" si="10">G56</f>
        <v>1785.8930660000001</v>
      </c>
      <c r="C12" s="15">
        <f t="shared" si="10"/>
        <v>1764.7825929999999</v>
      </c>
      <c r="D12" s="15">
        <f t="shared" si="10"/>
        <v>1840.1936040000001</v>
      </c>
      <c r="E12" s="15">
        <f t="shared" si="10"/>
        <v>1759.4832759999999</v>
      </c>
      <c r="F12" s="15">
        <f t="shared" si="10"/>
        <v>1716.1405030000001</v>
      </c>
      <c r="G12" s="80">
        <f t="shared" si="2"/>
        <v>1773.2986083999999</v>
      </c>
      <c r="H12" s="81">
        <f t="shared" si="3"/>
        <v>86335.028844395405</v>
      </c>
      <c r="I12" s="79">
        <f t="shared" si="4"/>
        <v>2.2786861321393671E-2</v>
      </c>
      <c r="J12" s="79">
        <f t="shared" si="5"/>
        <v>0.11</v>
      </c>
      <c r="K12" s="79">
        <f t="shared" si="6"/>
        <v>6.9956126064932622E-2</v>
      </c>
      <c r="L12">
        <f t="shared" si="7"/>
        <v>5</v>
      </c>
      <c r="P12" s="42"/>
    </row>
    <row r="13" spans="1:49" ht="13.15" x14ac:dyDescent="0.4">
      <c r="A13" s="68" t="s">
        <v>144</v>
      </c>
      <c r="B13" s="15">
        <f t="shared" ref="B13:F13" si="11">G57</f>
        <v>1781.3167719999999</v>
      </c>
      <c r="C13" s="15">
        <f t="shared" si="11"/>
        <v>1760.107422</v>
      </c>
      <c r="D13" s="15">
        <f t="shared" si="11"/>
        <v>1837.1235349999999</v>
      </c>
      <c r="E13" s="15">
        <f t="shared" si="11"/>
        <v>1755.1137699999999</v>
      </c>
      <c r="F13" s="15">
        <f t="shared" si="11"/>
        <v>1712.3795170000001</v>
      </c>
      <c r="G13" s="80">
        <f t="shared" si="2"/>
        <v>1769.2082031999998</v>
      </c>
      <c r="H13" s="81">
        <f t="shared" si="3"/>
        <v>86135.882885979576</v>
      </c>
      <c r="I13" s="79">
        <f t="shared" si="4"/>
        <v>2.2987465020118687E-2</v>
      </c>
      <c r="J13" s="79">
        <f t="shared" si="5"/>
        <v>0.11</v>
      </c>
      <c r="K13" s="79">
        <f t="shared" si="6"/>
        <v>7.0508387749035437E-2</v>
      </c>
      <c r="L13">
        <f t="shared" si="7"/>
        <v>5</v>
      </c>
      <c r="P13" s="42"/>
    </row>
    <row r="14" spans="1:49" ht="13.15" x14ac:dyDescent="0.4">
      <c r="A14" s="68" t="s">
        <v>145</v>
      </c>
      <c r="B14" s="15">
        <f t="shared" ref="B14:F14" si="12">G58</f>
        <v>1777.6983640000001</v>
      </c>
      <c r="C14" s="15">
        <f t="shared" si="12"/>
        <v>1756.753418</v>
      </c>
      <c r="D14" s="15">
        <f t="shared" si="12"/>
        <v>1833.030029</v>
      </c>
      <c r="E14" s="15">
        <f t="shared" si="12"/>
        <v>1752.674927</v>
      </c>
      <c r="F14" s="15">
        <f t="shared" si="12"/>
        <v>1709.1267089999999</v>
      </c>
      <c r="G14" s="80">
        <f t="shared" si="2"/>
        <v>1765.8566894000001</v>
      </c>
      <c r="H14" s="81">
        <f t="shared" si="3"/>
        <v>85972.710682931138</v>
      </c>
      <c r="I14" s="79">
        <f t="shared" si="4"/>
        <v>2.2831550779618834E-2</v>
      </c>
      <c r="J14" s="79">
        <f t="shared" si="5"/>
        <v>0.11</v>
      </c>
      <c r="K14" s="79">
        <f t="shared" si="6"/>
        <v>7.0166124320145018E-2</v>
      </c>
      <c r="L14">
        <f t="shared" si="7"/>
        <v>5</v>
      </c>
      <c r="P14" s="42"/>
    </row>
    <row r="15" spans="1:49" ht="13.15" x14ac:dyDescent="0.4">
      <c r="A15" s="68" t="s">
        <v>146</v>
      </c>
      <c r="B15" s="15">
        <f t="shared" ref="B15:F15" si="13">G59</f>
        <v>1769.929443</v>
      </c>
      <c r="C15" s="15">
        <f t="shared" si="13"/>
        <v>1749.8422849999999</v>
      </c>
      <c r="D15" s="15">
        <f t="shared" si="13"/>
        <v>1823.205933</v>
      </c>
      <c r="E15" s="15">
        <f t="shared" si="13"/>
        <v>1746.273193</v>
      </c>
      <c r="F15" s="15">
        <f t="shared" si="13"/>
        <v>1700.791504</v>
      </c>
      <c r="G15" s="80">
        <f t="shared" si="2"/>
        <v>1758.0084716000001</v>
      </c>
      <c r="H15" s="81">
        <f t="shared" si="3"/>
        <v>85590.611409334204</v>
      </c>
      <c r="I15" s="79">
        <f t="shared" si="4"/>
        <v>2.2568831859014354E-2</v>
      </c>
      <c r="J15" s="79">
        <f t="shared" si="5"/>
        <v>0.11</v>
      </c>
      <c r="K15" s="79">
        <f t="shared" si="6"/>
        <v>6.9632445450383981E-2</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15">
        <f t="shared" ref="B16:F16" si="14">G60</f>
        <v>1620.5108640000001</v>
      </c>
      <c r="C16" s="15">
        <f t="shared" si="14"/>
        <v>1619.0385739999999</v>
      </c>
      <c r="D16" s="15">
        <f t="shared" si="14"/>
        <v>1655.273682</v>
      </c>
      <c r="E16" s="15">
        <f t="shared" si="14"/>
        <v>1625.2482910000001</v>
      </c>
      <c r="F16" s="15">
        <f t="shared" si="14"/>
        <v>1551.1641850000001</v>
      </c>
      <c r="G16" s="80">
        <f t="shared" si="2"/>
        <v>1614.2471192</v>
      </c>
      <c r="H16" s="81">
        <f t="shared" si="3"/>
        <v>78591.428955025505</v>
      </c>
      <c r="I16" s="79">
        <f t="shared" si="4"/>
        <v>2.1182096940718188E-2</v>
      </c>
      <c r="J16" s="79">
        <f t="shared" si="5"/>
        <v>0.11</v>
      </c>
      <c r="K16" s="79">
        <f t="shared" si="6"/>
        <v>6.4494150716895959E-2</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15">
        <f t="shared" ref="B17:F17" si="15">G61</f>
        <v>860.540527</v>
      </c>
      <c r="C17" s="15">
        <f t="shared" si="15"/>
        <v>883.509277</v>
      </c>
      <c r="D17" s="15">
        <f t="shared" si="15"/>
        <v>879.77667199999996</v>
      </c>
      <c r="E17" s="15">
        <f t="shared" si="15"/>
        <v>894.72997999999995</v>
      </c>
      <c r="F17" s="15">
        <f t="shared" si="15"/>
        <v>854.563354</v>
      </c>
      <c r="G17" s="80">
        <f t="shared" si="2"/>
        <v>874.62396200000001</v>
      </c>
      <c r="H17" s="81">
        <f t="shared" si="3"/>
        <v>42582.047168807439</v>
      </c>
      <c r="I17" s="79">
        <f t="shared" si="4"/>
        <v>1.7039516822023398E-2</v>
      </c>
      <c r="J17" s="79">
        <f t="shared" si="5"/>
        <v>0.11</v>
      </c>
      <c r="K17" s="79">
        <f t="shared" si="6"/>
        <v>4.5924451816013644E-2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15">
        <f t="shared" ref="B18:F18" si="16">G62</f>
        <v>204.86526499999999</v>
      </c>
      <c r="C18" s="15">
        <f t="shared" si="16"/>
        <v>205.403458</v>
      </c>
      <c r="D18" s="15">
        <f t="shared" si="16"/>
        <v>205.79631000000001</v>
      </c>
      <c r="E18" s="15">
        <f t="shared" si="16"/>
        <v>207.09367399999999</v>
      </c>
      <c r="F18" s="15">
        <f t="shared" si="16"/>
        <v>193.641403</v>
      </c>
      <c r="G18" s="80">
        <f t="shared" si="2"/>
        <v>203.36002200000001</v>
      </c>
      <c r="H18" s="81">
        <f t="shared" si="3"/>
        <v>9900.8104342946408</v>
      </c>
      <c r="I18" s="79">
        <f t="shared" si="4"/>
        <v>2.4167205309953477E-2</v>
      </c>
      <c r="J18" s="79">
        <f t="shared" si="5"/>
        <v>0.113</v>
      </c>
      <c r="K18" s="79">
        <f t="shared" si="6"/>
        <v>6.615002726543763E-2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15">
        <f t="shared" ref="B19:F19" si="17">G63</f>
        <v>73.964340000000007</v>
      </c>
      <c r="C19" s="15">
        <f t="shared" si="17"/>
        <v>69.416404999999997</v>
      </c>
      <c r="D19" s="15">
        <f t="shared" si="17"/>
        <v>76.342140000000001</v>
      </c>
      <c r="E19" s="15">
        <f t="shared" si="17"/>
        <v>70.724823000000001</v>
      </c>
      <c r="F19" s="15">
        <f t="shared" si="17"/>
        <v>66.580116000000004</v>
      </c>
      <c r="G19" s="80">
        <f t="shared" si="2"/>
        <v>71.405564800000008</v>
      </c>
      <c r="H19" s="81">
        <f t="shared" si="3"/>
        <v>3476.4598965205764</v>
      </c>
      <c r="I19" s="79">
        <f t="shared" si="4"/>
        <v>4.7952813940606874E-2</v>
      </c>
      <c r="J19" s="79">
        <f t="shared" si="5"/>
        <v>0.11900000000000001</v>
      </c>
      <c r="K19" s="79">
        <f t="shared" si="6"/>
        <v>0.13671237007007045</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15">
        <f t="shared" ref="B20:F20" si="18">G64</f>
        <v>61.299945999999998</v>
      </c>
      <c r="C20" s="15">
        <f t="shared" si="18"/>
        <v>58.643143000000002</v>
      </c>
      <c r="D20" s="15">
        <f t="shared" si="18"/>
        <v>64.471244999999996</v>
      </c>
      <c r="E20" s="15">
        <f t="shared" si="18"/>
        <v>60.156745999999998</v>
      </c>
      <c r="F20" s="15">
        <f t="shared" si="18"/>
        <v>55.093772999999999</v>
      </c>
      <c r="G20" s="80">
        <f t="shared" si="2"/>
        <v>59.932970599999997</v>
      </c>
      <c r="H20" s="81">
        <f t="shared" si="3"/>
        <v>2917.9037985880718</v>
      </c>
      <c r="I20" s="79">
        <f t="shared" si="4"/>
        <v>5.147957711056917E-2</v>
      </c>
      <c r="J20" s="79">
        <f t="shared" si="5"/>
        <v>0.11900000000000001</v>
      </c>
      <c r="K20" s="79">
        <f t="shared" si="6"/>
        <v>0.15646599703169056</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15">
        <f t="shared" ref="B21:F21" si="19">G65</f>
        <v>51.402557000000002</v>
      </c>
      <c r="C21" s="15">
        <f t="shared" si="19"/>
        <v>48.784592000000004</v>
      </c>
      <c r="D21" s="15">
        <f t="shared" si="19"/>
        <v>54.135379999999998</v>
      </c>
      <c r="E21" s="15">
        <f t="shared" si="19"/>
        <v>50.198368000000002</v>
      </c>
      <c r="F21" s="15">
        <f t="shared" si="19"/>
        <v>46.453606000000001</v>
      </c>
      <c r="G21" s="80">
        <f t="shared" si="2"/>
        <v>50.194900599999997</v>
      </c>
      <c r="H21" s="81">
        <f t="shared" si="3"/>
        <v>2443.7949539996721</v>
      </c>
      <c r="I21" s="79">
        <f t="shared" si="4"/>
        <v>5.1159768273032938E-2</v>
      </c>
      <c r="J21" s="79">
        <f t="shared" si="5"/>
        <v>0.11900000000000001</v>
      </c>
      <c r="K21" s="79">
        <f t="shared" si="6"/>
        <v>0.15303893240501801</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15">
        <f t="shared" ref="B22:F22" si="20">G66</f>
        <v>40.653782</v>
      </c>
      <c r="C22" s="15">
        <f t="shared" si="20"/>
        <v>38.011325999999997</v>
      </c>
      <c r="D22" s="15">
        <f t="shared" si="20"/>
        <v>40.831791000000003</v>
      </c>
      <c r="E22" s="15">
        <f t="shared" si="20"/>
        <v>38.410896000000001</v>
      </c>
      <c r="F22" s="15">
        <f t="shared" si="20"/>
        <v>36.288704000000003</v>
      </c>
      <c r="G22" s="80">
        <f t="shared" si="2"/>
        <v>38.839299800000006</v>
      </c>
      <c r="H22" s="81">
        <f t="shared" si="3"/>
        <v>1890.9348107787764</v>
      </c>
      <c r="I22" s="79">
        <f t="shared" si="4"/>
        <v>4.4052371129433762E-2</v>
      </c>
      <c r="J22" s="79">
        <f t="shared" si="5"/>
        <v>0.13400000000000001</v>
      </c>
      <c r="K22" s="79">
        <f t="shared" si="6"/>
        <v>0.11697139298067365</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15">
        <f t="shared" ref="B23:F23" si="21">G67</f>
        <v>28.734348000000001</v>
      </c>
      <c r="C23" s="15">
        <f t="shared" si="21"/>
        <v>27.542967000000001</v>
      </c>
      <c r="D23" s="15">
        <f t="shared" si="21"/>
        <v>26.914186000000001</v>
      </c>
      <c r="E23" s="15">
        <f t="shared" si="21"/>
        <v>28.046050999999999</v>
      </c>
      <c r="F23" s="15">
        <f t="shared" si="21"/>
        <v>25.107309000000001</v>
      </c>
      <c r="G23" s="80">
        <f t="shared" si="2"/>
        <v>27.268972199999997</v>
      </c>
      <c r="H23" s="81">
        <f t="shared" si="3"/>
        <v>1327.6204528058638</v>
      </c>
      <c r="I23" s="79">
        <f t="shared" si="4"/>
        <v>4.5285966742767435E-2</v>
      </c>
      <c r="J23" s="79">
        <f t="shared" si="5"/>
        <v>0.13400000000000001</v>
      </c>
      <c r="K23" s="79">
        <f t="shared" si="6"/>
        <v>0.1330097435795545</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15">
        <f t="shared" ref="B24:F24" si="22">G68</f>
        <v>20.859009</v>
      </c>
      <c r="C24" s="15">
        <f t="shared" si="22"/>
        <v>19.310568</v>
      </c>
      <c r="D24" s="15">
        <f t="shared" si="22"/>
        <v>19.239038000000001</v>
      </c>
      <c r="E24" s="15">
        <f t="shared" si="22"/>
        <v>20.526457000000001</v>
      </c>
      <c r="F24" s="15">
        <f t="shared" si="22"/>
        <v>16.772089000000001</v>
      </c>
      <c r="G24" s="80">
        <f t="shared" si="2"/>
        <v>19.341432200000003</v>
      </c>
      <c r="H24" s="81">
        <f t="shared" si="3"/>
        <v>941.65928906106421</v>
      </c>
      <c r="I24" s="79">
        <f t="shared" si="4"/>
        <v>7.4280053637643492E-2</v>
      </c>
      <c r="J24" s="79">
        <f t="shared" si="5"/>
        <v>0.156</v>
      </c>
      <c r="K24" s="79">
        <f t="shared" si="6"/>
        <v>0.21130389713332595</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15">
        <f t="shared" ref="B25:F25" si="23">G69</f>
        <v>18.091996999999999</v>
      </c>
      <c r="C25" s="15">
        <f t="shared" si="23"/>
        <v>16.159894999999999</v>
      </c>
      <c r="D25" s="15">
        <f t="shared" si="23"/>
        <v>15.554967</v>
      </c>
      <c r="E25" s="15">
        <f t="shared" si="23"/>
        <v>16.156963000000001</v>
      </c>
      <c r="F25" s="15">
        <f t="shared" si="23"/>
        <v>13.62097</v>
      </c>
      <c r="G25" s="80">
        <f t="shared" si="2"/>
        <v>15.916958399999999</v>
      </c>
      <c r="H25" s="81">
        <f t="shared" si="3"/>
        <v>774.93494669740801</v>
      </c>
      <c r="I25" s="79">
        <f t="shared" si="4"/>
        <v>8.9953308629623474E-2</v>
      </c>
      <c r="J25" s="79">
        <f t="shared" si="5"/>
        <v>0.156</v>
      </c>
      <c r="K25" s="79">
        <f t="shared" si="6"/>
        <v>0.28089707139022241</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15">
        <f t="shared" ref="B26:F26" si="24">G70</f>
        <v>15.537832999999999</v>
      </c>
      <c r="C26" s="15">
        <f t="shared" si="24"/>
        <v>13.822301</v>
      </c>
      <c r="D26" s="15">
        <f t="shared" si="24"/>
        <v>14.019938</v>
      </c>
      <c r="E26" s="15">
        <f t="shared" si="24"/>
        <v>14.937571</v>
      </c>
      <c r="F26" s="15">
        <f t="shared" si="24"/>
        <v>12.197884</v>
      </c>
      <c r="G26" s="80">
        <f t="shared" si="2"/>
        <v>14.103105399999999</v>
      </c>
      <c r="H26" s="81">
        <f t="shared" si="3"/>
        <v>686.62548187704795</v>
      </c>
      <c r="I26" s="79">
        <f t="shared" si="4"/>
        <v>8.0661489042966522E-2</v>
      </c>
      <c r="J26" s="79">
        <f t="shared" si="5"/>
        <v>0.156</v>
      </c>
      <c r="K26" s="79">
        <f t="shared" si="6"/>
        <v>0.23682365729181881</v>
      </c>
      <c r="L26">
        <f t="shared" si="7"/>
        <v>5</v>
      </c>
      <c r="P26" s="42"/>
    </row>
    <row r="27" spans="1:49" ht="13.15" x14ac:dyDescent="0.4">
      <c r="A27" s="68" t="s">
        <v>158</v>
      </c>
      <c r="B27" s="15">
        <f t="shared" ref="B27:F27" si="25">G71</f>
        <v>13.090093</v>
      </c>
      <c r="C27" s="15">
        <f t="shared" si="25"/>
        <v>11.687975</v>
      </c>
      <c r="D27" s="15">
        <f t="shared" si="25"/>
        <v>11.768560000000001</v>
      </c>
      <c r="E27" s="15">
        <f t="shared" si="25"/>
        <v>12.498784000000001</v>
      </c>
      <c r="F27" s="15">
        <f t="shared" si="25"/>
        <v>10.368200999999999</v>
      </c>
      <c r="G27" s="80">
        <f t="shared" si="2"/>
        <v>11.882722599999999</v>
      </c>
      <c r="H27" s="81">
        <f t="shared" si="3"/>
        <v>578.52365843031203</v>
      </c>
      <c r="I27" s="79">
        <f t="shared" si="4"/>
        <v>7.6964701616251463E-2</v>
      </c>
      <c r="J27" s="79">
        <f t="shared" si="5"/>
        <v>0.156</v>
      </c>
      <c r="K27" s="79">
        <f t="shared" si="6"/>
        <v>0.22906299268485833</v>
      </c>
      <c r="L27">
        <f t="shared" si="7"/>
        <v>5</v>
      </c>
      <c r="P27" s="42"/>
    </row>
    <row r="28" spans="1:49" ht="13.15" x14ac:dyDescent="0.4">
      <c r="A28" s="68" t="s">
        <v>159</v>
      </c>
      <c r="B28" s="15">
        <f t="shared" ref="B28:F28" si="26">G72</f>
        <v>10.855199000000001</v>
      </c>
      <c r="C28" s="15">
        <f t="shared" si="26"/>
        <v>9.4520149999999994</v>
      </c>
      <c r="D28" s="15">
        <f t="shared" si="26"/>
        <v>9.9265249999999998</v>
      </c>
      <c r="E28" s="15">
        <f t="shared" si="26"/>
        <v>10.466461000000001</v>
      </c>
      <c r="F28" s="15">
        <f t="shared" si="26"/>
        <v>8.7418169999999993</v>
      </c>
      <c r="G28" s="80">
        <f t="shared" si="2"/>
        <v>9.8884033999999996</v>
      </c>
      <c r="H28" s="81">
        <f t="shared" si="3"/>
        <v>481.42799454080802</v>
      </c>
      <c r="I28" s="79">
        <f t="shared" si="4"/>
        <v>7.534441237864975E-2</v>
      </c>
      <c r="J28" s="79">
        <f t="shared" si="5"/>
        <v>0.193</v>
      </c>
      <c r="K28" s="79">
        <f t="shared" si="6"/>
        <v>0.21372327912916675</v>
      </c>
      <c r="L28">
        <f t="shared" si="7"/>
        <v>5</v>
      </c>
      <c r="P28" s="42"/>
    </row>
    <row r="29" spans="1:49" ht="13.15" x14ac:dyDescent="0.4">
      <c r="A29" s="68" t="s">
        <v>160</v>
      </c>
      <c r="B29" s="15">
        <f t="shared" ref="B29:F29" si="27">G73</f>
        <v>8.1946110000000001</v>
      </c>
      <c r="C29" s="15">
        <f t="shared" si="27"/>
        <v>8.2324000000000002</v>
      </c>
      <c r="D29" s="15">
        <f t="shared" si="27"/>
        <v>8.4938310000000001</v>
      </c>
      <c r="E29" s="15">
        <f t="shared" si="27"/>
        <v>9.0438360000000007</v>
      </c>
      <c r="F29" s="15">
        <f t="shared" si="27"/>
        <v>7.7253259999999999</v>
      </c>
      <c r="G29" s="80">
        <f t="shared" si="2"/>
        <v>8.3380007999999997</v>
      </c>
      <c r="H29" s="81">
        <f t="shared" si="3"/>
        <v>405.94490750889599</v>
      </c>
      <c r="I29" s="79">
        <f t="shared" si="4"/>
        <v>5.1712301984775423E-2</v>
      </c>
      <c r="J29" s="79">
        <f t="shared" si="5"/>
        <v>0.193</v>
      </c>
      <c r="K29" s="79">
        <f t="shared" si="6"/>
        <v>0.15813263054616172</v>
      </c>
      <c r="L29">
        <f t="shared" si="7"/>
        <v>5</v>
      </c>
      <c r="P29" s="42"/>
    </row>
    <row r="30" spans="1:49" ht="13.15" x14ac:dyDescent="0.4">
      <c r="A30" s="68" t="s">
        <v>161</v>
      </c>
      <c r="B30" s="15">
        <f t="shared" ref="B30:F30" si="28">G74</f>
        <v>6.2789869999999999</v>
      </c>
      <c r="C30" s="15">
        <f t="shared" si="28"/>
        <v>7.012785</v>
      </c>
      <c r="D30" s="15">
        <f t="shared" si="28"/>
        <v>7.2658069999999997</v>
      </c>
      <c r="E30" s="15">
        <f t="shared" si="28"/>
        <v>7.8244420000000003</v>
      </c>
      <c r="F30" s="15">
        <f t="shared" si="28"/>
        <v>6.6071869999999997</v>
      </c>
      <c r="G30" s="80">
        <f t="shared" si="2"/>
        <v>6.997841600000001</v>
      </c>
      <c r="H30" s="81">
        <f t="shared" si="3"/>
        <v>340.69775587859209</v>
      </c>
      <c r="I30" s="79">
        <f t="shared" si="4"/>
        <v>7.6279264266371702E-2</v>
      </c>
      <c r="J30" s="79">
        <f t="shared" si="5"/>
        <v>0.193</v>
      </c>
      <c r="K30" s="79">
        <f t="shared" si="6"/>
        <v>0.22084738242717586</v>
      </c>
      <c r="L30">
        <f t="shared" si="7"/>
        <v>5</v>
      </c>
      <c r="P30" s="42"/>
    </row>
    <row r="31" spans="1:49" ht="13.15" x14ac:dyDescent="0.4">
      <c r="A31" s="68" t="s">
        <v>162</v>
      </c>
      <c r="B31" s="15">
        <f t="shared" ref="B31:F31" si="29">G75</f>
        <v>5.4275989999999998</v>
      </c>
      <c r="C31" s="15">
        <f t="shared" si="29"/>
        <v>6.1997080000000002</v>
      </c>
      <c r="D31" s="15">
        <f t="shared" si="29"/>
        <v>5.9354480000000001</v>
      </c>
      <c r="E31" s="15">
        <f t="shared" si="29"/>
        <v>6.8082799999999999</v>
      </c>
      <c r="F31" s="15">
        <f t="shared" si="29"/>
        <v>4.9808029999999999</v>
      </c>
      <c r="G31" s="80">
        <f t="shared" si="2"/>
        <v>5.8703675999999998</v>
      </c>
      <c r="H31" s="81">
        <f t="shared" si="3"/>
        <v>285.80542141771201</v>
      </c>
      <c r="I31" s="79">
        <f t="shared" si="4"/>
        <v>0.10719013418837793</v>
      </c>
      <c r="J31" s="79">
        <f t="shared" si="5"/>
        <v>0.193</v>
      </c>
      <c r="K31" s="79">
        <f t="shared" si="6"/>
        <v>0.31130537719648088</v>
      </c>
      <c r="L31">
        <f t="shared" si="7"/>
        <v>5</v>
      </c>
      <c r="P31" s="42"/>
    </row>
    <row r="32" spans="1:49" ht="13.15" x14ac:dyDescent="0.4">
      <c r="A32" s="68" t="s">
        <v>163</v>
      </c>
      <c r="B32" s="15">
        <f t="shared" ref="B32:F32" si="30">G76</f>
        <v>4.3633639999999998</v>
      </c>
      <c r="C32" s="15">
        <f t="shared" si="30"/>
        <v>4.8784590000000003</v>
      </c>
      <c r="D32" s="15">
        <f t="shared" si="30"/>
        <v>5.2191010000000002</v>
      </c>
      <c r="E32" s="15">
        <f t="shared" si="30"/>
        <v>5.5888869999999997</v>
      </c>
      <c r="F32" s="15">
        <f t="shared" si="30"/>
        <v>3.862663</v>
      </c>
      <c r="G32" s="80">
        <f t="shared" si="2"/>
        <v>4.7824948000000003</v>
      </c>
      <c r="H32" s="81">
        <f t="shared" si="3"/>
        <v>232.84111573217604</v>
      </c>
      <c r="I32" s="79">
        <f t="shared" si="4"/>
        <v>0.12793742242249534</v>
      </c>
      <c r="J32" s="79">
        <f t="shared" si="5"/>
        <v>0.193</v>
      </c>
      <c r="K32" s="79">
        <f t="shared" si="6"/>
        <v>0.36094634122759522</v>
      </c>
      <c r="L32">
        <f t="shared" si="7"/>
        <v>5</v>
      </c>
      <c r="P32" s="42"/>
    </row>
    <row r="33" spans="1:16" ht="13.15" x14ac:dyDescent="0.4">
      <c r="A33" s="68" t="s">
        <v>164</v>
      </c>
      <c r="B33" s="15">
        <f t="shared" ref="B33:F33" si="31">G77</f>
        <v>3.6183999999999998</v>
      </c>
      <c r="C33" s="15">
        <f t="shared" si="31"/>
        <v>3.9637479999999998</v>
      </c>
      <c r="D33" s="15">
        <f t="shared" si="31"/>
        <v>4.6050890000000004</v>
      </c>
      <c r="E33" s="15">
        <f t="shared" si="31"/>
        <v>4.97919</v>
      </c>
      <c r="F33" s="15">
        <f t="shared" si="31"/>
        <v>2.8461729999999998</v>
      </c>
      <c r="G33" s="80">
        <f t="shared" si="2"/>
        <v>4.0025199999999996</v>
      </c>
      <c r="H33" s="81">
        <f t="shared" si="3"/>
        <v>194.86716902239999</v>
      </c>
      <c r="I33" s="79">
        <f t="shared" si="4"/>
        <v>0.18707067061507318</v>
      </c>
      <c r="J33" s="79">
        <f t="shared" si="5"/>
        <v>0.27500000000000002</v>
      </c>
      <c r="K33" s="79">
        <f t="shared" si="6"/>
        <v>0.53291851133785728</v>
      </c>
      <c r="L33">
        <f t="shared" si="7"/>
        <v>5</v>
      </c>
      <c r="P33" s="42"/>
    </row>
    <row r="34" spans="1:16" ht="13.15" x14ac:dyDescent="0.4">
      <c r="A34" s="68" t="s">
        <v>165</v>
      </c>
      <c r="B34" s="15">
        <f t="shared" ref="B34:F34" si="32">G78</f>
        <v>2.9798580000000001</v>
      </c>
      <c r="C34" s="15">
        <f t="shared" si="32"/>
        <v>3.150671</v>
      </c>
      <c r="D34" s="15">
        <f t="shared" si="32"/>
        <v>3.5817359999999998</v>
      </c>
      <c r="E34" s="15">
        <f t="shared" si="32"/>
        <v>4.2678770000000004</v>
      </c>
      <c r="F34" s="15">
        <f t="shared" si="32"/>
        <v>2.1346289999999999</v>
      </c>
      <c r="G34" s="80">
        <f t="shared" si="2"/>
        <v>3.2229542000000002</v>
      </c>
      <c r="H34" s="81">
        <f t="shared" si="3"/>
        <v>156.91313493570402</v>
      </c>
      <c r="I34" s="79">
        <f t="shared" si="4"/>
        <v>0.21804850013926527</v>
      </c>
      <c r="J34" s="79">
        <f t="shared" si="5"/>
        <v>0.27500000000000002</v>
      </c>
      <c r="K34" s="79">
        <f t="shared" si="6"/>
        <v>0.66189212369198436</v>
      </c>
      <c r="L34">
        <f t="shared" si="7"/>
        <v>5</v>
      </c>
      <c r="P34" s="42"/>
    </row>
    <row r="35" spans="1:16" ht="13.15" x14ac:dyDescent="0.4">
      <c r="A35" s="68" t="s">
        <v>166</v>
      </c>
      <c r="B35" s="15">
        <f t="shared" ref="B35:F35" si="33">G79</f>
        <v>2.3413170000000001</v>
      </c>
      <c r="C35" s="15">
        <f t="shared" si="33"/>
        <v>2.6424989999999999</v>
      </c>
      <c r="D35" s="15">
        <f t="shared" si="33"/>
        <v>2.967724</v>
      </c>
      <c r="E35" s="15">
        <f t="shared" si="33"/>
        <v>3.4549479999999999</v>
      </c>
      <c r="F35" s="15">
        <f t="shared" si="33"/>
        <v>1.6263840000000001</v>
      </c>
      <c r="G35" s="80">
        <f t="shared" si="2"/>
        <v>2.6065744</v>
      </c>
      <c r="H35" s="81">
        <f t="shared" si="3"/>
        <v>126.90399402732801</v>
      </c>
      <c r="I35" s="79">
        <f t="shared" si="4"/>
        <v>0.23540895873762216</v>
      </c>
      <c r="J35" s="79">
        <f t="shared" si="5"/>
        <v>0.27500000000000002</v>
      </c>
      <c r="K35" s="79">
        <f t="shared" si="6"/>
        <v>0.70151997196013272</v>
      </c>
      <c r="L35">
        <f t="shared" si="7"/>
        <v>5</v>
      </c>
      <c r="P35" s="42"/>
    </row>
    <row r="36" spans="1:16" ht="13.15" x14ac:dyDescent="0.4">
      <c r="A36" s="68" t="s">
        <v>167</v>
      </c>
      <c r="B36" s="15">
        <f t="shared" ref="B36:F36" si="34">G80</f>
        <v>0.31927100000000003</v>
      </c>
      <c r="C36" s="15">
        <f t="shared" si="34"/>
        <v>0.20326900000000001</v>
      </c>
      <c r="D36" s="15">
        <f t="shared" si="34"/>
        <v>0.307006</v>
      </c>
      <c r="E36" s="15">
        <f t="shared" si="34"/>
        <v>0.30484800000000001</v>
      </c>
      <c r="F36" s="15">
        <f t="shared" si="34"/>
        <v>0</v>
      </c>
      <c r="G36" s="80">
        <f t="shared" si="2"/>
        <v>0.22687879999999999</v>
      </c>
      <c r="H36" s="81">
        <f t="shared" si="3"/>
        <v>11.045848482256</v>
      </c>
      <c r="I36" s="79">
        <f t="shared" si="4"/>
        <v>0.53282255130992473</v>
      </c>
      <c r="J36" s="79">
        <f t="shared" si="5"/>
        <v>0.27500000000000002</v>
      </c>
      <c r="K36" s="79">
        <f t="shared" si="6"/>
        <v>1.4072315262598358</v>
      </c>
      <c r="L36">
        <f t="shared" si="7"/>
        <v>5</v>
      </c>
      <c r="P36" s="42"/>
    </row>
    <row r="37" spans="1:16" ht="13.15" x14ac:dyDescent="0.4">
      <c r="A37" s="68" t="s">
        <v>168</v>
      </c>
      <c r="B37" s="15">
        <f t="shared" ref="B37:F37" si="35">G81</f>
        <v>0.21284700000000001</v>
      </c>
      <c r="C37" s="15">
        <f t="shared" si="35"/>
        <v>0</v>
      </c>
      <c r="D37" s="15">
        <f t="shared" si="35"/>
        <v>0.102335</v>
      </c>
      <c r="E37" s="15">
        <f t="shared" si="35"/>
        <v>0.101616</v>
      </c>
      <c r="F37" s="15">
        <f t="shared" si="35"/>
        <v>0</v>
      </c>
      <c r="G37" s="80">
        <f t="shared" si="2"/>
        <v>8.3359600000000006E-2</v>
      </c>
      <c r="H37" s="81">
        <f t="shared" si="3"/>
        <v>4.0584554887520001</v>
      </c>
      <c r="I37" s="79">
        <f t="shared" si="4"/>
        <v>0.95002167912415036</v>
      </c>
      <c r="J37" s="79">
        <f t="shared" si="5"/>
        <v>0.27500000000000002</v>
      </c>
      <c r="K37" s="79">
        <f t="shared" si="6"/>
        <v>2.5533591811860901</v>
      </c>
      <c r="L37">
        <f t="shared" si="7"/>
        <v>5</v>
      </c>
    </row>
    <row r="38" spans="1:16" ht="13.15" x14ac:dyDescent="0.4">
      <c r="A38" s="68" t="s">
        <v>169</v>
      </c>
      <c r="B38" s="15">
        <f t="shared" ref="B38:F38" si="36">G82</f>
        <v>0.106424</v>
      </c>
      <c r="C38" s="15">
        <f t="shared" si="36"/>
        <v>0</v>
      </c>
      <c r="D38" s="15">
        <f t="shared" si="36"/>
        <v>0</v>
      </c>
      <c r="E38" s="15">
        <f t="shared" si="36"/>
        <v>0.101616</v>
      </c>
      <c r="F38" s="15">
        <f t="shared" si="36"/>
        <v>0</v>
      </c>
      <c r="G38" s="80">
        <f t="shared" si="2"/>
        <v>4.1607999999999999E-2</v>
      </c>
      <c r="H38" s="81">
        <f t="shared" si="3"/>
        <v>2.0257320809600001</v>
      </c>
      <c r="I38" s="79">
        <f t="shared" si="4"/>
        <v>1.2252898795357612</v>
      </c>
      <c r="J38" s="79">
        <f t="shared" si="5"/>
        <v>0.27500000000000002</v>
      </c>
      <c r="K38" s="79">
        <f t="shared" si="6"/>
        <v>2.5577773505095176</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40" priority="1" operator="greaterThan">
      <formula>1000</formula>
    </cfRule>
  </conditionalFormatting>
  <conditionalFormatting sqref="K9:K40">
    <cfRule type="cellIs" dxfId="39"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9E193-4781-4D93-8F3B-701A410B77AC}">
  <sheetPr codeName="Sheet19"/>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183</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L52</f>
        <v>9.4034879999999994</v>
      </c>
      <c r="C8" s="46">
        <f t="shared" ref="C8:F8" si="0">M52</f>
        <v>9.8474179999999993</v>
      </c>
      <c r="D8" s="46">
        <f t="shared" si="0"/>
        <v>9.7709329999999994</v>
      </c>
      <c r="E8" s="46">
        <f t="shared" si="0"/>
        <v>9.8387840000000004</v>
      </c>
      <c r="F8" s="46">
        <f t="shared" si="0"/>
        <v>9.8422610000000006</v>
      </c>
      <c r="G8" s="78">
        <f>AVERAGE(B$8:F$8)*5</f>
        <v>48.702884000000005</v>
      </c>
      <c r="I8" s="79"/>
      <c r="K8" s="79"/>
    </row>
    <row r="9" spans="1:49" ht="13.15" x14ac:dyDescent="0.4">
      <c r="A9" s="68" t="s">
        <v>140</v>
      </c>
      <c r="B9" s="46">
        <f t="shared" ref="B9:F9" si="1">L53</f>
        <v>1868.0302730000001</v>
      </c>
      <c r="C9" s="46">
        <f t="shared" si="1"/>
        <v>1786.965942</v>
      </c>
      <c r="D9" s="46">
        <f t="shared" si="1"/>
        <v>1832.9876710000001</v>
      </c>
      <c r="E9" s="46">
        <f t="shared" si="1"/>
        <v>1774.2030030000001</v>
      </c>
      <c r="F9" s="46">
        <f t="shared" si="1"/>
        <v>1677.1552730000001</v>
      </c>
      <c r="G9" s="80">
        <f t="shared" ref="G9:G38" si="2">AVERAGE(B9:F9)</f>
        <v>1787.8684324000001</v>
      </c>
      <c r="H9" s="81">
        <f t="shared" ref="H9:H38" si="3">G9*G$8</f>
        <v>87074.348870439047</v>
      </c>
      <c r="I9" s="79">
        <f t="shared" ref="I9:I38" si="4">STDEVP(B9:F9)/AVERAGE(B9:F9)</f>
        <v>3.6167745872454811E-2</v>
      </c>
      <c r="J9" s="79">
        <f t="shared" ref="J9:J38" si="5">IF(H9&gt;$A$43, $C$43, IF(H9&gt;$A$44, $C$44, IF(H9&gt;$A$45,$C$45,IF(H9&gt;$A$46,$C$46, IF(H9&gt;$A$47,$C$47,IF(H9&gt;$A$48,$C$48,$C$49))))))/100</f>
        <v>0.11</v>
      </c>
      <c r="K9" s="79">
        <f t="shared" ref="K9:K38" si="6">(MAX(B9:F9)-MIN(B9:F9))/G9</f>
        <v>0.10676121158634312</v>
      </c>
      <c r="L9">
        <f t="shared" ref="L9:L38" si="7">COUNTA(B9:F9)</f>
        <v>5</v>
      </c>
      <c r="P9" s="42"/>
    </row>
    <row r="10" spans="1:49" ht="13.15" x14ac:dyDescent="0.4">
      <c r="A10" s="68" t="s">
        <v>141</v>
      </c>
      <c r="B10" s="46">
        <f t="shared" ref="B10:F10" si="8">L54</f>
        <v>1845.4853519999999</v>
      </c>
      <c r="C10" s="46">
        <f t="shared" si="8"/>
        <v>1766.757568</v>
      </c>
      <c r="D10" s="46">
        <f t="shared" si="8"/>
        <v>1810.0625</v>
      </c>
      <c r="E10" s="46">
        <f t="shared" si="8"/>
        <v>1753.2653809999999</v>
      </c>
      <c r="F10" s="46">
        <f t="shared" si="8"/>
        <v>1657.3426509999999</v>
      </c>
      <c r="G10" s="80">
        <f t="shared" si="2"/>
        <v>1766.5826904</v>
      </c>
      <c r="H10" s="81">
        <f t="shared" si="3"/>
        <v>86037.671846959129</v>
      </c>
      <c r="I10" s="79">
        <f t="shared" si="4"/>
        <v>3.6003572648371916E-2</v>
      </c>
      <c r="J10" s="79">
        <f t="shared" si="5"/>
        <v>0.11</v>
      </c>
      <c r="K10" s="79">
        <f t="shared" si="6"/>
        <v>0.10650093087768205</v>
      </c>
      <c r="L10">
        <f t="shared" si="7"/>
        <v>5</v>
      </c>
      <c r="P10" s="42"/>
    </row>
    <row r="11" spans="1:49" ht="13.15" x14ac:dyDescent="0.4">
      <c r="A11" s="68" t="s">
        <v>142</v>
      </c>
      <c r="B11" s="46">
        <f t="shared" ref="B11:E11" si="9">L55</f>
        <v>1834.0002440000001</v>
      </c>
      <c r="C11" s="46">
        <f t="shared" si="9"/>
        <v>1754.0638429999999</v>
      </c>
      <c r="D11" s="46">
        <f t="shared" si="9"/>
        <v>1797.6788329999999</v>
      </c>
      <c r="E11" s="46">
        <f t="shared" si="9"/>
        <v>1740.7639160000001</v>
      </c>
      <c r="F11" s="46"/>
      <c r="G11" s="80">
        <f t="shared" si="2"/>
        <v>1781.6267089999999</v>
      </c>
      <c r="H11" s="81">
        <f t="shared" si="3"/>
        <v>86770.358939728758</v>
      </c>
      <c r="I11" s="79">
        <f t="shared" si="4"/>
        <v>2.0680388564760205E-2</v>
      </c>
      <c r="J11" s="79">
        <f t="shared" si="5"/>
        <v>0.11</v>
      </c>
      <c r="K11" s="79">
        <f t="shared" si="6"/>
        <v>5.2332134183334114E-2</v>
      </c>
      <c r="L11">
        <f t="shared" si="7"/>
        <v>4</v>
      </c>
      <c r="P11" s="42"/>
    </row>
    <row r="12" spans="1:49" ht="13.15" x14ac:dyDescent="0.4">
      <c r="A12" s="68" t="s">
        <v>143</v>
      </c>
      <c r="B12" s="46">
        <f t="shared" ref="B12:F12" si="10">L56</f>
        <v>1827.194336</v>
      </c>
      <c r="C12" s="46">
        <f t="shared" si="10"/>
        <v>1747.0570070000001</v>
      </c>
      <c r="D12" s="46">
        <f t="shared" si="10"/>
        <v>1789.5936280000001</v>
      </c>
      <c r="E12" s="46">
        <f t="shared" si="10"/>
        <v>1733.3442379999999</v>
      </c>
      <c r="F12" s="46">
        <f t="shared" si="10"/>
        <v>1639.5622559999999</v>
      </c>
      <c r="G12" s="80">
        <f t="shared" si="2"/>
        <v>1747.350293</v>
      </c>
      <c r="H12" s="81">
        <f t="shared" si="3"/>
        <v>85100.998627345019</v>
      </c>
      <c r="I12" s="79">
        <f t="shared" si="4"/>
        <v>3.6171664167136609E-2</v>
      </c>
      <c r="J12" s="79">
        <f t="shared" si="5"/>
        <v>0.11</v>
      </c>
      <c r="K12" s="79">
        <f t="shared" si="6"/>
        <v>0.10738091884132593</v>
      </c>
      <c r="L12">
        <f t="shared" si="7"/>
        <v>5</v>
      </c>
      <c r="P12" s="42"/>
    </row>
    <row r="13" spans="1:49" ht="13.15" x14ac:dyDescent="0.4">
      <c r="A13" s="68" t="s">
        <v>144</v>
      </c>
      <c r="B13" s="46">
        <f t="shared" ref="B13:F13" si="11">L57</f>
        <v>1822.30249</v>
      </c>
      <c r="C13" s="46">
        <f t="shared" si="11"/>
        <v>1743.299683</v>
      </c>
      <c r="D13" s="46">
        <f t="shared" si="11"/>
        <v>1785.3975829999999</v>
      </c>
      <c r="E13" s="46">
        <f t="shared" si="11"/>
        <v>1728.973755</v>
      </c>
      <c r="F13" s="46">
        <f t="shared" si="11"/>
        <v>1634.58374</v>
      </c>
      <c r="G13" s="80">
        <f t="shared" si="2"/>
        <v>1742.9114502</v>
      </c>
      <c r="H13" s="81">
        <f t="shared" si="3"/>
        <v>84884.814181362381</v>
      </c>
      <c r="I13" s="79">
        <f t="shared" si="4"/>
        <v>3.6321134070091188E-2</v>
      </c>
      <c r="J13" s="79">
        <f t="shared" si="5"/>
        <v>0.11</v>
      </c>
      <c r="K13" s="79">
        <f t="shared" si="6"/>
        <v>0.10770412345300685</v>
      </c>
      <c r="L13">
        <f t="shared" si="7"/>
        <v>5</v>
      </c>
      <c r="P13" s="42"/>
    </row>
    <row r="14" spans="1:49" ht="13.15" x14ac:dyDescent="0.4">
      <c r="A14" s="68" t="s">
        <v>145</v>
      </c>
      <c r="B14" s="46">
        <f t="shared" ref="B14:F14" si="12">L58</f>
        <v>1817.623413</v>
      </c>
      <c r="C14" s="46">
        <f t="shared" si="12"/>
        <v>1740.2531739999999</v>
      </c>
      <c r="D14" s="46">
        <f t="shared" si="12"/>
        <v>1781.099121</v>
      </c>
      <c r="E14" s="46">
        <f t="shared" si="12"/>
        <v>1725.213135</v>
      </c>
      <c r="F14" s="46">
        <f t="shared" si="12"/>
        <v>1630.7227780000001</v>
      </c>
      <c r="G14" s="80">
        <f t="shared" si="2"/>
        <v>1738.9823241999998</v>
      </c>
      <c r="H14" s="81">
        <f t="shared" si="3"/>
        <v>84693.454413562984</v>
      </c>
      <c r="I14" s="79">
        <f t="shared" si="4"/>
        <v>3.6250514767929579E-2</v>
      </c>
      <c r="J14" s="79">
        <f t="shared" si="5"/>
        <v>0.11</v>
      </c>
      <c r="K14" s="79">
        <f t="shared" si="6"/>
        <v>0.10747701825317954</v>
      </c>
      <c r="L14">
        <f t="shared" si="7"/>
        <v>5</v>
      </c>
      <c r="P14" s="42"/>
    </row>
    <row r="15" spans="1:49" ht="13.15" x14ac:dyDescent="0.4">
      <c r="A15" s="68" t="s">
        <v>146</v>
      </c>
      <c r="B15" s="46">
        <f t="shared" ref="B15:F15" si="13">L59</f>
        <v>1809.3286129999999</v>
      </c>
      <c r="C15" s="46">
        <f t="shared" si="13"/>
        <v>1733.246216</v>
      </c>
      <c r="D15" s="46">
        <f t="shared" si="13"/>
        <v>1771.9904790000001</v>
      </c>
      <c r="E15" s="46">
        <f t="shared" si="13"/>
        <v>1718.0985109999999</v>
      </c>
      <c r="F15" s="46">
        <f t="shared" si="13"/>
        <v>1623.3057859999999</v>
      </c>
      <c r="G15" s="80">
        <f t="shared" si="2"/>
        <v>1731.193921</v>
      </c>
      <c r="H15" s="81">
        <f t="shared" si="3"/>
        <v>84314.136715968169</v>
      </c>
      <c r="I15" s="79">
        <f t="shared" si="4"/>
        <v>3.6151840200485334E-2</v>
      </c>
      <c r="J15" s="79">
        <f t="shared" si="5"/>
        <v>0.11</v>
      </c>
      <c r="K15" s="79">
        <f t="shared" si="6"/>
        <v>0.10745348903059139</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ref="B16:F16" si="14">L60</f>
        <v>1661.085693</v>
      </c>
      <c r="C16" s="46">
        <f t="shared" si="14"/>
        <v>1613.2147219999999</v>
      </c>
      <c r="D16" s="46">
        <f t="shared" si="14"/>
        <v>1603.940918</v>
      </c>
      <c r="E16" s="46">
        <f t="shared" si="14"/>
        <v>1591.3551030000001</v>
      </c>
      <c r="F16" s="46">
        <f t="shared" si="14"/>
        <v>1493.6607670000001</v>
      </c>
      <c r="G16" s="80">
        <f t="shared" si="2"/>
        <v>1592.6514406000001</v>
      </c>
      <c r="H16" s="81">
        <f t="shared" si="3"/>
        <v>77566.718363974709</v>
      </c>
      <c r="I16" s="79">
        <f t="shared" si="4"/>
        <v>3.4430001770801751E-2</v>
      </c>
      <c r="J16" s="79">
        <f t="shared" si="5"/>
        <v>0.11</v>
      </c>
      <c r="K16" s="79">
        <f t="shared" si="6"/>
        <v>0.10512339469389853</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ref="B17:F17" si="15">L61</f>
        <v>897.64562999999998</v>
      </c>
      <c r="C17" s="46">
        <f t="shared" si="15"/>
        <v>909.98474099999999</v>
      </c>
      <c r="D17" s="46">
        <f t="shared" si="15"/>
        <v>836.97229000000004</v>
      </c>
      <c r="E17" s="46">
        <f t="shared" si="15"/>
        <v>861.28527799999995</v>
      </c>
      <c r="F17" s="46">
        <f t="shared" si="15"/>
        <v>845.84222399999999</v>
      </c>
      <c r="G17" s="80">
        <f t="shared" si="2"/>
        <v>870.34603260000006</v>
      </c>
      <c r="H17" s="81">
        <f t="shared" si="3"/>
        <v>42388.361865578023</v>
      </c>
      <c r="I17" s="79">
        <f t="shared" si="4"/>
        <v>3.2952906861816518E-2</v>
      </c>
      <c r="J17" s="79">
        <f t="shared" si="5"/>
        <v>0.11</v>
      </c>
      <c r="K17" s="79">
        <f t="shared" si="6"/>
        <v>8.3888991579462432E-2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ref="B18:F18" si="16">L62</f>
        <v>213.32508899999999</v>
      </c>
      <c r="C18" s="46">
        <f t="shared" si="16"/>
        <v>210.71513400000001</v>
      </c>
      <c r="D18" s="46">
        <f t="shared" si="16"/>
        <v>201.51606799999999</v>
      </c>
      <c r="E18" s="46">
        <f t="shared" si="16"/>
        <v>206.12303199999999</v>
      </c>
      <c r="F18" s="46">
        <f t="shared" si="16"/>
        <v>193.34986900000001</v>
      </c>
      <c r="G18" s="80">
        <f t="shared" si="2"/>
        <v>205.00583839999999</v>
      </c>
      <c r="H18" s="81">
        <f t="shared" si="3"/>
        <v>9984.3755669179463</v>
      </c>
      <c r="I18" s="79">
        <f t="shared" si="4"/>
        <v>3.4567433289380139E-2</v>
      </c>
      <c r="J18" s="79">
        <f t="shared" si="5"/>
        <v>0.113</v>
      </c>
      <c r="K18" s="79">
        <f t="shared" si="6"/>
        <v>9.7437322546029395E-2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ref="B19:F19" si="17">L63</f>
        <v>82.522568000000007</v>
      </c>
      <c r="C19" s="46">
        <f t="shared" si="17"/>
        <v>75.552802999999997</v>
      </c>
      <c r="D19" s="46">
        <f t="shared" si="17"/>
        <v>76.962967000000006</v>
      </c>
      <c r="E19" s="46">
        <f t="shared" si="17"/>
        <v>79.379729999999995</v>
      </c>
      <c r="F19" s="46">
        <f t="shared" si="17"/>
        <v>61.977626999999998</v>
      </c>
      <c r="G19" s="80">
        <f t="shared" si="2"/>
        <v>75.279139000000001</v>
      </c>
      <c r="H19" s="81">
        <f t="shared" si="3"/>
        <v>3666.3111743368763</v>
      </c>
      <c r="I19" s="79">
        <f t="shared" si="4"/>
        <v>9.3766311345418865E-2</v>
      </c>
      <c r="J19" s="79">
        <f t="shared" si="5"/>
        <v>0.11900000000000001</v>
      </c>
      <c r="K19" s="79">
        <f t="shared" si="6"/>
        <v>0.27291679040059169</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ref="B20:F20" si="18">L64</f>
        <v>71.569182999999995</v>
      </c>
      <c r="C20" s="46">
        <f t="shared" si="18"/>
        <v>63.366866999999999</v>
      </c>
      <c r="D20" s="46">
        <f t="shared" si="18"/>
        <v>64.067573999999993</v>
      </c>
      <c r="E20" s="46">
        <f t="shared" si="18"/>
        <v>65.963431999999997</v>
      </c>
      <c r="F20" s="46">
        <f t="shared" si="18"/>
        <v>51.715758999999998</v>
      </c>
      <c r="G20" s="80">
        <f t="shared" si="2"/>
        <v>63.336562999999998</v>
      </c>
      <c r="H20" s="81">
        <f t="shared" si="3"/>
        <v>3084.6732807476924</v>
      </c>
      <c r="I20" s="79">
        <f t="shared" si="4"/>
        <v>0.10238433661100321</v>
      </c>
      <c r="J20" s="79">
        <f t="shared" si="5"/>
        <v>0.11900000000000001</v>
      </c>
      <c r="K20" s="79">
        <f t="shared" si="6"/>
        <v>0.31345913102357637</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ref="B21:F21" si="19">L65</f>
        <v>61.785583000000003</v>
      </c>
      <c r="C21" s="46">
        <f t="shared" si="19"/>
        <v>52.704169999999998</v>
      </c>
      <c r="D21" s="46">
        <f t="shared" si="19"/>
        <v>54.856583000000001</v>
      </c>
      <c r="E21" s="46">
        <f t="shared" si="19"/>
        <v>54.986469</v>
      </c>
      <c r="F21" s="46">
        <f t="shared" si="19"/>
        <v>43.689148000000003</v>
      </c>
      <c r="G21" s="80">
        <f t="shared" si="2"/>
        <v>53.604390600000002</v>
      </c>
      <c r="H21" s="81">
        <f t="shared" si="3"/>
        <v>2610.6884172824907</v>
      </c>
      <c r="I21" s="79">
        <f t="shared" si="4"/>
        <v>0.10862782340962292</v>
      </c>
      <c r="J21" s="79">
        <f t="shared" si="5"/>
        <v>0.11900000000000001</v>
      </c>
      <c r="K21" s="79">
        <f t="shared" si="6"/>
        <v>0.33759240236563753</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ref="B22:F22" si="20">L66</f>
        <v>47.854584000000003</v>
      </c>
      <c r="C22" s="46">
        <f t="shared" si="20"/>
        <v>40.822884000000002</v>
      </c>
      <c r="D22" s="46">
        <f t="shared" si="20"/>
        <v>40.630713999999998</v>
      </c>
      <c r="E22" s="46">
        <f t="shared" si="20"/>
        <v>41.773453000000003</v>
      </c>
      <c r="F22" s="46">
        <f t="shared" si="20"/>
        <v>33.732086000000002</v>
      </c>
      <c r="G22" s="80">
        <f t="shared" si="2"/>
        <v>40.962744200000003</v>
      </c>
      <c r="H22" s="81">
        <f t="shared" si="3"/>
        <v>1995.0037790942731</v>
      </c>
      <c r="I22" s="79">
        <f t="shared" si="4"/>
        <v>0.10948472840187515</v>
      </c>
      <c r="J22" s="79">
        <f t="shared" si="5"/>
        <v>0.13400000000000001</v>
      </c>
      <c r="K22" s="79">
        <f t="shared" si="6"/>
        <v>0.34476445061998556</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ref="B23:F23" si="21">L67</f>
        <v>33.817238000000003</v>
      </c>
      <c r="C23" s="46">
        <f t="shared" si="21"/>
        <v>29.449345000000001</v>
      </c>
      <c r="D23" s="46">
        <f t="shared" si="21"/>
        <v>28.963456999999998</v>
      </c>
      <c r="E23" s="46">
        <f t="shared" si="21"/>
        <v>30.389935000000001</v>
      </c>
      <c r="F23" s="46">
        <f t="shared" si="21"/>
        <v>23.673421999999999</v>
      </c>
      <c r="G23" s="80">
        <f t="shared" si="2"/>
        <v>29.258679399999998</v>
      </c>
      <c r="H23" s="81">
        <f t="shared" si="3"/>
        <v>1424.9820688113896</v>
      </c>
      <c r="I23" s="79">
        <f t="shared" si="4"/>
        <v>0.11167210524515196</v>
      </c>
      <c r="J23" s="79">
        <f t="shared" si="5"/>
        <v>0.13400000000000001</v>
      </c>
      <c r="K23" s="79">
        <f t="shared" si="6"/>
        <v>0.34669425305641122</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ref="B24:F24" si="22">L68</f>
        <v>24.565351</v>
      </c>
      <c r="C24" s="46">
        <f t="shared" si="22"/>
        <v>20.919188999999999</v>
      </c>
      <c r="D24" s="46">
        <f t="shared" si="22"/>
        <v>20.366529</v>
      </c>
      <c r="E24" s="46">
        <f t="shared" si="22"/>
        <v>22.258848</v>
      </c>
      <c r="F24" s="46">
        <f t="shared" si="22"/>
        <v>17.069248000000002</v>
      </c>
      <c r="G24" s="80">
        <f t="shared" si="2"/>
        <v>21.035833</v>
      </c>
      <c r="H24" s="81">
        <f t="shared" si="3"/>
        <v>1024.5057344423722</v>
      </c>
      <c r="I24" s="79">
        <f t="shared" si="4"/>
        <v>0.11673177724087369</v>
      </c>
      <c r="J24" s="79">
        <f t="shared" si="5"/>
        <v>0.13400000000000001</v>
      </c>
      <c r="K24" s="79">
        <f t="shared" si="6"/>
        <v>0.35634923513606509</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F25" si="23">L69</f>
        <v>19.673549999999999</v>
      </c>
      <c r="C25" s="46">
        <f t="shared" si="23"/>
        <v>18.482002000000001</v>
      </c>
      <c r="D25" s="46">
        <f t="shared" si="23"/>
        <v>17.705576000000001</v>
      </c>
      <c r="E25" s="46">
        <f t="shared" si="23"/>
        <v>17.888390000000001</v>
      </c>
      <c r="F25" s="46">
        <f t="shared" si="23"/>
        <v>14.833989000000001</v>
      </c>
      <c r="G25" s="80">
        <f t="shared" si="2"/>
        <v>17.716701399999998</v>
      </c>
      <c r="H25" s="81">
        <f t="shared" si="3"/>
        <v>862.85445314683761</v>
      </c>
      <c r="I25" s="79">
        <f t="shared" si="4"/>
        <v>9.0149867733181274E-2</v>
      </c>
      <c r="J25" s="79">
        <f t="shared" si="5"/>
        <v>0.156</v>
      </c>
      <c r="K25" s="79">
        <f t="shared" si="6"/>
        <v>0.27316377302605543</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ref="B26:F26" si="24">L70</f>
        <v>17.227650000000001</v>
      </c>
      <c r="C26" s="46">
        <f t="shared" si="24"/>
        <v>17.060310000000001</v>
      </c>
      <c r="D26" s="46">
        <f t="shared" si="24"/>
        <v>15.965722</v>
      </c>
      <c r="E26" s="46">
        <f t="shared" si="24"/>
        <v>15.245786000000001</v>
      </c>
      <c r="F26" s="46">
        <f t="shared" si="24"/>
        <v>13.513154999999999</v>
      </c>
      <c r="G26" s="80">
        <f t="shared" si="2"/>
        <v>15.802524599999998</v>
      </c>
      <c r="H26" s="81">
        <f t="shared" si="3"/>
        <v>769.62852250094636</v>
      </c>
      <c r="I26" s="79">
        <f t="shared" si="4"/>
        <v>8.5795683631832237E-2</v>
      </c>
      <c r="J26" s="79">
        <f t="shared" si="5"/>
        <v>0.156</v>
      </c>
      <c r="K26" s="79">
        <f t="shared" si="6"/>
        <v>0.23505706170519119</v>
      </c>
      <c r="L26">
        <f t="shared" si="7"/>
        <v>5</v>
      </c>
      <c r="P26" s="42"/>
    </row>
    <row r="27" spans="1:49" ht="13.15" x14ac:dyDescent="0.4">
      <c r="A27" s="68" t="s">
        <v>158</v>
      </c>
      <c r="B27" s="46">
        <f t="shared" ref="B27:F27" si="25">L71</f>
        <v>14.781749</v>
      </c>
      <c r="C27" s="46">
        <f t="shared" si="25"/>
        <v>15.029320999999999</v>
      </c>
      <c r="D27" s="46">
        <f t="shared" si="25"/>
        <v>13.611801</v>
      </c>
      <c r="E27" s="46">
        <f t="shared" si="25"/>
        <v>14.026123</v>
      </c>
      <c r="F27" s="46">
        <f t="shared" si="25"/>
        <v>11.481101000000001</v>
      </c>
      <c r="G27" s="80">
        <f t="shared" si="2"/>
        <v>13.786019</v>
      </c>
      <c r="H27" s="81">
        <f t="shared" si="3"/>
        <v>671.41888417879602</v>
      </c>
      <c r="I27" s="79">
        <f t="shared" si="4"/>
        <v>9.1396522839320843E-2</v>
      </c>
      <c r="J27" s="79">
        <f t="shared" si="5"/>
        <v>0.156</v>
      </c>
      <c r="K27" s="79">
        <f t="shared" si="6"/>
        <v>0.25737814520638619</v>
      </c>
      <c r="L27">
        <f t="shared" si="7"/>
        <v>5</v>
      </c>
      <c r="P27" s="42"/>
    </row>
    <row r="28" spans="1:49" ht="13.15" x14ac:dyDescent="0.4">
      <c r="A28" s="68" t="s">
        <v>159</v>
      </c>
      <c r="B28" s="46">
        <f t="shared" ref="B28:F28" si="26">L72</f>
        <v>12.016817</v>
      </c>
      <c r="C28" s="46">
        <f t="shared" si="26"/>
        <v>12.084386</v>
      </c>
      <c r="D28" s="46">
        <f t="shared" si="26"/>
        <v>11.155537000000001</v>
      </c>
      <c r="E28" s="46">
        <f t="shared" si="26"/>
        <v>11.485158999999999</v>
      </c>
      <c r="F28" s="46">
        <f t="shared" si="26"/>
        <v>9.7538560000000007</v>
      </c>
      <c r="G28" s="80">
        <f t="shared" si="2"/>
        <v>11.299151</v>
      </c>
      <c r="H28" s="81">
        <f t="shared" si="3"/>
        <v>550.30124045148409</v>
      </c>
      <c r="I28" s="79">
        <f t="shared" si="4"/>
        <v>7.4833318489611875E-2</v>
      </c>
      <c r="J28" s="79">
        <f t="shared" si="5"/>
        <v>0.156</v>
      </c>
      <c r="K28" s="79">
        <f t="shared" si="6"/>
        <v>0.20625708958133221</v>
      </c>
      <c r="L28">
        <f t="shared" si="7"/>
        <v>5</v>
      </c>
      <c r="P28" s="42"/>
    </row>
    <row r="29" spans="1:49" ht="13.15" x14ac:dyDescent="0.4">
      <c r="A29" s="68" t="s">
        <v>160</v>
      </c>
      <c r="B29" s="46">
        <f t="shared" ref="B29:F29" si="27">L73</f>
        <v>10.421664</v>
      </c>
      <c r="C29" s="46">
        <f t="shared" si="27"/>
        <v>10.459595</v>
      </c>
      <c r="D29" s="46">
        <f t="shared" si="27"/>
        <v>9.8250600000000006</v>
      </c>
      <c r="E29" s="46">
        <f t="shared" si="27"/>
        <v>9.8589420000000008</v>
      </c>
      <c r="F29" s="46">
        <f t="shared" si="27"/>
        <v>7.7218030000000004</v>
      </c>
      <c r="G29" s="80">
        <f t="shared" si="2"/>
        <v>9.6574127999999995</v>
      </c>
      <c r="H29" s="81">
        <f t="shared" si="3"/>
        <v>470.3438553385152</v>
      </c>
      <c r="I29" s="79">
        <f t="shared" si="4"/>
        <v>0.10399047591167057</v>
      </c>
      <c r="J29" s="79">
        <f t="shared" si="5"/>
        <v>0.193</v>
      </c>
      <c r="K29" s="79">
        <f t="shared" si="6"/>
        <v>0.28349124726241381</v>
      </c>
      <c r="L29">
        <f t="shared" si="7"/>
        <v>5</v>
      </c>
      <c r="P29" s="42"/>
    </row>
    <row r="30" spans="1:49" ht="13.15" x14ac:dyDescent="0.4">
      <c r="A30" s="68" t="s">
        <v>161</v>
      </c>
      <c r="B30" s="46">
        <f t="shared" ref="B30:F30" si="28">L74</f>
        <v>9.1455420000000007</v>
      </c>
      <c r="C30" s="46">
        <f t="shared" si="28"/>
        <v>9.0379020000000008</v>
      </c>
      <c r="D30" s="46">
        <f t="shared" si="28"/>
        <v>8.4945830000000004</v>
      </c>
      <c r="E30" s="46">
        <f t="shared" si="28"/>
        <v>8.3343629999999997</v>
      </c>
      <c r="F30" s="46">
        <f t="shared" si="28"/>
        <v>6.6041730000000003</v>
      </c>
      <c r="G30" s="80">
        <f t="shared" si="2"/>
        <v>8.3233125999999995</v>
      </c>
      <c r="H30" s="81">
        <f t="shared" si="3"/>
        <v>405.36932805353842</v>
      </c>
      <c r="I30" s="79">
        <f t="shared" si="4"/>
        <v>0.10974125032008905</v>
      </c>
      <c r="J30" s="79">
        <f t="shared" si="5"/>
        <v>0.193</v>
      </c>
      <c r="K30" s="79">
        <f t="shared" si="6"/>
        <v>0.30533143738948365</v>
      </c>
      <c r="L30">
        <f t="shared" si="7"/>
        <v>5</v>
      </c>
      <c r="P30" s="42"/>
    </row>
    <row r="31" spans="1:49" ht="13.15" x14ac:dyDescent="0.4">
      <c r="A31" s="68" t="s">
        <v>162</v>
      </c>
      <c r="B31" s="46">
        <f t="shared" ref="B31:F31" si="29">L75</f>
        <v>7.3377030000000003</v>
      </c>
      <c r="C31" s="46">
        <f t="shared" si="29"/>
        <v>7.1084620000000003</v>
      </c>
      <c r="D31" s="46">
        <f t="shared" si="29"/>
        <v>7.3687940000000003</v>
      </c>
      <c r="E31" s="46">
        <f t="shared" si="29"/>
        <v>7.521255</v>
      </c>
      <c r="F31" s="46">
        <f t="shared" si="29"/>
        <v>5.080133</v>
      </c>
      <c r="G31" s="80">
        <f t="shared" si="2"/>
        <v>6.8832694000000005</v>
      </c>
      <c r="H31" s="81">
        <f t="shared" si="3"/>
        <v>335.23507112894964</v>
      </c>
      <c r="I31" s="79">
        <f t="shared" si="4"/>
        <v>0.13237664235539406</v>
      </c>
      <c r="J31" s="79">
        <f t="shared" si="5"/>
        <v>0.193</v>
      </c>
      <c r="K31" s="79">
        <f t="shared" si="6"/>
        <v>0.35464571530499733</v>
      </c>
      <c r="L31">
        <f t="shared" si="7"/>
        <v>5</v>
      </c>
      <c r="P31" s="42"/>
    </row>
    <row r="32" spans="1:49" ht="13.15" x14ac:dyDescent="0.4">
      <c r="A32" s="68" t="s">
        <v>163</v>
      </c>
      <c r="B32" s="46">
        <f t="shared" ref="B32:F32" si="30">L76</f>
        <v>6.2742680000000002</v>
      </c>
      <c r="C32" s="46">
        <f t="shared" si="30"/>
        <v>5.9914180000000004</v>
      </c>
      <c r="D32" s="46">
        <f t="shared" si="30"/>
        <v>6.6523839999999996</v>
      </c>
      <c r="E32" s="46">
        <f t="shared" si="30"/>
        <v>6.5048690000000002</v>
      </c>
      <c r="F32" s="46">
        <f t="shared" si="30"/>
        <v>3.962504</v>
      </c>
      <c r="G32" s="80">
        <f t="shared" si="2"/>
        <v>5.8770885999999996</v>
      </c>
      <c r="H32" s="81">
        <f t="shared" si="3"/>
        <v>286.23116434352238</v>
      </c>
      <c r="I32" s="79">
        <f t="shared" si="4"/>
        <v>0.16726320198035519</v>
      </c>
      <c r="J32" s="79">
        <f t="shared" si="5"/>
        <v>0.193</v>
      </c>
      <c r="K32" s="79">
        <f t="shared" si="6"/>
        <v>0.4576892034603664</v>
      </c>
      <c r="L32">
        <f t="shared" si="7"/>
        <v>5</v>
      </c>
      <c r="P32" s="42"/>
    </row>
    <row r="33" spans="1:16" ht="13.15" x14ac:dyDescent="0.4">
      <c r="A33" s="68" t="s">
        <v>164</v>
      </c>
      <c r="B33" s="46">
        <f t="shared" ref="B33:F33" si="31">L77</f>
        <v>5.8488939999999996</v>
      </c>
      <c r="C33" s="46">
        <f t="shared" si="31"/>
        <v>4.8743740000000004</v>
      </c>
      <c r="D33" s="46">
        <f t="shared" si="31"/>
        <v>5.9359739999999999</v>
      </c>
      <c r="E33" s="46">
        <f t="shared" si="31"/>
        <v>5.590122</v>
      </c>
      <c r="F33" s="46">
        <f t="shared" si="31"/>
        <v>3.454491</v>
      </c>
      <c r="G33" s="80">
        <f t="shared" si="2"/>
        <v>5.140771</v>
      </c>
      <c r="H33" s="81">
        <f t="shared" si="3"/>
        <v>250.37037368356403</v>
      </c>
      <c r="I33" s="79">
        <f t="shared" si="4"/>
        <v>0.17934609691544676</v>
      </c>
      <c r="J33" s="79">
        <f t="shared" si="5"/>
        <v>0.193</v>
      </c>
      <c r="K33" s="79">
        <f t="shared" si="6"/>
        <v>0.48270638781614661</v>
      </c>
      <c r="L33">
        <f t="shared" si="7"/>
        <v>5</v>
      </c>
      <c r="P33" s="42"/>
    </row>
    <row r="34" spans="1:16" ht="13.15" x14ac:dyDescent="0.4">
      <c r="A34" s="68" t="s">
        <v>165</v>
      </c>
      <c r="B34" s="46">
        <f t="shared" ref="B34:F34" si="32">L78</f>
        <v>4.9981450000000001</v>
      </c>
      <c r="C34" s="46">
        <f t="shared" si="32"/>
        <v>3.8588800000000001</v>
      </c>
      <c r="D34" s="46">
        <f t="shared" si="32"/>
        <v>5.219563</v>
      </c>
      <c r="E34" s="46">
        <f t="shared" si="32"/>
        <v>4.4720969999999998</v>
      </c>
      <c r="F34" s="46">
        <f t="shared" si="32"/>
        <v>3.0480800000000001</v>
      </c>
      <c r="G34" s="80">
        <f t="shared" si="2"/>
        <v>4.3193529999999996</v>
      </c>
      <c r="H34" s="81">
        <f t="shared" si="3"/>
        <v>210.364948114052</v>
      </c>
      <c r="I34" s="79">
        <f t="shared" si="4"/>
        <v>0.18296040133169786</v>
      </c>
      <c r="J34" s="79">
        <f t="shared" si="5"/>
        <v>0.193</v>
      </c>
      <c r="K34" s="79">
        <f t="shared" si="6"/>
        <v>0.50273339548770379</v>
      </c>
      <c r="L34">
        <f t="shared" si="7"/>
        <v>5</v>
      </c>
      <c r="P34" s="42"/>
    </row>
    <row r="35" spans="1:16" ht="13.15" x14ac:dyDescent="0.4">
      <c r="A35" s="68" t="s">
        <v>166</v>
      </c>
      <c r="B35" s="46">
        <f t="shared" ref="B35:F35" si="33">L79</f>
        <v>3.7220230000000001</v>
      </c>
      <c r="C35" s="46">
        <f t="shared" si="33"/>
        <v>3.4526819999999998</v>
      </c>
      <c r="D35" s="46">
        <f t="shared" si="33"/>
        <v>4.4008079999999996</v>
      </c>
      <c r="E35" s="46">
        <f t="shared" si="33"/>
        <v>3.7606269999999999</v>
      </c>
      <c r="F35" s="46">
        <f t="shared" si="33"/>
        <v>2.844875</v>
      </c>
      <c r="G35" s="80">
        <f t="shared" si="2"/>
        <v>3.6362029999999996</v>
      </c>
      <c r="H35" s="81">
        <f t="shared" si="3"/>
        <v>177.09357290945201</v>
      </c>
      <c r="I35" s="79">
        <f t="shared" si="4"/>
        <v>0.13845692335568721</v>
      </c>
      <c r="J35" s="79">
        <f t="shared" si="5"/>
        <v>0.27500000000000002</v>
      </c>
      <c r="K35" s="79">
        <f t="shared" si="6"/>
        <v>0.42790047750359367</v>
      </c>
      <c r="L35">
        <f t="shared" si="7"/>
        <v>5</v>
      </c>
      <c r="P35" s="42"/>
    </row>
    <row r="36" spans="1:16" ht="13.15" x14ac:dyDescent="0.4">
      <c r="A36" s="68" t="s">
        <v>167</v>
      </c>
      <c r="B36" s="46">
        <f t="shared" ref="B36:F36" si="34">L80</f>
        <v>1.276122</v>
      </c>
      <c r="C36" s="46">
        <f t="shared" si="34"/>
        <v>0.60929699999999998</v>
      </c>
      <c r="D36" s="46">
        <f t="shared" si="34"/>
        <v>0.51172200000000001</v>
      </c>
      <c r="E36" s="46">
        <f t="shared" si="34"/>
        <v>0.40655400000000003</v>
      </c>
      <c r="F36" s="46">
        <f t="shared" si="34"/>
        <v>0.40641100000000002</v>
      </c>
      <c r="G36" s="80">
        <f t="shared" si="2"/>
        <v>0.64202119999999996</v>
      </c>
      <c r="H36" s="81">
        <f t="shared" si="3"/>
        <v>31.268284029140801</v>
      </c>
      <c r="I36" s="79">
        <f t="shared" si="4"/>
        <v>0.50763260170543911</v>
      </c>
      <c r="J36" s="79">
        <f t="shared" si="5"/>
        <v>0.27500000000000002</v>
      </c>
      <c r="K36" s="79">
        <f t="shared" si="6"/>
        <v>1.3546452983172517</v>
      </c>
      <c r="L36">
        <f t="shared" si="7"/>
        <v>5</v>
      </c>
      <c r="P36" s="42"/>
    </row>
    <row r="37" spans="1:16" ht="13.15" x14ac:dyDescent="0.4">
      <c r="A37" s="68" t="s">
        <v>168</v>
      </c>
      <c r="B37" s="46">
        <f t="shared" ref="B37:F37" si="35">L81</f>
        <v>0.21268699999999999</v>
      </c>
      <c r="C37" s="46">
        <f t="shared" si="35"/>
        <v>0.30464799999999997</v>
      </c>
      <c r="D37" s="46">
        <f t="shared" si="35"/>
        <v>0.20468900000000001</v>
      </c>
      <c r="E37" s="46">
        <f t="shared" si="35"/>
        <v>0</v>
      </c>
      <c r="F37" s="46">
        <f t="shared" si="35"/>
        <v>0.101603</v>
      </c>
      <c r="G37" s="80">
        <f t="shared" si="2"/>
        <v>0.16472539999999999</v>
      </c>
      <c r="H37" s="81">
        <f t="shared" si="3"/>
        <v>8.0226020480536011</v>
      </c>
      <c r="I37" s="79">
        <f t="shared" si="4"/>
        <v>0.63435067039029724</v>
      </c>
      <c r="J37" s="79">
        <f t="shared" si="5"/>
        <v>0.27500000000000002</v>
      </c>
      <c r="K37" s="79">
        <f t="shared" si="6"/>
        <v>1.8494294140430072</v>
      </c>
      <c r="L37">
        <f t="shared" si="7"/>
        <v>5</v>
      </c>
    </row>
    <row r="38" spans="1:16" ht="13.15" x14ac:dyDescent="0.4">
      <c r="A38" s="68" t="s">
        <v>169</v>
      </c>
      <c r="B38" s="46">
        <f t="shared" ref="B38:F38" si="36">L82</f>
        <v>0.10634399999999999</v>
      </c>
      <c r="C38" s="46">
        <f t="shared" si="36"/>
        <v>0</v>
      </c>
      <c r="D38" s="46">
        <f t="shared" si="36"/>
        <v>0</v>
      </c>
      <c r="E38" s="46">
        <f t="shared" si="36"/>
        <v>0</v>
      </c>
      <c r="F38" s="46">
        <f t="shared" si="36"/>
        <v>0</v>
      </c>
      <c r="G38" s="80">
        <f t="shared" si="2"/>
        <v>2.1268799999999997E-2</v>
      </c>
      <c r="H38" s="81">
        <f t="shared" si="3"/>
        <v>1.0358518992192001</v>
      </c>
      <c r="I38" s="79">
        <f t="shared" si="4"/>
        <v>2</v>
      </c>
      <c r="J38" s="79">
        <f t="shared" si="5"/>
        <v>0.27500000000000002</v>
      </c>
      <c r="K38" s="79">
        <f t="shared" si="6"/>
        <v>5</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38" priority="1" operator="greaterThan">
      <formula>1000</formula>
    </cfRule>
  </conditionalFormatting>
  <conditionalFormatting sqref="K9:K40">
    <cfRule type="cellIs" dxfId="37"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50AC-2751-4EFE-B550-68FA24EA3F9E}">
  <sheetPr codeName="Sheet20"/>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352</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R52</f>
        <v>9.3969489999999993</v>
      </c>
      <c r="C8" s="46">
        <f t="shared" ref="C8:F8" si="0">S52</f>
        <v>9.8371519999999997</v>
      </c>
      <c r="D8" s="46">
        <f t="shared" si="0"/>
        <v>9.7742649999999998</v>
      </c>
      <c r="E8" s="46">
        <f>U52</f>
        <v>9.8321760000000005</v>
      </c>
      <c r="F8" s="46">
        <f t="shared" si="0"/>
        <v>9.1000800000000002</v>
      </c>
      <c r="G8" s="78">
        <f>AVERAGE(B$8:F$8)*5</f>
        <v>47.940621999999998</v>
      </c>
      <c r="I8" s="79"/>
      <c r="K8" s="79"/>
    </row>
    <row r="9" spans="1:49" ht="13.15" x14ac:dyDescent="0.4">
      <c r="A9" s="68" t="s">
        <v>140</v>
      </c>
      <c r="B9" s="46">
        <f t="shared" ref="B9:E9" si="1">R53</f>
        <v>1752.4837649999999</v>
      </c>
      <c r="C9" s="46">
        <f t="shared" si="1"/>
        <v>1785.7811280000001</v>
      </c>
      <c r="D9" s="46">
        <f t="shared" si="1"/>
        <v>1859.2701420000001</v>
      </c>
      <c r="E9" s="46">
        <f t="shared" si="1"/>
        <v>1825.231689</v>
      </c>
      <c r="F9" s="46"/>
      <c r="G9" s="80">
        <f t="shared" ref="G9:G38" si="2">AVERAGE(B9:F9)</f>
        <v>1805.691681</v>
      </c>
      <c r="H9" s="81">
        <f t="shared" ref="H9:H38" si="3">G9*G$8</f>
        <v>86565.982327365578</v>
      </c>
      <c r="I9" s="79">
        <f t="shared" ref="I9:I38" si="4">STDEVP(B9:F9)/AVERAGE(B9:F9)</f>
        <v>2.2290155617870507E-2</v>
      </c>
      <c r="J9" s="79">
        <f t="shared" ref="J9:J38" si="5">IF(H9&gt;$A$43, $C$43, IF(H9&gt;$A$44, $C$44, IF(H9&gt;$A$45,$C$45,IF(H9&gt;$A$46,$C$46, IF(H9&gt;$A$47,$C$47,IF(H9&gt;$A$48,$C$48,$C$49))))))/100</f>
        <v>0.11</v>
      </c>
      <c r="K9" s="79">
        <f t="shared" ref="K9:K38" si="6">(MAX(B9:F9)-MIN(B9:F9))/G9</f>
        <v>5.9138765562048425E-2</v>
      </c>
      <c r="L9">
        <f t="shared" ref="L9:L38" si="7">COUNTA(B9:F9)</f>
        <v>4</v>
      </c>
      <c r="P9" s="42"/>
    </row>
    <row r="10" spans="1:49" ht="13.15" x14ac:dyDescent="0.4">
      <c r="A10" s="68" t="s">
        <v>141</v>
      </c>
      <c r="B10" s="46">
        <f t="shared" ref="B10:E10" si="8">R54</f>
        <v>1731.9451899999999</v>
      </c>
      <c r="C10" s="46">
        <f t="shared" si="8"/>
        <v>1763.7219239999999</v>
      </c>
      <c r="D10" s="46">
        <f t="shared" si="8"/>
        <v>1836.0458980000001</v>
      </c>
      <c r="E10" s="46">
        <f t="shared" si="8"/>
        <v>1801.9407960000001</v>
      </c>
      <c r="F10" s="46"/>
      <c r="G10" s="80">
        <f t="shared" si="2"/>
        <v>1783.413452</v>
      </c>
      <c r="H10" s="81">
        <f t="shared" si="3"/>
        <v>85497.950172047145</v>
      </c>
      <c r="I10" s="79">
        <f t="shared" si="4"/>
        <v>2.1986783857993228E-2</v>
      </c>
      <c r="J10" s="79">
        <f t="shared" si="5"/>
        <v>0.11</v>
      </c>
      <c r="K10" s="79">
        <f t="shared" si="6"/>
        <v>5.837160636152932E-2</v>
      </c>
      <c r="L10">
        <f t="shared" si="7"/>
        <v>4</v>
      </c>
      <c r="P10" s="42"/>
    </row>
    <row r="11" spans="1:49" ht="13.15" x14ac:dyDescent="0.4">
      <c r="A11" s="68" t="s">
        <v>142</v>
      </c>
      <c r="B11" s="46">
        <f t="shared" ref="B11:E11" si="9">R55</f>
        <v>1722.899658</v>
      </c>
      <c r="C11" s="46">
        <f t="shared" si="9"/>
        <v>1753.14978</v>
      </c>
      <c r="D11" s="46">
        <f t="shared" si="9"/>
        <v>1824.4849850000001</v>
      </c>
      <c r="E11" s="46">
        <f t="shared" si="9"/>
        <v>1790.142822</v>
      </c>
      <c r="F11" s="46"/>
      <c r="G11" s="80">
        <f t="shared" si="2"/>
        <v>1772.66931125</v>
      </c>
      <c r="H11" s="81">
        <f t="shared" si="3"/>
        <v>84982.869381636585</v>
      </c>
      <c r="I11" s="79">
        <f t="shared" si="4"/>
        <v>2.1570194380064089E-2</v>
      </c>
      <c r="J11" s="79">
        <f t="shared" si="5"/>
        <v>0.11</v>
      </c>
      <c r="K11" s="79">
        <f t="shared" si="6"/>
        <v>5.7306417139002079E-2</v>
      </c>
      <c r="L11">
        <f t="shared" si="7"/>
        <v>4</v>
      </c>
      <c r="P11" s="42"/>
    </row>
    <row r="12" spans="1:49" ht="13.15" x14ac:dyDescent="0.4">
      <c r="A12" s="68" t="s">
        <v>143</v>
      </c>
      <c r="B12" s="46">
        <f t="shared" ref="B12:E12" si="10">R56</f>
        <v>1716.7274170000001</v>
      </c>
      <c r="C12" s="46">
        <f t="shared" si="10"/>
        <v>1747.4570309999999</v>
      </c>
      <c r="D12" s="46">
        <f t="shared" si="10"/>
        <v>1818.4487300000001</v>
      </c>
      <c r="E12" s="46">
        <f t="shared" si="10"/>
        <v>1784.345581</v>
      </c>
      <c r="F12" s="46"/>
      <c r="G12" s="80">
        <f t="shared" si="2"/>
        <v>1766.7446897499999</v>
      </c>
      <c r="H12" s="81">
        <f t="shared" si="3"/>
        <v>84698.83934181201</v>
      </c>
      <c r="I12" s="79">
        <f t="shared" si="4"/>
        <v>2.1658476705550718E-2</v>
      </c>
      <c r="J12" s="79">
        <f t="shared" si="5"/>
        <v>0.11</v>
      </c>
      <c r="K12" s="79">
        <f t="shared" si="6"/>
        <v>5.7575558930585441E-2</v>
      </c>
      <c r="L12">
        <f t="shared" si="7"/>
        <v>4</v>
      </c>
      <c r="P12" s="42"/>
    </row>
    <row r="13" spans="1:49" ht="13.15" x14ac:dyDescent="0.4">
      <c r="A13" s="68" t="s">
        <v>144</v>
      </c>
      <c r="B13" s="46">
        <f t="shared" ref="B13:E13" si="11">R57</f>
        <v>1712.470703</v>
      </c>
      <c r="C13" s="46">
        <f t="shared" si="11"/>
        <v>1743.594116</v>
      </c>
      <c r="D13" s="46">
        <f t="shared" si="11"/>
        <v>1813.8447269999999</v>
      </c>
      <c r="E13" s="46">
        <f t="shared" si="11"/>
        <v>1779.7687989999999</v>
      </c>
      <c r="F13" s="46"/>
      <c r="G13" s="80">
        <f t="shared" si="2"/>
        <v>1762.4195862500001</v>
      </c>
      <c r="H13" s="81">
        <f t="shared" si="3"/>
        <v>84491.491189807653</v>
      </c>
      <c r="I13" s="79">
        <f t="shared" si="4"/>
        <v>2.159638329925289E-2</v>
      </c>
      <c r="J13" s="79">
        <f t="shared" si="5"/>
        <v>0.11</v>
      </c>
      <c r="K13" s="79">
        <f t="shared" si="6"/>
        <v>5.7519801068313822E-2</v>
      </c>
      <c r="L13">
        <f t="shared" si="7"/>
        <v>4</v>
      </c>
      <c r="P13" s="42"/>
    </row>
    <row r="14" spans="1:49" ht="13.15" x14ac:dyDescent="0.4">
      <c r="A14" s="68" t="s">
        <v>145</v>
      </c>
      <c r="B14" s="46">
        <f t="shared" ref="B14:E14" si="12">R58</f>
        <v>1709.278198</v>
      </c>
      <c r="C14" s="46">
        <f t="shared" si="12"/>
        <v>1740.2395019999999</v>
      </c>
      <c r="D14" s="46">
        <f t="shared" si="12"/>
        <v>1809.3431399999999</v>
      </c>
      <c r="E14" s="46">
        <f t="shared" si="12"/>
        <v>1776.412476</v>
      </c>
      <c r="F14" s="46"/>
      <c r="G14" s="80">
        <f t="shared" si="2"/>
        <v>1758.8183289999997</v>
      </c>
      <c r="H14" s="81">
        <f t="shared" si="3"/>
        <v>84318.844677260626</v>
      </c>
      <c r="I14" s="79">
        <f t="shared" si="4"/>
        <v>2.1390589443514955E-2</v>
      </c>
      <c r="J14" s="79">
        <f t="shared" si="5"/>
        <v>0.11</v>
      </c>
      <c r="K14" s="79">
        <f t="shared" si="6"/>
        <v>5.6893279055656228E-2</v>
      </c>
      <c r="L14">
        <f t="shared" si="7"/>
        <v>4</v>
      </c>
      <c r="P14" s="42"/>
    </row>
    <row r="15" spans="1:49" ht="13.15" x14ac:dyDescent="0.4">
      <c r="A15" s="68" t="s">
        <v>146</v>
      </c>
      <c r="B15" s="46">
        <f t="shared" ref="B15:E15" si="13">R59</f>
        <v>1701.9354249999999</v>
      </c>
      <c r="C15" s="46">
        <f t="shared" si="13"/>
        <v>1733.6319579999999</v>
      </c>
      <c r="D15" s="46">
        <f t="shared" si="13"/>
        <v>1800.135254</v>
      </c>
      <c r="E15" s="46">
        <f t="shared" si="13"/>
        <v>1759.122314</v>
      </c>
      <c r="F15" s="46"/>
      <c r="G15" s="80">
        <f t="shared" si="2"/>
        <v>1748.7062377499999</v>
      </c>
      <c r="H15" s="81">
        <f t="shared" si="3"/>
        <v>83834.064733014879</v>
      </c>
      <c r="I15" s="79">
        <f t="shared" si="4"/>
        <v>2.0555214387843614E-2</v>
      </c>
      <c r="J15" s="79">
        <f t="shared" si="5"/>
        <v>0.11</v>
      </c>
      <c r="K15" s="79">
        <f t="shared" si="6"/>
        <v>5.6155703502465043E-2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ref="B16:E16" si="14">R60</f>
        <v>1554.8664550000001</v>
      </c>
      <c r="C16" s="46">
        <f t="shared" si="14"/>
        <v>1615.9149170000001</v>
      </c>
      <c r="D16" s="46">
        <f t="shared" si="14"/>
        <v>1646.261841</v>
      </c>
      <c r="E16" s="46">
        <f t="shared" si="14"/>
        <v>1572.2867429999999</v>
      </c>
      <c r="F16" s="46"/>
      <c r="G16" s="80">
        <f t="shared" si="2"/>
        <v>1597.3324890000001</v>
      </c>
      <c r="H16" s="81">
        <f t="shared" si="3"/>
        <v>76577.113063468161</v>
      </c>
      <c r="I16" s="79">
        <f t="shared" si="4"/>
        <v>2.2507211711641568E-2</v>
      </c>
      <c r="J16" s="79">
        <f t="shared" si="5"/>
        <v>0.11</v>
      </c>
      <c r="K16" s="79">
        <f t="shared" si="6"/>
        <v>5.7217508959088045E-2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ref="B17:E17" si="15">R61</f>
        <v>836.228882</v>
      </c>
      <c r="C17" s="46">
        <f t="shared" si="15"/>
        <v>888.671875</v>
      </c>
      <c r="D17" s="46">
        <f t="shared" si="15"/>
        <v>878.42919900000004</v>
      </c>
      <c r="E17" s="46">
        <f t="shared" si="15"/>
        <v>850.26953100000003</v>
      </c>
      <c r="F17" s="46"/>
      <c r="G17" s="80">
        <f t="shared" si="2"/>
        <v>863.39987174999999</v>
      </c>
      <c r="H17" s="81">
        <f t="shared" si="3"/>
        <v>41391.926886415225</v>
      </c>
      <c r="I17" s="79">
        <f t="shared" si="4"/>
        <v>2.4399702231598423E-2</v>
      </c>
      <c r="J17" s="79">
        <f t="shared" si="5"/>
        <v>0.11</v>
      </c>
      <c r="K17" s="79">
        <f t="shared" si="6"/>
        <v>6.0740098204676393E-2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ref="B18:E18" si="16">R62</f>
        <v>185.16648900000001</v>
      </c>
      <c r="C18" s="46">
        <f t="shared" si="16"/>
        <v>195.58506800000001</v>
      </c>
      <c r="D18" s="46">
        <f t="shared" si="16"/>
        <v>204.312027</v>
      </c>
      <c r="E18" s="46">
        <f t="shared" si="16"/>
        <v>207.27862500000001</v>
      </c>
      <c r="F18" s="46"/>
      <c r="G18" s="80">
        <f t="shared" si="2"/>
        <v>198.08555225000001</v>
      </c>
      <c r="H18" s="81">
        <f t="shared" si="3"/>
        <v>9496.3445840784989</v>
      </c>
      <c r="I18" s="79">
        <f t="shared" si="4"/>
        <v>4.3459308918311984E-2</v>
      </c>
      <c r="J18" s="79">
        <f t="shared" si="5"/>
        <v>0.113</v>
      </c>
      <c r="K18" s="79">
        <f t="shared" si="6"/>
        <v>0.11162922156025133</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ref="B19:E19" si="17">R63</f>
        <v>63.105590999999997</v>
      </c>
      <c r="C19" s="46">
        <f t="shared" si="17"/>
        <v>64.144585000000006</v>
      </c>
      <c r="D19" s="46">
        <f t="shared" si="17"/>
        <v>73.560516000000007</v>
      </c>
      <c r="E19" s="46">
        <f t="shared" si="17"/>
        <v>74.144317999999998</v>
      </c>
      <c r="F19" s="46"/>
      <c r="G19" s="80">
        <f t="shared" si="2"/>
        <v>68.738752500000004</v>
      </c>
      <c r="H19" s="81">
        <f t="shared" si="3"/>
        <v>3295.3785503540548</v>
      </c>
      <c r="I19" s="79">
        <f t="shared" si="4"/>
        <v>7.4644861614194077E-2</v>
      </c>
      <c r="J19" s="79">
        <f t="shared" si="5"/>
        <v>0.11900000000000001</v>
      </c>
      <c r="K19" s="79">
        <f t="shared" si="6"/>
        <v>0.16058957427253281</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ref="B20:E20" si="18">R64</f>
        <v>53.102345</v>
      </c>
      <c r="C20" s="46">
        <f t="shared" si="18"/>
        <v>53.267451999999999</v>
      </c>
      <c r="D20" s="46">
        <f t="shared" si="18"/>
        <v>62.511093000000002</v>
      </c>
      <c r="E20" s="46">
        <f t="shared" si="18"/>
        <v>63.159973000000001</v>
      </c>
      <c r="F20" s="46"/>
      <c r="G20" s="80">
        <f t="shared" si="2"/>
        <v>58.010215750000008</v>
      </c>
      <c r="H20" s="81">
        <f t="shared" si="3"/>
        <v>2781.0458254091968</v>
      </c>
      <c r="I20" s="79">
        <f t="shared" si="4"/>
        <v>8.3280511598929102E-2</v>
      </c>
      <c r="J20" s="79">
        <f t="shared" si="5"/>
        <v>0.11900000000000001</v>
      </c>
      <c r="K20" s="79">
        <f t="shared" si="6"/>
        <v>0.17337684181945143</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ref="B21:E21" si="19">R65</f>
        <v>44.588940000000001</v>
      </c>
      <c r="C21" s="46">
        <f t="shared" si="19"/>
        <v>45.338329000000002</v>
      </c>
      <c r="D21" s="46">
        <f t="shared" si="19"/>
        <v>51.666285999999999</v>
      </c>
      <c r="E21" s="46">
        <f t="shared" si="19"/>
        <v>54.006354999999999</v>
      </c>
      <c r="F21" s="46"/>
      <c r="G21" s="80">
        <f t="shared" si="2"/>
        <v>48.899977499999991</v>
      </c>
      <c r="H21" s="81">
        <f t="shared" si="3"/>
        <v>2344.2953371360045</v>
      </c>
      <c r="I21" s="79">
        <f t="shared" si="4"/>
        <v>8.2434903811593116E-2</v>
      </c>
      <c r="J21" s="79">
        <f t="shared" si="5"/>
        <v>0.11900000000000001</v>
      </c>
      <c r="K21" s="79">
        <f t="shared" si="6"/>
        <v>0.19258526243698168</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ref="B22:E22" si="20">R66</f>
        <v>33.840770999999997</v>
      </c>
      <c r="C22" s="46">
        <f t="shared" si="20"/>
        <v>33.038017000000004</v>
      </c>
      <c r="D22" s="46">
        <f t="shared" si="20"/>
        <v>38.979911999999999</v>
      </c>
      <c r="E22" s="46">
        <f t="shared" si="20"/>
        <v>39.970806000000003</v>
      </c>
      <c r="F22" s="46"/>
      <c r="G22" s="80">
        <f t="shared" si="2"/>
        <v>36.457376500000002</v>
      </c>
      <c r="H22" s="81">
        <f t="shared" si="3"/>
        <v>1747.7893058981831</v>
      </c>
      <c r="I22" s="79">
        <f t="shared" si="4"/>
        <v>8.369981602572929E-2</v>
      </c>
      <c r="J22" s="79">
        <f t="shared" si="5"/>
        <v>0.13400000000000001</v>
      </c>
      <c r="K22" s="79">
        <f t="shared" si="6"/>
        <v>0.1901614889924951</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ref="B23:E23" si="21">R67</f>
        <v>23.943943000000001</v>
      </c>
      <c r="C23" s="46">
        <f t="shared" si="21"/>
        <v>23.177441000000002</v>
      </c>
      <c r="D23" s="46">
        <f t="shared" si="21"/>
        <v>25.577369999999998</v>
      </c>
      <c r="E23" s="46">
        <f t="shared" si="21"/>
        <v>28.477927999999999</v>
      </c>
      <c r="F23" s="46"/>
      <c r="G23" s="80">
        <f t="shared" si="2"/>
        <v>25.2941705</v>
      </c>
      <c r="H23" s="81">
        <f t="shared" si="3"/>
        <v>1212.618266744051</v>
      </c>
      <c r="I23" s="79">
        <f t="shared" si="4"/>
        <v>8.0344627775481958E-2</v>
      </c>
      <c r="J23" s="79">
        <f t="shared" si="5"/>
        <v>0.13400000000000001</v>
      </c>
      <c r="K23" s="79">
        <f t="shared" si="6"/>
        <v>0.20955369933953741</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ref="B24:E24" si="22">R68</f>
        <v>17.346056000000001</v>
      </c>
      <c r="C24" s="46">
        <f t="shared" si="22"/>
        <v>14.943350000000001</v>
      </c>
      <c r="D24" s="46">
        <f t="shared" si="22"/>
        <v>17.597231000000001</v>
      </c>
      <c r="E24" s="46">
        <f t="shared" si="22"/>
        <v>19.934549000000001</v>
      </c>
      <c r="F24" s="46"/>
      <c r="G24" s="80">
        <f t="shared" si="2"/>
        <v>17.455296499999999</v>
      </c>
      <c r="H24" s="81">
        <f t="shared" si="3"/>
        <v>836.81777140442296</v>
      </c>
      <c r="I24" s="79">
        <f t="shared" si="4"/>
        <v>0.10122795662611922</v>
      </c>
      <c r="J24" s="79">
        <f t="shared" si="5"/>
        <v>0.156</v>
      </c>
      <c r="K24" s="79">
        <f t="shared" si="6"/>
        <v>0.28594180568631417</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E25" si="23">R69</f>
        <v>14.047112</v>
      </c>
      <c r="C25" s="46">
        <f t="shared" si="23"/>
        <v>11.080443000000001</v>
      </c>
      <c r="D25" s="46">
        <f t="shared" si="23"/>
        <v>13.811780000000001</v>
      </c>
      <c r="E25" s="46">
        <f t="shared" si="23"/>
        <v>15.967980000000001</v>
      </c>
      <c r="F25" s="46"/>
      <c r="G25" s="80">
        <f t="shared" si="2"/>
        <v>13.726828749999999</v>
      </c>
      <c r="H25" s="81">
        <f t="shared" si="3"/>
        <v>658.07270836248244</v>
      </c>
      <c r="I25" s="79">
        <f t="shared" si="4"/>
        <v>0.12689252618244984</v>
      </c>
      <c r="J25" s="79">
        <f t="shared" si="5"/>
        <v>0.156</v>
      </c>
      <c r="K25" s="79">
        <f t="shared" si="6"/>
        <v>0.35605725758034246</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ref="B26:E26" si="24">R70</f>
        <v>12.876519999999999</v>
      </c>
      <c r="C26" s="46">
        <f t="shared" si="24"/>
        <v>9.6572680000000002</v>
      </c>
      <c r="D26" s="46">
        <f t="shared" si="24"/>
        <v>12.686375999999999</v>
      </c>
      <c r="E26" s="46">
        <f t="shared" si="24"/>
        <v>14.645790999999999</v>
      </c>
      <c r="F26" s="46"/>
      <c r="G26" s="80">
        <f t="shared" si="2"/>
        <v>12.46648875</v>
      </c>
      <c r="H26" s="81">
        <f t="shared" si="3"/>
        <v>597.65122483100242</v>
      </c>
      <c r="I26" s="79">
        <f t="shared" si="4"/>
        <v>0.14381528938934662</v>
      </c>
      <c r="J26" s="79">
        <f t="shared" si="5"/>
        <v>0.156</v>
      </c>
      <c r="K26" s="79">
        <f t="shared" si="6"/>
        <v>0.40015461450602913</v>
      </c>
      <c r="L26">
        <f t="shared" si="7"/>
        <v>4</v>
      </c>
      <c r="P26" s="42"/>
    </row>
    <row r="27" spans="1:49" ht="13.15" x14ac:dyDescent="0.4">
      <c r="A27" s="68" t="s">
        <v>158</v>
      </c>
      <c r="B27" s="46">
        <f t="shared" ref="B27:E27" si="25">R71</f>
        <v>10.961004000000001</v>
      </c>
      <c r="C27" s="46">
        <f t="shared" si="25"/>
        <v>8.5390569999999997</v>
      </c>
      <c r="D27" s="46">
        <f t="shared" si="25"/>
        <v>10.947113999999999</v>
      </c>
      <c r="E27" s="46">
        <f t="shared" si="25"/>
        <v>13.018481</v>
      </c>
      <c r="F27" s="46"/>
      <c r="G27" s="80">
        <f t="shared" si="2"/>
        <v>10.866414000000001</v>
      </c>
      <c r="H27" s="81">
        <f t="shared" si="3"/>
        <v>520.94264606950799</v>
      </c>
      <c r="I27" s="79">
        <f t="shared" si="4"/>
        <v>0.1459677947871533</v>
      </c>
      <c r="J27" s="79">
        <f t="shared" si="5"/>
        <v>0.156</v>
      </c>
      <c r="K27" s="79">
        <f t="shared" si="6"/>
        <v>0.41222651741411653</v>
      </c>
      <c r="L27">
        <f t="shared" si="7"/>
        <v>4</v>
      </c>
      <c r="P27" s="42"/>
    </row>
    <row r="28" spans="1:49" ht="13.15" x14ac:dyDescent="0.4">
      <c r="A28" s="68" t="s">
        <v>159</v>
      </c>
      <c r="B28" s="46">
        <f t="shared" ref="B28:E28" si="26">R72</f>
        <v>9.0454889999999999</v>
      </c>
      <c r="C28" s="46">
        <f t="shared" si="26"/>
        <v>6.9125699999999997</v>
      </c>
      <c r="D28" s="46">
        <f t="shared" si="26"/>
        <v>8.4916870000000007</v>
      </c>
      <c r="E28" s="46">
        <f t="shared" si="26"/>
        <v>11.492877999999999</v>
      </c>
      <c r="F28" s="46"/>
      <c r="G28" s="80">
        <f t="shared" si="2"/>
        <v>8.9856559999999988</v>
      </c>
      <c r="H28" s="81">
        <f t="shared" si="3"/>
        <v>430.77793771803192</v>
      </c>
      <c r="I28" s="79">
        <f t="shared" si="4"/>
        <v>0.18313155218666463</v>
      </c>
      <c r="J28" s="79">
        <f t="shared" si="5"/>
        <v>0.193</v>
      </c>
      <c r="K28" s="79">
        <f t="shared" si="6"/>
        <v>0.50973551624945357</v>
      </c>
      <c r="L28">
        <f t="shared" si="7"/>
        <v>4</v>
      </c>
      <c r="P28" s="42"/>
    </row>
    <row r="29" spans="1:49" ht="13.15" x14ac:dyDescent="0.4">
      <c r="A29" s="68" t="s">
        <v>160</v>
      </c>
      <c r="B29" s="46">
        <f t="shared" ref="B29:E29" si="27">R73</f>
        <v>8.3005669999999991</v>
      </c>
      <c r="C29" s="46">
        <f t="shared" si="27"/>
        <v>5.4893939999999999</v>
      </c>
      <c r="D29" s="46">
        <f t="shared" si="27"/>
        <v>6.5478069999999997</v>
      </c>
      <c r="E29" s="46">
        <f t="shared" si="27"/>
        <v>9.6621539999999992</v>
      </c>
      <c r="F29" s="46"/>
      <c r="G29" s="80">
        <f t="shared" si="2"/>
        <v>7.4999804999999995</v>
      </c>
      <c r="H29" s="81">
        <f t="shared" si="3"/>
        <v>359.55373015787097</v>
      </c>
      <c r="I29" s="79">
        <f t="shared" si="4"/>
        <v>0.21359441123056327</v>
      </c>
      <c r="J29" s="79">
        <f t="shared" si="5"/>
        <v>0.193</v>
      </c>
      <c r="K29" s="79">
        <f t="shared" si="6"/>
        <v>0.55636944656056098</v>
      </c>
      <c r="L29">
        <f t="shared" si="7"/>
        <v>4</v>
      </c>
      <c r="P29" s="42"/>
    </row>
    <row r="30" spans="1:49" ht="13.15" x14ac:dyDescent="0.4">
      <c r="A30" s="68" t="s">
        <v>161</v>
      </c>
      <c r="B30" s="46">
        <f t="shared" ref="B30:E30" si="28">R74</f>
        <v>6.9171389999999997</v>
      </c>
      <c r="C30" s="46">
        <f t="shared" si="28"/>
        <v>4.9811170000000002</v>
      </c>
      <c r="D30" s="46">
        <f t="shared" si="28"/>
        <v>5.2177829999999998</v>
      </c>
      <c r="E30" s="46">
        <f t="shared" si="28"/>
        <v>8.1365510000000008</v>
      </c>
      <c r="F30" s="46"/>
      <c r="G30" s="80">
        <f t="shared" si="2"/>
        <v>6.3131475000000004</v>
      </c>
      <c r="H30" s="81">
        <f t="shared" si="3"/>
        <v>302.65621792774499</v>
      </c>
      <c r="I30" s="79">
        <f t="shared" si="4"/>
        <v>0.20444802386482741</v>
      </c>
      <c r="J30" s="79">
        <f t="shared" si="5"/>
        <v>0.193</v>
      </c>
      <c r="K30" s="79">
        <f t="shared" si="6"/>
        <v>0.49981946406289418</v>
      </c>
      <c r="L30">
        <f t="shared" si="7"/>
        <v>4</v>
      </c>
      <c r="P30" s="42"/>
    </row>
    <row r="31" spans="1:49" ht="13.15" x14ac:dyDescent="0.4">
      <c r="A31" s="68" t="s">
        <v>162</v>
      </c>
      <c r="B31" s="46">
        <f t="shared" ref="B31:E31" si="29">R75</f>
        <v>5.4272939999999998</v>
      </c>
      <c r="C31" s="46">
        <f t="shared" si="29"/>
        <v>4.0662180000000001</v>
      </c>
      <c r="D31" s="46">
        <f t="shared" si="29"/>
        <v>4.0923790000000002</v>
      </c>
      <c r="E31" s="46">
        <f t="shared" si="29"/>
        <v>7.5263090000000004</v>
      </c>
      <c r="F31" s="46"/>
      <c r="G31" s="80">
        <f t="shared" si="2"/>
        <v>5.2780500000000004</v>
      </c>
      <c r="H31" s="81">
        <f t="shared" si="3"/>
        <v>253.0329999471</v>
      </c>
      <c r="I31" s="79">
        <f t="shared" si="4"/>
        <v>0.26712555196785703</v>
      </c>
      <c r="J31" s="79">
        <f t="shared" si="5"/>
        <v>0.193</v>
      </c>
      <c r="K31" s="79">
        <f t="shared" si="6"/>
        <v>0.65556237625638258</v>
      </c>
      <c r="L31">
        <f t="shared" si="7"/>
        <v>4</v>
      </c>
      <c r="P31" s="42"/>
    </row>
    <row r="32" spans="1:49" ht="13.15" x14ac:dyDescent="0.4">
      <c r="A32" s="68" t="s">
        <v>163</v>
      </c>
      <c r="B32" s="46">
        <f t="shared" ref="B32:E32" si="30">R76</f>
        <v>4.3631180000000001</v>
      </c>
      <c r="C32" s="46">
        <f t="shared" si="30"/>
        <v>3.5579399999999999</v>
      </c>
      <c r="D32" s="46">
        <f t="shared" si="30"/>
        <v>3.580832</v>
      </c>
      <c r="E32" s="46">
        <f t="shared" si="30"/>
        <v>6.7126539999999997</v>
      </c>
      <c r="F32" s="46"/>
      <c r="G32" s="80">
        <f t="shared" si="2"/>
        <v>4.553636</v>
      </c>
      <c r="H32" s="81">
        <f t="shared" si="3"/>
        <v>218.30414220159199</v>
      </c>
      <c r="I32" s="79">
        <f t="shared" si="4"/>
        <v>0.28284317533104486</v>
      </c>
      <c r="J32" s="79">
        <f t="shared" si="5"/>
        <v>0.193</v>
      </c>
      <c r="K32" s="79">
        <f t="shared" si="6"/>
        <v>0.69279011321941408</v>
      </c>
      <c r="L32">
        <f t="shared" si="7"/>
        <v>4</v>
      </c>
      <c r="P32" s="42"/>
    </row>
    <row r="33" spans="1:16" ht="13.15" x14ac:dyDescent="0.4">
      <c r="A33" s="68" t="s">
        <v>164</v>
      </c>
      <c r="B33" s="46">
        <f t="shared" ref="B33:E33" si="31">R77</f>
        <v>3.5117780000000001</v>
      </c>
      <c r="C33" s="46">
        <f t="shared" si="31"/>
        <v>3.252974</v>
      </c>
      <c r="D33" s="46">
        <f t="shared" si="31"/>
        <v>3.2739029999999998</v>
      </c>
      <c r="E33" s="46">
        <f t="shared" si="31"/>
        <v>5.7972919999999997</v>
      </c>
      <c r="F33" s="46"/>
      <c r="G33" s="80">
        <f t="shared" si="2"/>
        <v>3.9589867499999993</v>
      </c>
      <c r="H33" s="81">
        <f t="shared" si="3"/>
        <v>189.79628728475845</v>
      </c>
      <c r="I33" s="79">
        <f t="shared" si="4"/>
        <v>0.26931209864276362</v>
      </c>
      <c r="J33" s="79">
        <f t="shared" si="5"/>
        <v>0.27500000000000002</v>
      </c>
      <c r="K33" s="79">
        <f t="shared" si="6"/>
        <v>0.64266898594697242</v>
      </c>
      <c r="L33">
        <f t="shared" si="7"/>
        <v>4</v>
      </c>
      <c r="P33" s="42"/>
    </row>
    <row r="34" spans="1:16" ht="13.15" x14ac:dyDescent="0.4">
      <c r="A34" s="68" t="s">
        <v>165</v>
      </c>
      <c r="B34" s="46">
        <f t="shared" ref="B34:E34" si="32">R78</f>
        <v>2.6604380000000001</v>
      </c>
      <c r="C34" s="46">
        <f t="shared" si="32"/>
        <v>2.7446969999999999</v>
      </c>
      <c r="D34" s="46">
        <f t="shared" si="32"/>
        <v>2.4554269999999998</v>
      </c>
      <c r="E34" s="46">
        <f t="shared" si="32"/>
        <v>5.2887579999999996</v>
      </c>
      <c r="F34" s="46"/>
      <c r="G34" s="80">
        <f t="shared" si="2"/>
        <v>3.2873299999999999</v>
      </c>
      <c r="H34" s="81">
        <f t="shared" si="3"/>
        <v>157.59664491925997</v>
      </c>
      <c r="I34" s="79">
        <f t="shared" si="4"/>
        <v>0.3529624117269326</v>
      </c>
      <c r="J34" s="79">
        <f t="shared" si="5"/>
        <v>0.27500000000000002</v>
      </c>
      <c r="K34" s="79">
        <f t="shared" si="6"/>
        <v>0.86189430327956118</v>
      </c>
      <c r="L34">
        <f t="shared" si="7"/>
        <v>4</v>
      </c>
      <c r="P34" s="42"/>
    </row>
    <row r="35" spans="1:16" ht="13.15" x14ac:dyDescent="0.4">
      <c r="A35" s="68" t="s">
        <v>166</v>
      </c>
      <c r="B35" s="46">
        <f t="shared" ref="B35:E35" si="33">R79</f>
        <v>2.1283500000000002</v>
      </c>
      <c r="C35" s="46">
        <f t="shared" si="33"/>
        <v>2.4397310000000001</v>
      </c>
      <c r="D35" s="46">
        <f t="shared" si="33"/>
        <v>1.636952</v>
      </c>
      <c r="E35" s="46">
        <f t="shared" si="33"/>
        <v>4.6785170000000003</v>
      </c>
      <c r="F35" s="46"/>
      <c r="G35" s="80">
        <f t="shared" si="2"/>
        <v>2.7208874999999999</v>
      </c>
      <c r="H35" s="81">
        <f t="shared" si="3"/>
        <v>130.44103914202498</v>
      </c>
      <c r="I35" s="79">
        <f t="shared" si="4"/>
        <v>0.4285033537997795</v>
      </c>
      <c r="J35" s="79">
        <f t="shared" si="5"/>
        <v>0.27500000000000002</v>
      </c>
      <c r="K35" s="79">
        <f t="shared" si="6"/>
        <v>1.1178576843033754</v>
      </c>
      <c r="L35">
        <f t="shared" si="7"/>
        <v>4</v>
      </c>
      <c r="P35" s="42"/>
    </row>
    <row r="36" spans="1:16" ht="13.15" x14ac:dyDescent="0.4">
      <c r="A36" s="68" t="s">
        <v>167</v>
      </c>
      <c r="B36" s="46">
        <f t="shared" ref="B36:E36" si="34">R80</f>
        <v>0.31925300000000001</v>
      </c>
      <c r="C36" s="46">
        <f t="shared" si="34"/>
        <v>0</v>
      </c>
      <c r="D36" s="46">
        <f t="shared" si="34"/>
        <v>0.30692799999999998</v>
      </c>
      <c r="E36" s="46">
        <f t="shared" si="34"/>
        <v>1.3221890000000001</v>
      </c>
      <c r="F36" s="46"/>
      <c r="G36" s="80">
        <f t="shared" si="2"/>
        <v>0.48709250000000004</v>
      </c>
      <c r="H36" s="81">
        <f t="shared" si="3"/>
        <v>23.351517421535</v>
      </c>
      <c r="I36" s="79">
        <f t="shared" si="4"/>
        <v>1.0240708988227558</v>
      </c>
      <c r="J36" s="79">
        <f t="shared" si="5"/>
        <v>0.27500000000000002</v>
      </c>
      <c r="K36" s="79">
        <f t="shared" si="6"/>
        <v>2.7144515672074605</v>
      </c>
      <c r="L36">
        <f t="shared" si="7"/>
        <v>4</v>
      </c>
      <c r="P36" s="42"/>
    </row>
    <row r="37" spans="1:16" ht="13.15" x14ac:dyDescent="0.4">
      <c r="A37" s="68" t="s">
        <v>168</v>
      </c>
      <c r="B37" s="46">
        <f t="shared" ref="B37:E37" si="35">R81</f>
        <v>0.106418</v>
      </c>
      <c r="C37" s="46">
        <f t="shared" si="35"/>
        <v>0</v>
      </c>
      <c r="D37" s="46">
        <f t="shared" si="35"/>
        <v>0</v>
      </c>
      <c r="E37" s="46">
        <f t="shared" si="35"/>
        <v>0.50853400000000004</v>
      </c>
      <c r="F37" s="46"/>
      <c r="G37" s="80">
        <f t="shared" si="2"/>
        <v>0.15373800000000001</v>
      </c>
      <c r="H37" s="81">
        <f t="shared" si="3"/>
        <v>7.3702953450360003</v>
      </c>
      <c r="I37" s="79">
        <f t="shared" si="4"/>
        <v>1.3620446714002032</v>
      </c>
      <c r="J37" s="79">
        <f t="shared" si="5"/>
        <v>0.27500000000000002</v>
      </c>
      <c r="K37" s="79">
        <f t="shared" si="6"/>
        <v>3.3077963808557413</v>
      </c>
      <c r="L37">
        <f t="shared" si="7"/>
        <v>4</v>
      </c>
    </row>
    <row r="38" spans="1:16" ht="13.15" x14ac:dyDescent="0.4">
      <c r="A38" s="68" t="s">
        <v>169</v>
      </c>
      <c r="B38" s="46">
        <f t="shared" ref="B38:E38" si="36">R82</f>
        <v>0</v>
      </c>
      <c r="C38" s="46">
        <f t="shared" si="36"/>
        <v>0</v>
      </c>
      <c r="D38" s="46">
        <f t="shared" si="36"/>
        <v>0</v>
      </c>
      <c r="E38" s="46">
        <f t="shared" si="36"/>
        <v>0.20341400000000001</v>
      </c>
      <c r="F38" s="46"/>
      <c r="G38" s="80">
        <f t="shared" si="2"/>
        <v>5.0853500000000003E-2</v>
      </c>
      <c r="H38" s="81">
        <f t="shared" si="3"/>
        <v>2.4379484208769999</v>
      </c>
      <c r="I38" s="79">
        <f t="shared" si="4"/>
        <v>1.7320508075688772</v>
      </c>
      <c r="J38" s="79">
        <f t="shared" si="5"/>
        <v>0.27500000000000002</v>
      </c>
      <c r="K38" s="79">
        <f t="shared" si="6"/>
        <v>4</v>
      </c>
      <c r="L38">
        <f t="shared" si="7"/>
        <v>4</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f>'A - B1'!A51</f>
        <v>0</v>
      </c>
      <c r="C51" s="65" t="str">
        <f>'A - B1'!B51</f>
        <v>Portion 1</v>
      </c>
      <c r="D51" s="65" t="str">
        <f>'A - B1'!C51</f>
        <v>Portion 2</v>
      </c>
      <c r="E51" s="65" t="str">
        <f>'A - B1'!D51</f>
        <v>Portion 3</v>
      </c>
      <c r="F51" s="65" t="str">
        <f>'A - B1'!E51</f>
        <v>Portion 4</v>
      </c>
      <c r="G51" s="65" t="str">
        <f>'A - B1'!F51</f>
        <v>Portion 5</v>
      </c>
      <c r="H51" s="65" t="str">
        <f>'A - B1'!G51</f>
        <v>Portion 1</v>
      </c>
      <c r="I51" s="65" t="str">
        <f>'A - B1'!H51</f>
        <v>Portion 2</v>
      </c>
      <c r="J51" s="65" t="str">
        <f>'A - B1'!I51</f>
        <v>Portion 3</v>
      </c>
      <c r="K51" s="65" t="str">
        <f>'A - B1'!J51</f>
        <v>Portion 4</v>
      </c>
      <c r="L51" s="65" t="str">
        <f>'A - B1'!K51</f>
        <v>Portion 5</v>
      </c>
      <c r="M51" s="65" t="str">
        <f>'A - B1'!L51</f>
        <v>Portion 1</v>
      </c>
      <c r="N51" s="65" t="str">
        <f>'A - B1'!M51</f>
        <v>Portion 2</v>
      </c>
      <c r="O51" s="65" t="str">
        <f>'A - B1'!N51</f>
        <v>Portion 3</v>
      </c>
      <c r="P51" s="65" t="str">
        <f>'A - B1'!O51</f>
        <v>Portion 4</v>
      </c>
      <c r="Q51" t="str">
        <f>'A - B1'!P51</f>
        <v>Portion 5</v>
      </c>
      <c r="R51" t="str">
        <f>'A - B1'!Q51</f>
        <v>Portion 1</v>
      </c>
      <c r="S51" t="str">
        <f>'A - B1'!R51</f>
        <v>Portion 2</v>
      </c>
      <c r="T51" t="str">
        <f>'A - B1'!S51</f>
        <v>Portion 3</v>
      </c>
      <c r="U51" t="str">
        <f>'A - B1'!T51</f>
        <v>Portion 4</v>
      </c>
      <c r="V51" t="str">
        <f>'A - B1'!U51</f>
        <v>Portion 5</v>
      </c>
      <c r="W51" t="str">
        <f>'A - B1'!V51</f>
        <v>Portion 1</v>
      </c>
      <c r="X51" t="str">
        <f>'A - B1'!W51</f>
        <v>Portion 2</v>
      </c>
      <c r="Y51" t="str">
        <f>'A - B1'!X51</f>
        <v>Portion 3</v>
      </c>
      <c r="Z51" t="str">
        <f>'A - B1'!Y51</f>
        <v>Portion 4</v>
      </c>
      <c r="AA51" t="str">
        <f>'A - B1'!Z51</f>
        <v>Portion 5</v>
      </c>
    </row>
    <row r="52" spans="1:31" ht="13.15" x14ac:dyDescent="0.4">
      <c r="A52" s="65"/>
      <c r="B52" s="50" t="str">
        <f>'A - B1'!A52</f>
        <v>NAME\mL</v>
      </c>
      <c r="C52" s="50">
        <f>'A - B1'!B52</f>
        <v>9.4013469999999995</v>
      </c>
      <c r="D52" s="50">
        <f>'A - B1'!C52</f>
        <v>9.8436819999999994</v>
      </c>
      <c r="E52" s="50">
        <f>'A - B1'!D52</f>
        <v>9.7738219999999991</v>
      </c>
      <c r="F52" s="50">
        <f>'A - B1'!E52</f>
        <v>9.8394490000000001</v>
      </c>
      <c r="G52" s="50">
        <f>'A - B1'!F52</f>
        <v>9.8386399999999998</v>
      </c>
      <c r="H52" s="50">
        <f>'A - B1'!G52</f>
        <v>9.3964200000000009</v>
      </c>
      <c r="I52" s="50">
        <f>'A - B1'!H52</f>
        <v>9.8391719999999996</v>
      </c>
      <c r="J52" s="50">
        <f>'A - B1'!I52</f>
        <v>9.7717980000000004</v>
      </c>
      <c r="K52" s="50">
        <f>'A - B1'!J52</f>
        <v>9.8409580000000005</v>
      </c>
      <c r="L52" s="50">
        <f>'A - B1'!K52</f>
        <v>9.8377719999999993</v>
      </c>
      <c r="M52" s="50">
        <f>'A - B1'!L52</f>
        <v>9.4034879999999994</v>
      </c>
      <c r="N52" s="50">
        <f>'A - B1'!M52</f>
        <v>9.8474179999999993</v>
      </c>
      <c r="O52" s="50">
        <f>'A - B1'!N52</f>
        <v>9.7709329999999994</v>
      </c>
      <c r="P52" s="50">
        <f>'A - B1'!O52</f>
        <v>9.8387840000000004</v>
      </c>
      <c r="Q52" s="50">
        <f>'A - B1'!P52</f>
        <v>9.8422610000000006</v>
      </c>
      <c r="R52" s="50">
        <f>'A - B1'!Q52</f>
        <v>9.3969489999999993</v>
      </c>
      <c r="S52" s="50">
        <f>'A - B1'!R52</f>
        <v>9.8371519999999997</v>
      </c>
      <c r="T52" s="50">
        <f>'A - B1'!S52</f>
        <v>9.7742649999999998</v>
      </c>
      <c r="U52" s="50">
        <f>'A - B1'!T52</f>
        <v>9.8321760000000005</v>
      </c>
      <c r="V52" s="50">
        <f>'A - B1'!U52</f>
        <v>9.1000800000000002</v>
      </c>
      <c r="W52" s="50">
        <f>'A - B1'!V52</f>
        <v>9.3977529999999998</v>
      </c>
      <c r="X52" s="50">
        <f>'A - B1'!W52</f>
        <v>9.8388399999999994</v>
      </c>
      <c r="Y52" s="50">
        <f>'A - B1'!X52</f>
        <v>9.7722610000000003</v>
      </c>
      <c r="Z52" s="50">
        <f>'A - B1'!Y52</f>
        <v>9.8395860000000006</v>
      </c>
      <c r="AA52" s="50">
        <f>'A - B1'!Z52</f>
        <v>9.8540539999999996</v>
      </c>
      <c r="AB52" s="50"/>
      <c r="AC52" s="50"/>
      <c r="AD52" s="50"/>
      <c r="AE52" s="50"/>
    </row>
    <row r="53" spans="1:31" ht="13.15" x14ac:dyDescent="0.4">
      <c r="A53" s="8"/>
      <c r="B53" s="50">
        <f>'A - B1'!A53</f>
        <v>4</v>
      </c>
      <c r="C53" s="50">
        <f>'A - B1'!B53</f>
        <v>1838.779053</v>
      </c>
      <c r="D53" s="50">
        <f>'A - B1'!C53</f>
        <v>1741.0151370000001</v>
      </c>
      <c r="E53" s="50">
        <f>'A - B1'!D53</f>
        <v>1871.9392089999999</v>
      </c>
      <c r="F53" s="50">
        <f>'A - B1'!E53</f>
        <v>1865.043457</v>
      </c>
      <c r="G53" s="50">
        <f>'A - B1'!F53</f>
        <v>1799.740601</v>
      </c>
      <c r="H53" s="50">
        <f>'A - B1'!G53</f>
        <v>1826.3339840000001</v>
      </c>
      <c r="I53" s="50">
        <f>'A - B1'!H53</f>
        <v>1807.367432</v>
      </c>
      <c r="J53" s="50">
        <f>'A - B1'!I53</f>
        <v>1885.8350829999999</v>
      </c>
      <c r="K53" s="50">
        <f>'A - B1'!J53</f>
        <v>1797.4876710000001</v>
      </c>
      <c r="L53" s="50">
        <f>'A - B1'!K53</f>
        <v>1750.1929929999999</v>
      </c>
      <c r="M53" s="50">
        <f>'A - B1'!L53</f>
        <v>1868.0302730000001</v>
      </c>
      <c r="N53" s="50">
        <f>'A - B1'!M53</f>
        <v>1786.965942</v>
      </c>
      <c r="O53" s="50">
        <f>'A - B1'!N53</f>
        <v>1832.9876710000001</v>
      </c>
      <c r="P53" s="50">
        <f>'A - B1'!O53</f>
        <v>1774.2030030000001</v>
      </c>
      <c r="Q53" s="50">
        <f>'A - B1'!P53</f>
        <v>1677.1552730000001</v>
      </c>
      <c r="R53" s="50">
        <f>'A - B1'!Q53</f>
        <v>1752.4837649999999</v>
      </c>
      <c r="S53" s="50">
        <f>'A - B1'!R53</f>
        <v>1785.7811280000001</v>
      </c>
      <c r="T53" s="50">
        <f>'A - B1'!S53</f>
        <v>1859.2701420000001</v>
      </c>
      <c r="U53" s="50">
        <f>'A - B1'!T53</f>
        <v>1825.231689</v>
      </c>
      <c r="V53" s="50">
        <f>'A - B1'!U53</f>
        <v>1559.5467530000001</v>
      </c>
      <c r="W53" s="50">
        <f>'A - B1'!V53</f>
        <v>1852.6770019999999</v>
      </c>
      <c r="X53" s="50">
        <f>'A - B1'!W53</f>
        <v>1816.169312</v>
      </c>
      <c r="Y53" s="50">
        <f>'A - B1'!X53</f>
        <v>1907.951538</v>
      </c>
      <c r="Z53" s="50">
        <f>'A - B1'!Y53</f>
        <v>1826.3979489999999</v>
      </c>
      <c r="AA53" s="50">
        <f>'A - B1'!Z53</f>
        <v>1571.3328859999999</v>
      </c>
      <c r="AB53" s="50"/>
      <c r="AC53" s="50"/>
      <c r="AD53" s="50"/>
      <c r="AE53" s="50"/>
    </row>
    <row r="54" spans="1:31" ht="13.15" x14ac:dyDescent="0.4">
      <c r="A54" s="8"/>
      <c r="B54" s="50">
        <f>'A - B1'!A54</f>
        <v>5</v>
      </c>
      <c r="C54" s="50">
        <f>'A - B1'!B54</f>
        <v>1813.7825929999999</v>
      </c>
      <c r="D54" s="50">
        <f>'A - B1'!C54</f>
        <v>1715.1102289999999</v>
      </c>
      <c r="E54" s="50">
        <f>'A - B1'!D54</f>
        <v>1844.825928</v>
      </c>
      <c r="F54" s="50">
        <f>'A - B1'!E54</f>
        <v>1840.3469239999999</v>
      </c>
      <c r="G54" s="50">
        <f>'A - B1'!F54</f>
        <v>1776.6683350000001</v>
      </c>
      <c r="H54" s="50">
        <f>'A - B1'!G54</f>
        <v>1803.772217</v>
      </c>
      <c r="I54" s="50">
        <f>'A - B1'!H54</f>
        <v>1784.8045649999999</v>
      </c>
      <c r="J54" s="50">
        <f>'A - B1'!I54</f>
        <v>1861.274658</v>
      </c>
      <c r="K54" s="50">
        <f>'A - B1'!J54</f>
        <v>1776.6563719999999</v>
      </c>
      <c r="L54" s="50">
        <f>'A - B1'!K54</f>
        <v>1730.0664059999999</v>
      </c>
      <c r="M54" s="50">
        <f>'A - B1'!L54</f>
        <v>1845.4853519999999</v>
      </c>
      <c r="N54" s="50">
        <f>'A - B1'!M54</f>
        <v>1766.757568</v>
      </c>
      <c r="O54" s="50">
        <f>'A - B1'!N54</f>
        <v>1810.0625</v>
      </c>
      <c r="P54" s="50">
        <f>'A - B1'!O54</f>
        <v>1753.2653809999999</v>
      </c>
      <c r="Q54" s="50">
        <f>'A - B1'!P54</f>
        <v>1657.3426509999999</v>
      </c>
      <c r="R54" s="50">
        <f>'A - B1'!Q54</f>
        <v>1731.9451899999999</v>
      </c>
      <c r="S54" s="50">
        <f>'A - B1'!R54</f>
        <v>1763.7219239999999</v>
      </c>
      <c r="T54" s="50">
        <f>'A - B1'!S54</f>
        <v>1836.0458980000001</v>
      </c>
      <c r="U54" s="50">
        <f>'A - B1'!T54</f>
        <v>1801.9407960000001</v>
      </c>
      <c r="V54" s="50">
        <f>'A - B1'!U54</f>
        <v>1530.645996</v>
      </c>
      <c r="W54" s="50">
        <f>'A - B1'!V54</f>
        <v>1829.905518</v>
      </c>
      <c r="X54" s="50">
        <f>'A - B1'!W54</f>
        <v>1793.4023440000001</v>
      </c>
      <c r="Y54" s="50">
        <f>'A - B1'!X54</f>
        <v>1883.1876219999999</v>
      </c>
      <c r="Z54" s="50">
        <f>'A - B1'!Y54</f>
        <v>1804.4458010000001</v>
      </c>
      <c r="AA54" s="50">
        <f>'A - B1'!Z54</f>
        <v>1553.4722899999999</v>
      </c>
      <c r="AB54" s="50"/>
      <c r="AC54" s="50"/>
      <c r="AD54" s="50"/>
      <c r="AE54" s="50"/>
    </row>
    <row r="55" spans="1:31" ht="13.15" x14ac:dyDescent="0.4">
      <c r="A55" s="8"/>
      <c r="B55" s="50">
        <f>'A - B1'!A55</f>
        <v>6</v>
      </c>
      <c r="C55" s="50">
        <f>'A - B1'!B55</f>
        <v>1798.5720209999999</v>
      </c>
      <c r="D55" s="50">
        <f>'A - B1'!C55</f>
        <v>1700.684692</v>
      </c>
      <c r="E55" s="50">
        <f>'A - B1'!D55</f>
        <v>1830.501953</v>
      </c>
      <c r="F55" s="50">
        <f>'A - B1'!E55</f>
        <v>1827.134888</v>
      </c>
      <c r="G55" s="50">
        <f>'A - B1'!F55</f>
        <v>1764.0649410000001</v>
      </c>
      <c r="H55" s="50">
        <f>'A - B1'!G55</f>
        <v>1792.278442</v>
      </c>
      <c r="I55" s="50">
        <f>'A - B1'!H55</f>
        <v>1771.8969729999999</v>
      </c>
      <c r="J55" s="50">
        <f>'A - B1'!I55</f>
        <v>1847.254639</v>
      </c>
      <c r="K55" s="50">
        <f>'A - B1'!J55</f>
        <v>1765.783447</v>
      </c>
      <c r="L55" s="50">
        <f>'A - B1'!K55</f>
        <v>1720.511475</v>
      </c>
      <c r="M55" s="50">
        <f>'A - B1'!L55</f>
        <v>1834.0002440000001</v>
      </c>
      <c r="N55" s="50">
        <f>'A - B1'!M55</f>
        <v>1754.0638429999999</v>
      </c>
      <c r="O55" s="50">
        <f>'A - B1'!N55</f>
        <v>1797.6788329999999</v>
      </c>
      <c r="P55" s="50">
        <f>'A - B1'!O55</f>
        <v>1740.7639160000001</v>
      </c>
      <c r="Q55" s="50">
        <f>'A - B1'!P55</f>
        <v>1646.2680660000001</v>
      </c>
      <c r="R55" s="50">
        <f>'A - B1'!Q55</f>
        <v>1722.899658</v>
      </c>
      <c r="S55" s="50">
        <f>'A - B1'!R55</f>
        <v>1753.14978</v>
      </c>
      <c r="T55" s="50">
        <f>'A - B1'!S55</f>
        <v>1824.4849850000001</v>
      </c>
      <c r="U55" s="50">
        <f>'A - B1'!T55</f>
        <v>1790.142822</v>
      </c>
      <c r="V55" s="50">
        <f>'A - B1'!U55</f>
        <v>1513.8328859999999</v>
      </c>
      <c r="W55" s="50">
        <f>'A - B1'!V55</f>
        <v>1818.413452</v>
      </c>
      <c r="X55" s="50">
        <f>'A - B1'!W55</f>
        <v>1782.4255370000001</v>
      </c>
      <c r="Y55" s="50">
        <f>'A - B1'!X55</f>
        <v>1872.1358640000001</v>
      </c>
      <c r="Z55" s="50">
        <f>'A - B1'!Y55</f>
        <v>1792.351807</v>
      </c>
      <c r="AA55" s="50">
        <f>'A - B1'!Z55</f>
        <v>1542.6137699999999</v>
      </c>
      <c r="AB55" s="50"/>
      <c r="AC55" s="50"/>
      <c r="AD55" s="50"/>
      <c r="AE55" s="50"/>
    </row>
    <row r="56" spans="1:31" ht="13.15" x14ac:dyDescent="0.4">
      <c r="A56" s="8"/>
      <c r="B56" s="50">
        <f>'A - B1'!A56</f>
        <v>7</v>
      </c>
      <c r="C56" s="50">
        <f>'A - B1'!B56</f>
        <v>1788.041626</v>
      </c>
      <c r="D56" s="50">
        <f>'A - B1'!C56</f>
        <v>1691.033813</v>
      </c>
      <c r="E56" s="50">
        <f>'A - B1'!D56</f>
        <v>1820.5775149999999</v>
      </c>
      <c r="F56" s="50">
        <f>'A - B1'!E56</f>
        <v>1818.5977780000001</v>
      </c>
      <c r="G56" s="50">
        <f>'A - B1'!F56</f>
        <v>1754.7139890000001</v>
      </c>
      <c r="H56" s="50">
        <f>'A - B1'!G56</f>
        <v>1785.8930660000001</v>
      </c>
      <c r="I56" s="50">
        <f>'A - B1'!H56</f>
        <v>1764.7825929999999</v>
      </c>
      <c r="J56" s="50">
        <f>'A - B1'!I56</f>
        <v>1840.1936040000001</v>
      </c>
      <c r="K56" s="50">
        <f>'A - B1'!J56</f>
        <v>1759.4832759999999</v>
      </c>
      <c r="L56" s="50">
        <f>'A - B1'!K56</f>
        <v>1716.1405030000001</v>
      </c>
      <c r="M56" s="50">
        <f>'A - B1'!L56</f>
        <v>1827.194336</v>
      </c>
      <c r="N56" s="50">
        <f>'A - B1'!M56</f>
        <v>1747.0570070000001</v>
      </c>
      <c r="O56" s="50">
        <f>'A - B1'!N56</f>
        <v>1789.5936280000001</v>
      </c>
      <c r="P56" s="50">
        <f>'A - B1'!O56</f>
        <v>1733.3442379999999</v>
      </c>
      <c r="Q56" s="50">
        <f>'A - B1'!P56</f>
        <v>1639.5622559999999</v>
      </c>
      <c r="R56" s="50">
        <f>'A - B1'!Q56</f>
        <v>1716.7274170000001</v>
      </c>
      <c r="S56" s="50">
        <f>'A - B1'!R56</f>
        <v>1747.4570309999999</v>
      </c>
      <c r="T56" s="50">
        <f>'A - B1'!S56</f>
        <v>1818.4487300000001</v>
      </c>
      <c r="U56" s="50">
        <f>'A - B1'!T56</f>
        <v>1784.345581</v>
      </c>
      <c r="V56" s="50">
        <f>'A - B1'!U56</f>
        <v>1505.9208980000001</v>
      </c>
      <c r="W56" s="50">
        <f>'A - B1'!V56</f>
        <v>1811.9224850000001</v>
      </c>
      <c r="X56" s="50">
        <f>'A - B1'!W56</f>
        <v>1773.3797609999999</v>
      </c>
      <c r="Y56" s="50">
        <f>'A - B1'!X56</f>
        <v>1864.8704829999999</v>
      </c>
      <c r="Z56" s="50">
        <f>'A - B1'!Y56</f>
        <v>1784.7294919999999</v>
      </c>
      <c r="AA56" s="50">
        <f>'A - B1'!Z56</f>
        <v>1535.9160159999999</v>
      </c>
      <c r="AB56" s="50"/>
      <c r="AC56" s="50"/>
      <c r="AD56" s="50"/>
      <c r="AE56" s="50"/>
    </row>
    <row r="57" spans="1:31" ht="13.15" x14ac:dyDescent="0.4">
      <c r="A57" s="8"/>
      <c r="B57" s="50">
        <f>'A - B1'!A57</f>
        <v>8</v>
      </c>
      <c r="C57" s="50">
        <f>'A - B1'!B57</f>
        <v>1782.4041749999999</v>
      </c>
      <c r="D57" s="50">
        <f>'A - B1'!C57</f>
        <v>1685.2432859999999</v>
      </c>
      <c r="E57" s="50">
        <f>'A - B1'!D57</f>
        <v>1814.3363039999999</v>
      </c>
      <c r="F57" s="50">
        <f>'A - B1'!E57</f>
        <v>1812.9063719999999</v>
      </c>
      <c r="G57" s="50">
        <f>'A - B1'!F57</f>
        <v>1749.5303960000001</v>
      </c>
      <c r="H57" s="50">
        <f>'A - B1'!G57</f>
        <v>1781.3167719999999</v>
      </c>
      <c r="I57" s="50">
        <f>'A - B1'!H57</f>
        <v>1760.107422</v>
      </c>
      <c r="J57" s="50">
        <f>'A - B1'!I57</f>
        <v>1837.1235349999999</v>
      </c>
      <c r="K57" s="50">
        <f>'A - B1'!J57</f>
        <v>1755.1137699999999</v>
      </c>
      <c r="L57" s="50">
        <f>'A - B1'!K57</f>
        <v>1712.3795170000001</v>
      </c>
      <c r="M57" s="50">
        <f>'A - B1'!L57</f>
        <v>1822.30249</v>
      </c>
      <c r="N57" s="50">
        <f>'A - B1'!M57</f>
        <v>1743.299683</v>
      </c>
      <c r="O57" s="50">
        <f>'A - B1'!N57</f>
        <v>1785.3975829999999</v>
      </c>
      <c r="P57" s="50">
        <f>'A - B1'!O57</f>
        <v>1728.973755</v>
      </c>
      <c r="Q57" s="50">
        <f>'A - B1'!P57</f>
        <v>1634.58374</v>
      </c>
      <c r="R57" s="50">
        <f>'A - B1'!Q57</f>
        <v>1712.470703</v>
      </c>
      <c r="S57" s="50">
        <f>'A - B1'!R57</f>
        <v>1743.594116</v>
      </c>
      <c r="T57" s="50">
        <f>'A - B1'!S57</f>
        <v>1813.8447269999999</v>
      </c>
      <c r="U57" s="50">
        <f>'A - B1'!T57</f>
        <v>1779.7687989999999</v>
      </c>
      <c r="V57" s="50">
        <f>'A - B1'!U57</f>
        <v>1501.7451169999999</v>
      </c>
      <c r="W57" s="50">
        <f>'A - B1'!V57</f>
        <v>1805.8572999999999</v>
      </c>
      <c r="X57" s="50">
        <f>'A - B1'!W57</f>
        <v>1771.0419919999999</v>
      </c>
      <c r="Y57" s="50">
        <f>'A - B1'!X57</f>
        <v>1858.6282960000001</v>
      </c>
      <c r="Z57" s="50">
        <f>'A - B1'!Y57</f>
        <v>1780.359375</v>
      </c>
      <c r="AA57" s="50">
        <f>'A - B1'!Z57</f>
        <v>1532.871582</v>
      </c>
      <c r="AB57" s="50"/>
      <c r="AC57" s="50"/>
      <c r="AD57" s="50"/>
      <c r="AE57" s="50"/>
    </row>
    <row r="58" spans="1:31" ht="13.15" x14ac:dyDescent="0.4">
      <c r="A58" s="8"/>
      <c r="B58" s="50">
        <f>'A - B1'!A58</f>
        <v>9</v>
      </c>
      <c r="C58" s="50">
        <f>'A - B1'!B58</f>
        <v>1779.4257809999999</v>
      </c>
      <c r="D58" s="50">
        <f>'A - B1'!C58</f>
        <v>1679.8591309999999</v>
      </c>
      <c r="E58" s="50">
        <f>'A - B1'!D58</f>
        <v>1809.322876</v>
      </c>
      <c r="F58" s="50">
        <f>'A - B1'!E58</f>
        <v>1808.536255</v>
      </c>
      <c r="G58" s="50">
        <f>'A - B1'!F58</f>
        <v>1745.7696530000001</v>
      </c>
      <c r="H58" s="50">
        <f>'A - B1'!G58</f>
        <v>1777.6983640000001</v>
      </c>
      <c r="I58" s="50">
        <f>'A - B1'!H58</f>
        <v>1756.753418</v>
      </c>
      <c r="J58" s="50">
        <f>'A - B1'!I58</f>
        <v>1833.030029</v>
      </c>
      <c r="K58" s="50">
        <f>'A - B1'!J58</f>
        <v>1752.674927</v>
      </c>
      <c r="L58" s="50">
        <f>'A - B1'!K58</f>
        <v>1709.1267089999999</v>
      </c>
      <c r="M58" s="50">
        <f>'A - B1'!L58</f>
        <v>1817.623413</v>
      </c>
      <c r="N58" s="50">
        <f>'A - B1'!M58</f>
        <v>1740.2531739999999</v>
      </c>
      <c r="O58" s="50">
        <f>'A - B1'!N58</f>
        <v>1781.099121</v>
      </c>
      <c r="P58" s="50">
        <f>'A - B1'!O58</f>
        <v>1725.213135</v>
      </c>
      <c r="Q58" s="50">
        <f>'A - B1'!P58</f>
        <v>1630.7227780000001</v>
      </c>
      <c r="R58" s="50">
        <f>'A - B1'!Q58</f>
        <v>1709.278198</v>
      </c>
      <c r="S58" s="50">
        <f>'A - B1'!R58</f>
        <v>1740.2395019999999</v>
      </c>
      <c r="T58" s="50">
        <f>'A - B1'!S58</f>
        <v>1809.3431399999999</v>
      </c>
      <c r="U58" s="50">
        <f>'A - B1'!T58</f>
        <v>1776.412476</v>
      </c>
      <c r="V58" s="50">
        <f>'A - B1'!U58</f>
        <v>1496.8000489999999</v>
      </c>
      <c r="W58" s="50">
        <f>'A - B1'!V58</f>
        <v>1802.5585940000001</v>
      </c>
      <c r="X58" s="50">
        <f>'A - B1'!W58</f>
        <v>1767.7895510000001</v>
      </c>
      <c r="Y58" s="50">
        <f>'A - B1'!X58</f>
        <v>1854.944336</v>
      </c>
      <c r="Z58" s="50">
        <f>'A - B1'!Y58</f>
        <v>1776.9039310000001</v>
      </c>
      <c r="AA58" s="50">
        <f>'A - B1'!Z58</f>
        <v>1530.7404790000001</v>
      </c>
      <c r="AB58" s="50"/>
      <c r="AC58" s="50"/>
      <c r="AD58" s="50"/>
      <c r="AE58" s="50"/>
    </row>
    <row r="59" spans="1:31" ht="13.15" x14ac:dyDescent="0.4">
      <c r="A59" s="8"/>
      <c r="B59" s="50">
        <f>'A - B1'!A59</f>
        <v>10</v>
      </c>
      <c r="C59" s="50">
        <f>'A - B1'!B59</f>
        <v>1771.2354740000001</v>
      </c>
      <c r="D59" s="50">
        <f>'A - B1'!C59</f>
        <v>1670.411499</v>
      </c>
      <c r="E59" s="50">
        <f>'A - B1'!D59</f>
        <v>1800.5239260000001</v>
      </c>
      <c r="F59" s="50">
        <f>'A - B1'!E59</f>
        <v>1799.7958980000001</v>
      </c>
      <c r="G59" s="50">
        <f>'A - B1'!F59</f>
        <v>1738.5532229999999</v>
      </c>
      <c r="H59" s="50">
        <f>'A - B1'!G59</f>
        <v>1769.929443</v>
      </c>
      <c r="I59" s="50">
        <f>'A - B1'!H59</f>
        <v>1749.8422849999999</v>
      </c>
      <c r="J59" s="50">
        <f>'A - B1'!I59</f>
        <v>1823.205933</v>
      </c>
      <c r="K59" s="50">
        <f>'A - B1'!J59</f>
        <v>1746.273193</v>
      </c>
      <c r="L59" s="50">
        <f>'A - B1'!K59</f>
        <v>1700.791504</v>
      </c>
      <c r="M59" s="50">
        <f>'A - B1'!L59</f>
        <v>1809.3286129999999</v>
      </c>
      <c r="N59" s="50">
        <f>'A - B1'!M59</f>
        <v>1733.246216</v>
      </c>
      <c r="O59" s="50">
        <f>'A - B1'!N59</f>
        <v>1771.9904790000001</v>
      </c>
      <c r="P59" s="50">
        <f>'A - B1'!O59</f>
        <v>1718.0985109999999</v>
      </c>
      <c r="Q59" s="50">
        <f>'A - B1'!P59</f>
        <v>1623.3057859999999</v>
      </c>
      <c r="R59" s="50">
        <f>'A - B1'!Q59</f>
        <v>1701.9354249999999</v>
      </c>
      <c r="S59" s="50">
        <f>'A - B1'!R59</f>
        <v>1733.6319579999999</v>
      </c>
      <c r="T59" s="50">
        <f>'A - B1'!S59</f>
        <v>1800.135254</v>
      </c>
      <c r="U59" s="50">
        <f>'A - B1'!T59</f>
        <v>1759.122314</v>
      </c>
      <c r="V59" s="50">
        <f>'A - B1'!U59</f>
        <v>1488.009033</v>
      </c>
      <c r="W59" s="50">
        <f>'A - B1'!V59</f>
        <v>1796.3869629999999</v>
      </c>
      <c r="X59" s="50">
        <f>'A - B1'!W59</f>
        <v>1760.8781739999999</v>
      </c>
      <c r="Y59" s="50">
        <f>'A - B1'!X59</f>
        <v>1845.7346190000001</v>
      </c>
      <c r="Z59" s="50">
        <f>'A - B1'!Y59</f>
        <v>1771.1110839999999</v>
      </c>
      <c r="AA59" s="50">
        <f>'A - B1'!Z59</f>
        <v>1524.347168</v>
      </c>
      <c r="AB59" s="50"/>
      <c r="AC59" s="50"/>
      <c r="AD59" s="50"/>
      <c r="AE59" s="50"/>
    </row>
    <row r="60" spans="1:31" ht="13.15" x14ac:dyDescent="0.4">
      <c r="A60" s="8"/>
      <c r="B60" s="50">
        <f>'A - B1'!A60</f>
        <v>11</v>
      </c>
      <c r="C60" s="50">
        <f>'A - B1'!B60</f>
        <v>1627.107178</v>
      </c>
      <c r="D60" s="50">
        <f>'A - B1'!C60</f>
        <v>1540.6835940000001</v>
      </c>
      <c r="E60" s="50">
        <f>'A - B1'!D60</f>
        <v>1664.2414550000001</v>
      </c>
      <c r="F60" s="50">
        <f>'A - B1'!E60</f>
        <v>1658.527832</v>
      </c>
      <c r="G60" s="50">
        <f>'A - B1'!F60</f>
        <v>1624.20813</v>
      </c>
      <c r="H60" s="50">
        <f>'A - B1'!G60</f>
        <v>1620.5108640000001</v>
      </c>
      <c r="I60" s="50">
        <f>'A - B1'!H60</f>
        <v>1619.0385739999999</v>
      </c>
      <c r="J60" s="50">
        <f>'A - B1'!I60</f>
        <v>1655.273682</v>
      </c>
      <c r="K60" s="50">
        <f>'A - B1'!J60</f>
        <v>1625.2482910000001</v>
      </c>
      <c r="L60" s="50">
        <f>'A - B1'!K60</f>
        <v>1551.1641850000001</v>
      </c>
      <c r="M60" s="50">
        <f>'A - B1'!L60</f>
        <v>1661.085693</v>
      </c>
      <c r="N60" s="50">
        <f>'A - B1'!M60</f>
        <v>1613.2147219999999</v>
      </c>
      <c r="O60" s="50">
        <f>'A - B1'!N60</f>
        <v>1603.940918</v>
      </c>
      <c r="P60" s="50">
        <f>'A - B1'!O60</f>
        <v>1591.3551030000001</v>
      </c>
      <c r="Q60" s="50">
        <f>'A - B1'!P60</f>
        <v>1493.6607670000001</v>
      </c>
      <c r="R60" s="50">
        <f>'A - B1'!Q60</f>
        <v>1554.8664550000001</v>
      </c>
      <c r="S60" s="50">
        <f>'A - B1'!R60</f>
        <v>1615.9149170000001</v>
      </c>
      <c r="T60" s="50">
        <f>'A - B1'!S60</f>
        <v>1646.261841</v>
      </c>
      <c r="U60" s="50">
        <f>'A - B1'!T60</f>
        <v>1572.2867429999999</v>
      </c>
      <c r="V60" s="50">
        <f>'A - B1'!U60</f>
        <v>1395.8120120000001</v>
      </c>
      <c r="W60" s="50">
        <f>'A - B1'!V60</f>
        <v>1669.7608640000001</v>
      </c>
      <c r="X60" s="50">
        <f>'A - B1'!W60</f>
        <v>1644.4011230000001</v>
      </c>
      <c r="Y60" s="50">
        <f>'A - B1'!X60</f>
        <v>1686.099121</v>
      </c>
      <c r="Z60" s="50">
        <f>'A - B1'!Y60</f>
        <v>1650.5775149999999</v>
      </c>
      <c r="AA60" s="50">
        <f>'A - B1'!Z60</f>
        <v>1441.9445800000001</v>
      </c>
      <c r="AB60" s="50"/>
      <c r="AC60" s="50"/>
      <c r="AD60" s="50"/>
      <c r="AE60" s="50"/>
    </row>
    <row r="61" spans="1:31" ht="13.15" x14ac:dyDescent="0.4">
      <c r="A61" s="8"/>
      <c r="B61" s="50">
        <f>'A - B1'!A61</f>
        <v>12</v>
      </c>
      <c r="C61" s="50">
        <f>'A - B1'!B61</f>
        <v>879.66119400000002</v>
      </c>
      <c r="D61" s="50">
        <f>'A - B1'!C61</f>
        <v>868.88214100000005</v>
      </c>
      <c r="E61" s="50">
        <f>'A - B1'!D61</f>
        <v>892.79303000000004</v>
      </c>
      <c r="F61" s="50">
        <f>'A - B1'!E61</f>
        <v>902.99774200000002</v>
      </c>
      <c r="G61" s="50">
        <f>'A - B1'!F61</f>
        <v>923.80651899999998</v>
      </c>
      <c r="H61" s="50">
        <f>'A - B1'!G61</f>
        <v>860.540527</v>
      </c>
      <c r="I61" s="50">
        <f>'A - B1'!H61</f>
        <v>883.509277</v>
      </c>
      <c r="J61" s="50">
        <f>'A - B1'!I61</f>
        <v>879.77667199999996</v>
      </c>
      <c r="K61" s="50">
        <f>'A - B1'!J61</f>
        <v>894.72997999999995</v>
      </c>
      <c r="L61" s="50">
        <f>'A - B1'!K61</f>
        <v>854.563354</v>
      </c>
      <c r="M61" s="50">
        <f>'A - B1'!L61</f>
        <v>897.64562999999998</v>
      </c>
      <c r="N61" s="50">
        <f>'A - B1'!M61</f>
        <v>909.98474099999999</v>
      </c>
      <c r="O61" s="50">
        <f>'A - B1'!N61</f>
        <v>836.97229000000004</v>
      </c>
      <c r="P61" s="50">
        <f>'A - B1'!O61</f>
        <v>861.28527799999995</v>
      </c>
      <c r="Q61" s="50">
        <f>'A - B1'!P61</f>
        <v>845.84222399999999</v>
      </c>
      <c r="R61" s="50">
        <f>'A - B1'!Q61</f>
        <v>836.228882</v>
      </c>
      <c r="S61" s="50">
        <f>'A - B1'!R61</f>
        <v>888.671875</v>
      </c>
      <c r="T61" s="50">
        <f>'A - B1'!S61</f>
        <v>878.42919900000004</v>
      </c>
      <c r="U61" s="50">
        <f>'A - B1'!T61</f>
        <v>850.26953100000003</v>
      </c>
      <c r="V61" s="50">
        <f>'A - B1'!U61</f>
        <v>911.31073000000004</v>
      </c>
      <c r="W61" s="50">
        <f>'A - B1'!V61</f>
        <v>920.21997099999999</v>
      </c>
      <c r="X61" s="50">
        <f>'A - B1'!W61</f>
        <v>902.03716999999995</v>
      </c>
      <c r="Y61" s="50">
        <f>'A - B1'!X61</f>
        <v>886.07952899999998</v>
      </c>
      <c r="Z61" s="50">
        <f>'A - B1'!Y61</f>
        <v>918.02642800000001</v>
      </c>
      <c r="AA61" s="50">
        <f>'A - B1'!Z61</f>
        <v>872.73718299999996</v>
      </c>
      <c r="AB61" s="50"/>
      <c r="AC61" s="50"/>
      <c r="AD61" s="50"/>
      <c r="AE61" s="50"/>
    </row>
    <row r="62" spans="1:31" ht="13.15" x14ac:dyDescent="0.4">
      <c r="A62" s="8"/>
      <c r="B62" s="50">
        <f>'A - B1'!A62</f>
        <v>13</v>
      </c>
      <c r="C62" s="50">
        <f>'A - B1'!B62</f>
        <v>199.22676100000001</v>
      </c>
      <c r="D62" s="50">
        <f>'A - B1'!C62</f>
        <v>212.217331</v>
      </c>
      <c r="E62" s="50">
        <f>'A - B1'!D62</f>
        <v>212.81336999999999</v>
      </c>
      <c r="F62" s="50">
        <f>'A - B1'!E62</f>
        <v>217.08532700000001</v>
      </c>
      <c r="G62" s="50">
        <f>'A - B1'!F62</f>
        <v>215.37529000000001</v>
      </c>
      <c r="H62" s="50">
        <f>'A - B1'!G62</f>
        <v>204.86526499999999</v>
      </c>
      <c r="I62" s="50">
        <f>'A - B1'!H62</f>
        <v>205.403458</v>
      </c>
      <c r="J62" s="50">
        <f>'A - B1'!I62</f>
        <v>205.79631000000001</v>
      </c>
      <c r="K62" s="50">
        <f>'A - B1'!J62</f>
        <v>207.09367399999999</v>
      </c>
      <c r="L62" s="50">
        <f>'A - B1'!K62</f>
        <v>193.641403</v>
      </c>
      <c r="M62" s="50">
        <f>'A - B1'!L62</f>
        <v>213.32508899999999</v>
      </c>
      <c r="N62" s="50">
        <f>'A - B1'!M62</f>
        <v>210.71513400000001</v>
      </c>
      <c r="O62" s="50">
        <f>'A - B1'!N62</f>
        <v>201.51606799999999</v>
      </c>
      <c r="P62" s="50">
        <f>'A - B1'!O62</f>
        <v>206.12303199999999</v>
      </c>
      <c r="Q62" s="50">
        <f>'A - B1'!P62</f>
        <v>193.34986900000001</v>
      </c>
      <c r="R62" s="50">
        <f>'A - B1'!Q62</f>
        <v>185.16648900000001</v>
      </c>
      <c r="S62" s="50">
        <f>'A - B1'!R62</f>
        <v>195.58506800000001</v>
      </c>
      <c r="T62" s="50">
        <f>'A - B1'!S62</f>
        <v>204.312027</v>
      </c>
      <c r="U62" s="50">
        <f>'A - B1'!T62</f>
        <v>207.27862500000001</v>
      </c>
      <c r="V62" s="50">
        <f>'A - B1'!U62</f>
        <v>279.22833300000002</v>
      </c>
      <c r="W62" s="50">
        <f>'A - B1'!V62</f>
        <v>213.24246199999999</v>
      </c>
      <c r="X62" s="50">
        <f>'A - B1'!W62</f>
        <v>203.98745700000001</v>
      </c>
      <c r="Y62" s="50">
        <f>'A - B1'!X62</f>
        <v>202.30732699999999</v>
      </c>
      <c r="Z62" s="50">
        <f>'A - B1'!Y62</f>
        <v>211.18774400000001</v>
      </c>
      <c r="AA62" s="50">
        <f>'A - B1'!Z62</f>
        <v>199.61326600000001</v>
      </c>
      <c r="AB62" s="50"/>
      <c r="AC62" s="50"/>
      <c r="AD62" s="50"/>
      <c r="AE62" s="50"/>
    </row>
    <row r="63" spans="1:31" ht="13.15" x14ac:dyDescent="0.4">
      <c r="A63" s="8"/>
      <c r="B63" s="50">
        <f>'A - B1'!A63</f>
        <v>14</v>
      </c>
      <c r="C63" s="50">
        <f>'A - B1'!B63</f>
        <v>79.456695999999994</v>
      </c>
      <c r="D63" s="50">
        <f>'A - B1'!C63</f>
        <v>76.597351000000003</v>
      </c>
      <c r="E63" s="50">
        <f>'A - B1'!D63</f>
        <v>78.167991999999998</v>
      </c>
      <c r="F63" s="50">
        <f>'A - B1'!E63</f>
        <v>79.374367000000007</v>
      </c>
      <c r="G63" s="50">
        <f>'A - B1'!F63</f>
        <v>80.702208999999996</v>
      </c>
      <c r="H63" s="50">
        <f>'A - B1'!G63</f>
        <v>73.964340000000007</v>
      </c>
      <c r="I63" s="50">
        <f>'A - B1'!H63</f>
        <v>69.416404999999997</v>
      </c>
      <c r="J63" s="50">
        <f>'A - B1'!I63</f>
        <v>76.342140000000001</v>
      </c>
      <c r="K63" s="50">
        <f>'A - B1'!J63</f>
        <v>70.724823000000001</v>
      </c>
      <c r="L63" s="50">
        <f>'A - B1'!K63</f>
        <v>66.580116000000004</v>
      </c>
      <c r="M63" s="50">
        <f>'A - B1'!L63</f>
        <v>82.522568000000007</v>
      </c>
      <c r="N63" s="50">
        <f>'A - B1'!M63</f>
        <v>75.552802999999997</v>
      </c>
      <c r="O63" s="50">
        <f>'A - B1'!N63</f>
        <v>76.962967000000006</v>
      </c>
      <c r="P63" s="50">
        <f>'A - B1'!O63</f>
        <v>79.379729999999995</v>
      </c>
      <c r="Q63" s="50">
        <f>'A - B1'!P63</f>
        <v>61.977626999999998</v>
      </c>
      <c r="R63" s="50">
        <f>'A - B1'!Q63</f>
        <v>63.105590999999997</v>
      </c>
      <c r="S63" s="50">
        <f>'A - B1'!R63</f>
        <v>64.144585000000006</v>
      </c>
      <c r="T63" s="50">
        <f>'A - B1'!S63</f>
        <v>73.560516000000007</v>
      </c>
      <c r="U63" s="50">
        <f>'A - B1'!T63</f>
        <v>74.144317999999998</v>
      </c>
      <c r="V63" s="50">
        <f>'A - B1'!U63</f>
        <v>136.04276999999999</v>
      </c>
      <c r="W63" s="50">
        <f>'A - B1'!V63</f>
        <v>66.611671000000001</v>
      </c>
      <c r="X63" s="50">
        <f>'A - B1'!W63</f>
        <v>70.638405000000006</v>
      </c>
      <c r="Y63" s="50">
        <f>'A - B1'!X63</f>
        <v>69.584716999999998</v>
      </c>
      <c r="Z63" s="50">
        <f>'A - B1'!Y63</f>
        <v>68.600448999999998</v>
      </c>
      <c r="AA63" s="50">
        <f>'A - B1'!Z63</f>
        <v>62.207897000000003</v>
      </c>
      <c r="AB63" s="50"/>
      <c r="AC63" s="50"/>
      <c r="AD63" s="50"/>
      <c r="AE63" s="50"/>
    </row>
    <row r="64" spans="1:31" ht="13.15" x14ac:dyDescent="0.4">
      <c r="A64" s="8"/>
      <c r="B64" s="50">
        <f>'A - B1'!A64</f>
        <v>15</v>
      </c>
      <c r="C64" s="50">
        <f>'A - B1'!B64</f>
        <v>68.288086000000007</v>
      </c>
      <c r="D64" s="50">
        <f>'A - B1'!C64</f>
        <v>64.508376999999996</v>
      </c>
      <c r="E64" s="50">
        <f>'A - B1'!D64</f>
        <v>67.220375000000004</v>
      </c>
      <c r="F64" s="50">
        <f>'A - B1'!E64</f>
        <v>66.873665000000003</v>
      </c>
      <c r="G64" s="50">
        <f>'A - B1'!F64</f>
        <v>69.216881000000001</v>
      </c>
      <c r="H64" s="50">
        <f>'A - B1'!G64</f>
        <v>61.299945999999998</v>
      </c>
      <c r="I64" s="50">
        <f>'A - B1'!H64</f>
        <v>58.643143000000002</v>
      </c>
      <c r="J64" s="50">
        <f>'A - B1'!I64</f>
        <v>64.471244999999996</v>
      </c>
      <c r="K64" s="50">
        <f>'A - B1'!J64</f>
        <v>60.156745999999998</v>
      </c>
      <c r="L64" s="50">
        <f>'A - B1'!K64</f>
        <v>55.093772999999999</v>
      </c>
      <c r="M64" s="50">
        <f>'A - B1'!L64</f>
        <v>71.569182999999995</v>
      </c>
      <c r="N64" s="50">
        <f>'A - B1'!M64</f>
        <v>63.366866999999999</v>
      </c>
      <c r="O64" s="50">
        <f>'A - B1'!N64</f>
        <v>64.067573999999993</v>
      </c>
      <c r="P64" s="50">
        <f>'A - B1'!O64</f>
        <v>65.963431999999997</v>
      </c>
      <c r="Q64" s="50">
        <f>'A - B1'!P64</f>
        <v>51.715758999999998</v>
      </c>
      <c r="R64" s="50">
        <f>'A - B1'!Q64</f>
        <v>53.102345</v>
      </c>
      <c r="S64" s="50">
        <f>'A - B1'!R64</f>
        <v>53.267451999999999</v>
      </c>
      <c r="T64" s="50">
        <f>'A - B1'!S64</f>
        <v>62.511093000000002</v>
      </c>
      <c r="U64" s="50">
        <f>'A - B1'!T64</f>
        <v>63.159973000000001</v>
      </c>
      <c r="V64" s="50">
        <f>'A - B1'!U64</f>
        <v>121.97695899999999</v>
      </c>
      <c r="W64" s="50">
        <f>'A - B1'!V64</f>
        <v>56.290053999999998</v>
      </c>
      <c r="X64" s="50">
        <f>'A - B1'!W64</f>
        <v>58.645122999999998</v>
      </c>
      <c r="Y64" s="50">
        <f>'A - B1'!X64</f>
        <v>59.249339999999997</v>
      </c>
      <c r="Z64" s="50">
        <f>'A - B1'!Y64</f>
        <v>57.827632999999999</v>
      </c>
      <c r="AA64" s="50">
        <f>'A - B1'!Z64</f>
        <v>51.653866000000001</v>
      </c>
      <c r="AB64" s="50"/>
      <c r="AC64" s="50"/>
      <c r="AD64" s="50"/>
      <c r="AE64" s="50"/>
    </row>
    <row r="65" spans="1:31" ht="13.15" x14ac:dyDescent="0.4">
      <c r="A65" s="8"/>
      <c r="B65" s="50">
        <f>'A - B1'!A65</f>
        <v>16</v>
      </c>
      <c r="C65" s="50">
        <f>'A - B1'!B65</f>
        <v>57.864047999999997</v>
      </c>
      <c r="D65" s="50">
        <f>'A - B1'!C65</f>
        <v>54.654342999999997</v>
      </c>
      <c r="E65" s="50">
        <f>'A - B1'!D65</f>
        <v>55.863509999999998</v>
      </c>
      <c r="F65" s="50">
        <f>'A - B1'!E65</f>
        <v>57.421913000000004</v>
      </c>
      <c r="G65" s="50">
        <f>'A - B1'!F65</f>
        <v>61.797156999999999</v>
      </c>
      <c r="H65" s="50">
        <f>'A - B1'!G65</f>
        <v>51.402557000000002</v>
      </c>
      <c r="I65" s="50">
        <f>'A - B1'!H65</f>
        <v>48.784592000000004</v>
      </c>
      <c r="J65" s="50">
        <f>'A - B1'!I65</f>
        <v>54.135379999999998</v>
      </c>
      <c r="K65" s="50">
        <f>'A - B1'!J65</f>
        <v>50.198368000000002</v>
      </c>
      <c r="L65" s="50">
        <f>'A - B1'!K65</f>
        <v>46.453606000000001</v>
      </c>
      <c r="M65" s="50">
        <f>'A - B1'!L65</f>
        <v>61.785583000000003</v>
      </c>
      <c r="N65" s="50">
        <f>'A - B1'!M65</f>
        <v>52.704169999999998</v>
      </c>
      <c r="O65" s="50">
        <f>'A - B1'!N65</f>
        <v>54.856583000000001</v>
      </c>
      <c r="P65" s="50">
        <f>'A - B1'!O65</f>
        <v>54.986469</v>
      </c>
      <c r="Q65" s="50">
        <f>'A - B1'!P65</f>
        <v>43.689148000000003</v>
      </c>
      <c r="R65" s="50">
        <f>'A - B1'!Q65</f>
        <v>44.588940000000001</v>
      </c>
      <c r="S65" s="50">
        <f>'A - B1'!R65</f>
        <v>45.338329000000002</v>
      </c>
      <c r="T65" s="50">
        <f>'A - B1'!S65</f>
        <v>51.666285999999999</v>
      </c>
      <c r="U65" s="50">
        <f>'A - B1'!T65</f>
        <v>54.006354999999999</v>
      </c>
      <c r="V65" s="50">
        <f>'A - B1'!U65</f>
        <v>112.41660299999999</v>
      </c>
      <c r="W65" s="50">
        <f>'A - B1'!V65</f>
        <v>48.415829000000002</v>
      </c>
      <c r="X65" s="50">
        <f>'A - B1'!W65</f>
        <v>49.904254999999999</v>
      </c>
      <c r="Y65" s="50">
        <f>'A - B1'!X65</f>
        <v>50.960571000000002</v>
      </c>
      <c r="Z65" s="50">
        <f>'A - B1'!Y65</f>
        <v>48.579276999999998</v>
      </c>
      <c r="AA65" s="50">
        <f>'A - B1'!Z65</f>
        <v>43.230938000000002</v>
      </c>
      <c r="AB65" s="50"/>
      <c r="AC65" s="50"/>
      <c r="AD65" s="50"/>
      <c r="AE65" s="50"/>
    </row>
    <row r="66" spans="1:31" ht="13.15" x14ac:dyDescent="0.4">
      <c r="A66" s="8"/>
      <c r="B66" s="50">
        <f>'A - B1'!A66</f>
        <v>17</v>
      </c>
      <c r="C66" s="50">
        <f>'A - B1'!B66</f>
        <v>42.866196000000002</v>
      </c>
      <c r="D66" s="50">
        <f>'A - B1'!C66</f>
        <v>42.971724999999999</v>
      </c>
      <c r="E66" s="50">
        <f>'A - B1'!D66</f>
        <v>41.027962000000002</v>
      </c>
      <c r="F66" s="50">
        <f>'A - B1'!E66</f>
        <v>44.514687000000002</v>
      </c>
      <c r="G66" s="50">
        <f>'A - B1'!F66</f>
        <v>48.990509000000003</v>
      </c>
      <c r="H66" s="50">
        <f>'A - B1'!G66</f>
        <v>40.653782</v>
      </c>
      <c r="I66" s="50">
        <f>'A - B1'!H66</f>
        <v>38.011325999999997</v>
      </c>
      <c r="J66" s="50">
        <f>'A - B1'!I66</f>
        <v>40.831791000000003</v>
      </c>
      <c r="K66" s="50">
        <f>'A - B1'!J66</f>
        <v>38.410896000000001</v>
      </c>
      <c r="L66" s="50">
        <f>'A - B1'!K66</f>
        <v>36.288704000000003</v>
      </c>
      <c r="M66" s="50">
        <f>'A - B1'!L66</f>
        <v>47.854584000000003</v>
      </c>
      <c r="N66" s="50">
        <f>'A - B1'!M66</f>
        <v>40.822884000000002</v>
      </c>
      <c r="O66" s="50">
        <f>'A - B1'!N66</f>
        <v>40.630713999999998</v>
      </c>
      <c r="P66" s="50">
        <f>'A - B1'!O66</f>
        <v>41.773453000000003</v>
      </c>
      <c r="Q66" s="50">
        <f>'A - B1'!P66</f>
        <v>33.732086000000002</v>
      </c>
      <c r="R66" s="50">
        <f>'A - B1'!Q66</f>
        <v>33.840770999999997</v>
      </c>
      <c r="S66" s="50">
        <f>'A - B1'!R66</f>
        <v>33.038017000000004</v>
      </c>
      <c r="T66" s="50">
        <f>'A - B1'!S66</f>
        <v>38.979911999999999</v>
      </c>
      <c r="U66" s="50">
        <f>'A - B1'!T66</f>
        <v>39.970806000000003</v>
      </c>
      <c r="V66" s="50">
        <f>'A - B1'!U66</f>
        <v>102.08702099999999</v>
      </c>
      <c r="W66" s="50">
        <f>'A - B1'!V66</f>
        <v>37.349353999999998</v>
      </c>
      <c r="X66" s="50">
        <f>'A - B1'!W66</f>
        <v>39.333903999999997</v>
      </c>
      <c r="Y66" s="50">
        <f>'A - B1'!X66</f>
        <v>38.169266</v>
      </c>
      <c r="Z66" s="50">
        <f>'A - B1'!Y66</f>
        <v>37.501575000000003</v>
      </c>
      <c r="AA66" s="50">
        <f>'A - B1'!Z66</f>
        <v>33.184311000000001</v>
      </c>
      <c r="AB66" s="50"/>
      <c r="AC66" s="50"/>
      <c r="AD66" s="50"/>
      <c r="AE66" s="50"/>
    </row>
    <row r="67" spans="1:31" ht="13.15" x14ac:dyDescent="0.4">
      <c r="A67" s="8"/>
      <c r="B67" s="50">
        <f>'A - B1'!A67</f>
        <v>18</v>
      </c>
      <c r="C67" s="50">
        <f>'A - B1'!B67</f>
        <v>30.633907000000001</v>
      </c>
      <c r="D67" s="50">
        <f>'A - B1'!C67</f>
        <v>32.914512999999999</v>
      </c>
      <c r="E67" s="50">
        <f>'A - B1'!D67</f>
        <v>30.387295000000002</v>
      </c>
      <c r="F67" s="50">
        <f>'A - B1'!E67</f>
        <v>32.11562</v>
      </c>
      <c r="G67" s="50">
        <f>'A - B1'!F67</f>
        <v>35.065823000000002</v>
      </c>
      <c r="H67" s="50">
        <f>'A - B1'!G67</f>
        <v>28.734348000000001</v>
      </c>
      <c r="I67" s="50">
        <f>'A - B1'!H67</f>
        <v>27.542967000000001</v>
      </c>
      <c r="J67" s="50">
        <f>'A - B1'!I67</f>
        <v>26.914186000000001</v>
      </c>
      <c r="K67" s="50">
        <f>'A - B1'!J67</f>
        <v>28.046050999999999</v>
      </c>
      <c r="L67" s="50">
        <f>'A - B1'!K67</f>
        <v>25.107309000000001</v>
      </c>
      <c r="M67" s="50">
        <f>'A - B1'!L67</f>
        <v>33.817238000000003</v>
      </c>
      <c r="N67" s="50">
        <f>'A - B1'!M67</f>
        <v>29.449345000000001</v>
      </c>
      <c r="O67" s="50">
        <f>'A - B1'!N67</f>
        <v>28.963456999999998</v>
      </c>
      <c r="P67" s="50">
        <f>'A - B1'!O67</f>
        <v>30.389935000000001</v>
      </c>
      <c r="Q67" s="50">
        <f>'A - B1'!P67</f>
        <v>23.673421999999999</v>
      </c>
      <c r="R67" s="50">
        <f>'A - B1'!Q67</f>
        <v>23.943943000000001</v>
      </c>
      <c r="S67" s="50">
        <f>'A - B1'!R67</f>
        <v>23.177441000000002</v>
      </c>
      <c r="T67" s="50">
        <f>'A - B1'!S67</f>
        <v>25.577369999999998</v>
      </c>
      <c r="U67" s="50">
        <f>'A - B1'!T67</f>
        <v>28.477927999999999</v>
      </c>
      <c r="V67" s="50">
        <f>'A - B1'!U67</f>
        <v>91.647552000000005</v>
      </c>
      <c r="W67" s="50">
        <f>'A - B1'!V67</f>
        <v>25.644428000000001</v>
      </c>
      <c r="X67" s="50">
        <f>'A - B1'!W67</f>
        <v>28.865190999999999</v>
      </c>
      <c r="Y67" s="50">
        <f>'A - B1'!X67</f>
        <v>26.503592000000001</v>
      </c>
      <c r="Z67" s="50">
        <f>'A - B1'!Y67</f>
        <v>24.899422000000001</v>
      </c>
      <c r="AA67" s="50">
        <f>'A - B1'!Z67</f>
        <v>23.137684</v>
      </c>
      <c r="AB67" s="50"/>
      <c r="AC67" s="50"/>
      <c r="AD67" s="50"/>
      <c r="AE67" s="50"/>
    </row>
    <row r="68" spans="1:31" ht="13.15" x14ac:dyDescent="0.4">
      <c r="A68" s="8"/>
      <c r="B68" s="50">
        <f>'A - B1'!A68</f>
        <v>19</v>
      </c>
      <c r="C68" s="50">
        <f>'A - B1'!B68</f>
        <v>21.486281999999999</v>
      </c>
      <c r="D68" s="50">
        <f>'A - B1'!C68</f>
        <v>23.670003999999999</v>
      </c>
      <c r="E68" s="50">
        <f>'A - B1'!D68</f>
        <v>22.09985</v>
      </c>
      <c r="F68" s="50">
        <f>'A - B1'!E68</f>
        <v>24.696504999999998</v>
      </c>
      <c r="G68" s="50">
        <f>'A - B1'!F68</f>
        <v>25.308375999999999</v>
      </c>
      <c r="H68" s="50">
        <f>'A - B1'!G68</f>
        <v>20.859009</v>
      </c>
      <c r="I68" s="50">
        <f>'A - B1'!H68</f>
        <v>19.310568</v>
      </c>
      <c r="J68" s="50">
        <f>'A - B1'!I68</f>
        <v>19.239038000000001</v>
      </c>
      <c r="K68" s="50">
        <f>'A - B1'!J68</f>
        <v>20.526457000000001</v>
      </c>
      <c r="L68" s="50">
        <f>'A - B1'!K68</f>
        <v>16.772089000000001</v>
      </c>
      <c r="M68" s="50">
        <f>'A - B1'!L68</f>
        <v>24.565351</v>
      </c>
      <c r="N68" s="50">
        <f>'A - B1'!M68</f>
        <v>20.919188999999999</v>
      </c>
      <c r="O68" s="50">
        <f>'A - B1'!N68</f>
        <v>20.366529</v>
      </c>
      <c r="P68" s="50">
        <f>'A - B1'!O68</f>
        <v>22.258848</v>
      </c>
      <c r="Q68" s="50">
        <f>'A - B1'!P68</f>
        <v>17.069248000000002</v>
      </c>
      <c r="R68" s="50">
        <f>'A - B1'!Q68</f>
        <v>17.346056000000001</v>
      </c>
      <c r="S68" s="50">
        <f>'A - B1'!R68</f>
        <v>14.943350000000001</v>
      </c>
      <c r="T68" s="50">
        <f>'A - B1'!S68</f>
        <v>17.597231000000001</v>
      </c>
      <c r="U68" s="50">
        <f>'A - B1'!T68</f>
        <v>19.934549000000001</v>
      </c>
      <c r="V68" s="50">
        <f>'A - B1'!U68</f>
        <v>82.306976000000006</v>
      </c>
      <c r="W68" s="50">
        <f>'A - B1'!V68</f>
        <v>17.450980999999999</v>
      </c>
      <c r="X68" s="50">
        <f>'A - B1'!W68</f>
        <v>20.022684000000002</v>
      </c>
      <c r="Y68" s="50">
        <f>'A - B1'!X68</f>
        <v>18.624146</v>
      </c>
      <c r="Z68" s="50">
        <f>'A - B1'!Y68</f>
        <v>16.667368</v>
      </c>
      <c r="AA68" s="50">
        <f>'A - B1'!Z68</f>
        <v>15.729566</v>
      </c>
      <c r="AB68" s="50"/>
      <c r="AC68" s="50"/>
      <c r="AD68" s="50"/>
      <c r="AE68" s="50"/>
    </row>
    <row r="69" spans="1:31" ht="13.15" x14ac:dyDescent="0.4">
      <c r="A69" s="8"/>
      <c r="B69" s="50">
        <f>'A - B1'!A69</f>
        <v>20</v>
      </c>
      <c r="C69" s="50">
        <f>'A - B1'!B69</f>
        <v>18.720721999999999</v>
      </c>
      <c r="D69" s="50">
        <f>'A - B1'!C69</f>
        <v>20.216013</v>
      </c>
      <c r="E69" s="50">
        <f>'A - B1'!D69</f>
        <v>18.825797999999999</v>
      </c>
      <c r="F69" s="50">
        <f>'A - B1'!E69</f>
        <v>21.139395</v>
      </c>
      <c r="G69" s="50">
        <f>'A - B1'!F69</f>
        <v>21.242773</v>
      </c>
      <c r="H69" s="50">
        <f>'A - B1'!G69</f>
        <v>18.091996999999999</v>
      </c>
      <c r="I69" s="50">
        <f>'A - B1'!H69</f>
        <v>16.159894999999999</v>
      </c>
      <c r="J69" s="50">
        <f>'A - B1'!I69</f>
        <v>15.554967</v>
      </c>
      <c r="K69" s="50">
        <f>'A - B1'!J69</f>
        <v>16.156963000000001</v>
      </c>
      <c r="L69" s="50">
        <f>'A - B1'!K69</f>
        <v>13.62097</v>
      </c>
      <c r="M69" s="50">
        <f>'A - B1'!L69</f>
        <v>19.673549999999999</v>
      </c>
      <c r="N69" s="50">
        <f>'A - B1'!M69</f>
        <v>18.482002000000001</v>
      </c>
      <c r="O69" s="50">
        <f>'A - B1'!N69</f>
        <v>17.705576000000001</v>
      </c>
      <c r="P69" s="50">
        <f>'A - B1'!O69</f>
        <v>17.888390000000001</v>
      </c>
      <c r="Q69" s="50">
        <f>'A - B1'!P69</f>
        <v>14.833989000000001</v>
      </c>
      <c r="R69" s="50">
        <f>'A - B1'!Q69</f>
        <v>14.047112</v>
      </c>
      <c r="S69" s="50">
        <f>'A - B1'!R69</f>
        <v>11.080443000000001</v>
      </c>
      <c r="T69" s="50">
        <f>'A - B1'!S69</f>
        <v>13.811780000000001</v>
      </c>
      <c r="U69" s="50">
        <f>'A - B1'!T69</f>
        <v>15.967980000000001</v>
      </c>
      <c r="V69" s="50">
        <f>'A - B1'!U69</f>
        <v>76.592735000000005</v>
      </c>
      <c r="W69" s="50">
        <f>'A - B1'!V69</f>
        <v>15.003587</v>
      </c>
      <c r="X69" s="50">
        <f>'A - B1'!W69</f>
        <v>16.871905999999999</v>
      </c>
      <c r="Y69" s="50">
        <f>'A - B1'!X69</f>
        <v>15.656561999999999</v>
      </c>
      <c r="Z69" s="50">
        <f>'A - B1'!Y69</f>
        <v>12.602156000000001</v>
      </c>
      <c r="AA69" s="50">
        <f>'A - B1'!Z69</f>
        <v>13.192539</v>
      </c>
      <c r="AB69" s="50"/>
      <c r="AC69" s="50"/>
      <c r="AD69" s="50"/>
      <c r="AE69" s="50"/>
    </row>
    <row r="70" spans="1:31" ht="13.15" x14ac:dyDescent="0.4">
      <c r="A70" s="8"/>
      <c r="B70" s="50">
        <f>'A - B1'!A70</f>
        <v>21</v>
      </c>
      <c r="C70" s="50">
        <f>'A - B1'!B70</f>
        <v>16.38063</v>
      </c>
      <c r="D70" s="50">
        <f>'A - B1'!C70</f>
        <v>18.082664000000001</v>
      </c>
      <c r="E70" s="50">
        <f>'A - B1'!D70</f>
        <v>17.495714</v>
      </c>
      <c r="F70" s="50">
        <f>'A - B1'!E70</f>
        <v>19.208393000000001</v>
      </c>
      <c r="G70" s="50">
        <f>'A - B1'!F70</f>
        <v>18.600131999999999</v>
      </c>
      <c r="H70" s="50">
        <f>'A - B1'!G70</f>
        <v>15.537832999999999</v>
      </c>
      <c r="I70" s="50">
        <f>'A - B1'!H70</f>
        <v>13.822301</v>
      </c>
      <c r="J70" s="50">
        <f>'A - B1'!I70</f>
        <v>14.019938</v>
      </c>
      <c r="K70" s="50">
        <f>'A - B1'!J70</f>
        <v>14.937571</v>
      </c>
      <c r="L70" s="50">
        <f>'A - B1'!K70</f>
        <v>12.197884</v>
      </c>
      <c r="M70" s="50">
        <f>'A - B1'!L70</f>
        <v>17.227650000000001</v>
      </c>
      <c r="N70" s="50">
        <f>'A - B1'!M70</f>
        <v>17.060310000000001</v>
      </c>
      <c r="O70" s="50">
        <f>'A - B1'!N70</f>
        <v>15.965722</v>
      </c>
      <c r="P70" s="50">
        <f>'A - B1'!O70</f>
        <v>15.245786000000001</v>
      </c>
      <c r="Q70" s="50">
        <f>'A - B1'!P70</f>
        <v>13.513154999999999</v>
      </c>
      <c r="R70" s="50">
        <f>'A - B1'!Q70</f>
        <v>12.876519999999999</v>
      </c>
      <c r="S70" s="50">
        <f>'A - B1'!R70</f>
        <v>9.6572680000000002</v>
      </c>
      <c r="T70" s="50">
        <f>'A - B1'!S70</f>
        <v>12.686375999999999</v>
      </c>
      <c r="U70" s="50">
        <f>'A - B1'!T70</f>
        <v>14.645790999999999</v>
      </c>
      <c r="V70" s="50">
        <f>'A - B1'!U70</f>
        <v>74.394951000000006</v>
      </c>
      <c r="W70" s="50">
        <f>'A - B1'!V70</f>
        <v>12.875419000000001</v>
      </c>
      <c r="X70" s="50">
        <f>'A - B1'!W70</f>
        <v>14.839147000000001</v>
      </c>
      <c r="Y70" s="50">
        <f>'A - B1'!X70</f>
        <v>14.121605000000001</v>
      </c>
      <c r="Z70" s="50">
        <f>'A - B1'!Y70</f>
        <v>10.976070999999999</v>
      </c>
      <c r="AA70" s="50">
        <f>'A - B1'!Z70</f>
        <v>11.873284999999999</v>
      </c>
      <c r="AB70" s="50"/>
      <c r="AC70" s="50"/>
      <c r="AD70" s="50"/>
      <c r="AE70" s="50"/>
    </row>
    <row r="71" spans="1:31" ht="13.15" x14ac:dyDescent="0.4">
      <c r="A71" s="8"/>
      <c r="B71" s="50">
        <f>'A - B1'!A71</f>
        <v>22</v>
      </c>
      <c r="C71" s="50">
        <f>'A - B1'!B71</f>
        <v>13.615069999999999</v>
      </c>
      <c r="D71" s="50">
        <f>'A - B1'!C71</f>
        <v>15.339788</v>
      </c>
      <c r="E71" s="50">
        <f>'A - B1'!D71</f>
        <v>15.551746</v>
      </c>
      <c r="F71" s="50">
        <f>'A - B1'!E71</f>
        <v>16.565968000000002</v>
      </c>
      <c r="G71" s="50">
        <f>'A - B1'!F71</f>
        <v>16.364049999999999</v>
      </c>
      <c r="H71" s="50">
        <f>'A - B1'!G71</f>
        <v>13.090093</v>
      </c>
      <c r="I71" s="50">
        <f>'A - B1'!H71</f>
        <v>11.687975</v>
      </c>
      <c r="J71" s="50">
        <f>'A - B1'!I71</f>
        <v>11.768560000000001</v>
      </c>
      <c r="K71" s="50">
        <f>'A - B1'!J71</f>
        <v>12.498784000000001</v>
      </c>
      <c r="L71" s="50">
        <f>'A - B1'!K71</f>
        <v>10.368200999999999</v>
      </c>
      <c r="M71" s="50">
        <f>'A - B1'!L71</f>
        <v>14.781749</v>
      </c>
      <c r="N71" s="50">
        <f>'A - B1'!M71</f>
        <v>15.029320999999999</v>
      </c>
      <c r="O71" s="50">
        <f>'A - B1'!N71</f>
        <v>13.611801</v>
      </c>
      <c r="P71" s="50">
        <f>'A - B1'!O71</f>
        <v>14.026123</v>
      </c>
      <c r="Q71" s="50">
        <f>'A - B1'!P71</f>
        <v>11.481101000000001</v>
      </c>
      <c r="R71" s="50">
        <f>'A - B1'!Q71</f>
        <v>10.961004000000001</v>
      </c>
      <c r="S71" s="50">
        <f>'A - B1'!R71</f>
        <v>8.5390569999999997</v>
      </c>
      <c r="T71" s="50">
        <f>'A - B1'!S71</f>
        <v>10.947113999999999</v>
      </c>
      <c r="U71" s="50">
        <f>'A - B1'!T71</f>
        <v>13.018481</v>
      </c>
      <c r="V71" s="50">
        <f>'A - B1'!U71</f>
        <v>70.768615999999994</v>
      </c>
      <c r="W71" s="50">
        <f>'A - B1'!V71</f>
        <v>11.066476</v>
      </c>
      <c r="X71" s="50">
        <f>'A - B1'!W71</f>
        <v>12.501473000000001</v>
      </c>
      <c r="Y71" s="50">
        <f>'A - B1'!X71</f>
        <v>12.381987000000001</v>
      </c>
      <c r="Z71" s="50">
        <f>'A - B1'!Y71</f>
        <v>9.7565080000000002</v>
      </c>
      <c r="AA71" s="50">
        <f>'A - B1'!Z71</f>
        <v>10.554031</v>
      </c>
      <c r="AB71" s="50"/>
      <c r="AC71" s="50"/>
      <c r="AD71" s="50"/>
      <c r="AE71" s="50"/>
    </row>
    <row r="72" spans="1:31" ht="13.15" x14ac:dyDescent="0.4">
      <c r="A72" s="8"/>
      <c r="B72" s="50">
        <f>'A - B1'!A72</f>
        <v>23</v>
      </c>
      <c r="C72" s="50">
        <f>'A - B1'!B72</f>
        <v>11.381347999999999</v>
      </c>
      <c r="D72" s="50">
        <f>'A - B1'!C72</f>
        <v>11.885795999999999</v>
      </c>
      <c r="E72" s="50">
        <f>'A - B1'!D72</f>
        <v>13.096208000000001</v>
      </c>
      <c r="F72" s="50">
        <f>'A - B1'!E72</f>
        <v>12.907227000000001</v>
      </c>
      <c r="G72" s="50">
        <f>'A - B1'!F72</f>
        <v>13.721408</v>
      </c>
      <c r="H72" s="50">
        <f>'A - B1'!G72</f>
        <v>10.855199000000001</v>
      </c>
      <c r="I72" s="50">
        <f>'A - B1'!H72</f>
        <v>9.4520149999999994</v>
      </c>
      <c r="J72" s="50">
        <f>'A - B1'!I72</f>
        <v>9.9265249999999998</v>
      </c>
      <c r="K72" s="50">
        <f>'A - B1'!J72</f>
        <v>10.466461000000001</v>
      </c>
      <c r="L72" s="50">
        <f>'A - B1'!K72</f>
        <v>8.7418169999999993</v>
      </c>
      <c r="M72" s="50">
        <f>'A - B1'!L72</f>
        <v>12.016817</v>
      </c>
      <c r="N72" s="50">
        <f>'A - B1'!M72</f>
        <v>12.084386</v>
      </c>
      <c r="O72" s="50">
        <f>'A - B1'!N72</f>
        <v>11.155537000000001</v>
      </c>
      <c r="P72" s="50">
        <f>'A - B1'!O72</f>
        <v>11.485158999999999</v>
      </c>
      <c r="Q72" s="50">
        <f>'A - B1'!P72</f>
        <v>9.7538560000000007</v>
      </c>
      <c r="R72" s="50">
        <f>'A - B1'!Q72</f>
        <v>9.0454889999999999</v>
      </c>
      <c r="S72" s="50">
        <f>'A - B1'!R72</f>
        <v>6.9125699999999997</v>
      </c>
      <c r="T72" s="50">
        <f>'A - B1'!S72</f>
        <v>8.4916870000000007</v>
      </c>
      <c r="U72" s="50">
        <f>'A - B1'!T72</f>
        <v>11.492877999999999</v>
      </c>
      <c r="V72" s="50">
        <f>'A - B1'!U72</f>
        <v>67.471939000000006</v>
      </c>
      <c r="W72" s="50">
        <f>'A - B1'!V72</f>
        <v>9.1511239999999994</v>
      </c>
      <c r="X72" s="50">
        <f>'A - B1'!W72</f>
        <v>10.468712999999999</v>
      </c>
      <c r="Y72" s="50">
        <f>'A - B1'!X72</f>
        <v>10.540037999999999</v>
      </c>
      <c r="Z72" s="50">
        <f>'A - B1'!Y72</f>
        <v>8.3336839999999999</v>
      </c>
      <c r="AA72" s="50">
        <f>'A - B1'!Z72</f>
        <v>8.1184849999999997</v>
      </c>
      <c r="AB72" s="50"/>
      <c r="AC72" s="50"/>
      <c r="AD72" s="50"/>
      <c r="AE72" s="50"/>
    </row>
    <row r="73" spans="1:31" ht="13.15" x14ac:dyDescent="0.4">
      <c r="A73" s="8"/>
      <c r="B73" s="50">
        <f>'A - B1'!A73</f>
        <v>24</v>
      </c>
      <c r="C73" s="50">
        <f>'A - B1'!B73</f>
        <v>9.5730959999999996</v>
      </c>
      <c r="D73" s="50">
        <f>'A - B1'!C73</f>
        <v>9.9556240000000003</v>
      </c>
      <c r="E73" s="50">
        <f>'A - B1'!D73</f>
        <v>10.742983000000001</v>
      </c>
      <c r="F73" s="50">
        <f>'A - B1'!E73</f>
        <v>11.281119</v>
      </c>
      <c r="G73" s="50">
        <f>'A - B1'!F73</f>
        <v>11.790247000000001</v>
      </c>
      <c r="H73" s="50">
        <f>'A - B1'!G73</f>
        <v>8.1946110000000001</v>
      </c>
      <c r="I73" s="50">
        <f>'A - B1'!H73</f>
        <v>8.2324000000000002</v>
      </c>
      <c r="J73" s="50">
        <f>'A - B1'!I73</f>
        <v>8.4938310000000001</v>
      </c>
      <c r="K73" s="50">
        <f>'A - B1'!J73</f>
        <v>9.0438360000000007</v>
      </c>
      <c r="L73" s="50">
        <f>'A - B1'!K73</f>
        <v>7.7253259999999999</v>
      </c>
      <c r="M73" s="50">
        <f>'A - B1'!L73</f>
        <v>10.421664</v>
      </c>
      <c r="N73" s="50">
        <f>'A - B1'!M73</f>
        <v>10.459595</v>
      </c>
      <c r="O73" s="50">
        <f>'A - B1'!N73</f>
        <v>9.8250600000000006</v>
      </c>
      <c r="P73" s="50">
        <f>'A - B1'!O73</f>
        <v>9.8589420000000008</v>
      </c>
      <c r="Q73" s="50">
        <f>'A - B1'!P73</f>
        <v>7.7218030000000004</v>
      </c>
      <c r="R73" s="50">
        <f>'A - B1'!Q73</f>
        <v>8.3005669999999991</v>
      </c>
      <c r="S73" s="50">
        <f>'A - B1'!R73</f>
        <v>5.4893939999999999</v>
      </c>
      <c r="T73" s="50">
        <f>'A - B1'!S73</f>
        <v>6.5478069999999997</v>
      </c>
      <c r="U73" s="50">
        <f>'A - B1'!T73</f>
        <v>9.6621539999999992</v>
      </c>
      <c r="V73" s="50">
        <f>'A - B1'!U73</f>
        <v>64.175262000000004</v>
      </c>
      <c r="W73" s="50">
        <f>'A - B1'!V73</f>
        <v>7.5549970000000002</v>
      </c>
      <c r="X73" s="50">
        <f>'A - B1'!W73</f>
        <v>8.8425049999999992</v>
      </c>
      <c r="Y73" s="50">
        <f>'A - B1'!X73</f>
        <v>8.5957589999999993</v>
      </c>
      <c r="Z73" s="50">
        <f>'A - B1'!Y73</f>
        <v>6.605969</v>
      </c>
      <c r="AA73" s="50">
        <f>'A - B1'!Z73</f>
        <v>6.7992319999999999</v>
      </c>
      <c r="AB73" s="50"/>
      <c r="AC73" s="50"/>
      <c r="AD73" s="50"/>
      <c r="AE73" s="50"/>
    </row>
    <row r="74" spans="1:31" ht="13.15" x14ac:dyDescent="0.4">
      <c r="A74" s="8"/>
      <c r="B74" s="50">
        <f>'A - B1'!A74</f>
        <v>25</v>
      </c>
      <c r="C74" s="50">
        <f>'A - B1'!B74</f>
        <v>7.9775799999999997</v>
      </c>
      <c r="D74" s="50">
        <f>'A - B1'!C74</f>
        <v>8.8381559999999997</v>
      </c>
      <c r="E74" s="50">
        <f>'A - B1'!D74</f>
        <v>8.9013290000000005</v>
      </c>
      <c r="F74" s="50">
        <f>'A - B1'!E74</f>
        <v>9.5533809999999999</v>
      </c>
      <c r="G74" s="50">
        <f>'A - B1'!F74</f>
        <v>10.062366000000001</v>
      </c>
      <c r="H74" s="50">
        <f>'A - B1'!G74</f>
        <v>6.2789869999999999</v>
      </c>
      <c r="I74" s="50">
        <f>'A - B1'!H74</f>
        <v>7.012785</v>
      </c>
      <c r="J74" s="50">
        <f>'A - B1'!I74</f>
        <v>7.2658069999999997</v>
      </c>
      <c r="K74" s="50">
        <f>'A - B1'!J74</f>
        <v>7.8244420000000003</v>
      </c>
      <c r="L74" s="50">
        <f>'A - B1'!K74</f>
        <v>6.6071869999999997</v>
      </c>
      <c r="M74" s="50">
        <f>'A - B1'!L74</f>
        <v>9.1455420000000007</v>
      </c>
      <c r="N74" s="50">
        <f>'A - B1'!M74</f>
        <v>9.0379020000000008</v>
      </c>
      <c r="O74" s="50">
        <f>'A - B1'!N74</f>
        <v>8.4945830000000004</v>
      </c>
      <c r="P74" s="50">
        <f>'A - B1'!O74</f>
        <v>8.3343629999999997</v>
      </c>
      <c r="Q74" s="50">
        <f>'A - B1'!P74</f>
        <v>6.6041730000000003</v>
      </c>
      <c r="R74" s="50">
        <f>'A - B1'!Q74</f>
        <v>6.9171389999999997</v>
      </c>
      <c r="S74" s="50">
        <f>'A - B1'!R74</f>
        <v>4.9811170000000002</v>
      </c>
      <c r="T74" s="50">
        <f>'A - B1'!S74</f>
        <v>5.2177829999999998</v>
      </c>
      <c r="U74" s="50">
        <f>'A - B1'!T74</f>
        <v>8.1365510000000008</v>
      </c>
      <c r="V74" s="50">
        <f>'A - B1'!U74</f>
        <v>62.856594000000001</v>
      </c>
      <c r="W74" s="50">
        <f>'A - B1'!V74</f>
        <v>6.3845049999999999</v>
      </c>
      <c r="X74" s="50">
        <f>'A - B1'!W74</f>
        <v>6.8097450000000004</v>
      </c>
      <c r="Y74" s="50">
        <f>'A - B1'!X74</f>
        <v>6.7538109999999998</v>
      </c>
      <c r="Z74" s="50">
        <f>'A - B1'!Y74</f>
        <v>5.3864049999999999</v>
      </c>
      <c r="AA74" s="50">
        <f>'A - B1'!Z74</f>
        <v>5.3784970000000003</v>
      </c>
      <c r="AB74" s="50"/>
      <c r="AC74" s="50"/>
      <c r="AD74" s="50"/>
      <c r="AE74" s="50"/>
    </row>
    <row r="75" spans="1:31" ht="13.15" x14ac:dyDescent="0.4">
      <c r="A75" s="8"/>
      <c r="B75" s="50">
        <f>'A - B1'!A75</f>
        <v>26</v>
      </c>
      <c r="C75" s="50">
        <f>'A - B1'!B75</f>
        <v>6.9139030000000004</v>
      </c>
      <c r="D75" s="50">
        <f>'A - B1'!C75</f>
        <v>7.923864</v>
      </c>
      <c r="E75" s="50">
        <f>'A - B1'!D75</f>
        <v>7.7758729999999998</v>
      </c>
      <c r="F75" s="50">
        <f>'A - B1'!E75</f>
        <v>8.5370640000000009</v>
      </c>
      <c r="G75" s="50">
        <f>'A - B1'!F75</f>
        <v>8.5377659999999995</v>
      </c>
      <c r="H75" s="50">
        <f>'A - B1'!G75</f>
        <v>5.4275989999999998</v>
      </c>
      <c r="I75" s="50">
        <f>'A - B1'!H75</f>
        <v>6.1997080000000002</v>
      </c>
      <c r="J75" s="50">
        <f>'A - B1'!I75</f>
        <v>5.9354480000000001</v>
      </c>
      <c r="K75" s="50">
        <f>'A - B1'!J75</f>
        <v>6.8082799999999999</v>
      </c>
      <c r="L75" s="50">
        <f>'A - B1'!K75</f>
        <v>4.9808029999999999</v>
      </c>
      <c r="M75" s="50">
        <f>'A - B1'!L75</f>
        <v>7.3377030000000003</v>
      </c>
      <c r="N75" s="50">
        <f>'A - B1'!M75</f>
        <v>7.1084620000000003</v>
      </c>
      <c r="O75" s="50">
        <f>'A - B1'!N75</f>
        <v>7.3687940000000003</v>
      </c>
      <c r="P75" s="50">
        <f>'A - B1'!O75</f>
        <v>7.521255</v>
      </c>
      <c r="Q75" s="50">
        <f>'A - B1'!P75</f>
        <v>5.080133</v>
      </c>
      <c r="R75" s="50">
        <f>'A - B1'!Q75</f>
        <v>5.4272939999999998</v>
      </c>
      <c r="S75" s="50">
        <f>'A - B1'!R75</f>
        <v>4.0662180000000001</v>
      </c>
      <c r="T75" s="50">
        <f>'A - B1'!S75</f>
        <v>4.0923790000000002</v>
      </c>
      <c r="U75" s="50">
        <f>'A - B1'!T75</f>
        <v>7.5263090000000004</v>
      </c>
      <c r="V75" s="50">
        <f>'A - B1'!U75</f>
        <v>60.658810000000003</v>
      </c>
      <c r="W75" s="50">
        <f>'A - B1'!V75</f>
        <v>5.7460550000000001</v>
      </c>
      <c r="X75" s="50">
        <f>'A - B1'!W75</f>
        <v>5.3868140000000002</v>
      </c>
      <c r="Y75" s="50">
        <f>'A - B1'!X75</f>
        <v>5.3211839999999997</v>
      </c>
      <c r="Z75" s="50">
        <f>'A - B1'!Y75</f>
        <v>4.3701020000000002</v>
      </c>
      <c r="AA75" s="50">
        <f>'A - B1'!Z75</f>
        <v>4.3636860000000004</v>
      </c>
      <c r="AB75" s="50"/>
      <c r="AC75" s="50"/>
      <c r="AD75" s="50"/>
      <c r="AE75" s="50"/>
    </row>
    <row r="76" spans="1:31" ht="13.15" x14ac:dyDescent="0.4">
      <c r="A76" s="8"/>
      <c r="B76" s="50">
        <f>'A - B1'!A76</f>
        <v>27</v>
      </c>
      <c r="C76" s="50">
        <f>'A - B1'!B76</f>
        <v>5.9565929999999998</v>
      </c>
      <c r="D76" s="50">
        <f>'A - B1'!C76</f>
        <v>6.6032200000000003</v>
      </c>
      <c r="E76" s="50">
        <f>'A - B1'!D76</f>
        <v>6.8550459999999998</v>
      </c>
      <c r="F76" s="50">
        <f>'A - B1'!E76</f>
        <v>7.3174830000000002</v>
      </c>
      <c r="G76" s="50">
        <f>'A - B1'!F76</f>
        <v>7.3180839999999998</v>
      </c>
      <c r="H76" s="50">
        <f>'A - B1'!G76</f>
        <v>4.3633639999999998</v>
      </c>
      <c r="I76" s="50">
        <f>'A - B1'!H76</f>
        <v>4.8784590000000003</v>
      </c>
      <c r="J76" s="50">
        <f>'A - B1'!I76</f>
        <v>5.2191010000000002</v>
      </c>
      <c r="K76" s="50">
        <f>'A - B1'!J76</f>
        <v>5.5888869999999997</v>
      </c>
      <c r="L76" s="50">
        <f>'A - B1'!K76</f>
        <v>3.862663</v>
      </c>
      <c r="M76" s="50">
        <f>'A - B1'!L76</f>
        <v>6.2742680000000002</v>
      </c>
      <c r="N76" s="50">
        <f>'A - B1'!M76</f>
        <v>5.9914180000000004</v>
      </c>
      <c r="O76" s="50">
        <f>'A - B1'!N76</f>
        <v>6.6523839999999996</v>
      </c>
      <c r="P76" s="50">
        <f>'A - B1'!O76</f>
        <v>6.5048690000000002</v>
      </c>
      <c r="Q76" s="50">
        <f>'A - B1'!P76</f>
        <v>3.962504</v>
      </c>
      <c r="R76" s="50">
        <f>'A - B1'!Q76</f>
        <v>4.3631180000000001</v>
      </c>
      <c r="S76" s="50">
        <f>'A - B1'!R76</f>
        <v>3.5579399999999999</v>
      </c>
      <c r="T76" s="50">
        <f>'A - B1'!S76</f>
        <v>3.580832</v>
      </c>
      <c r="U76" s="50">
        <f>'A - B1'!T76</f>
        <v>6.7126539999999997</v>
      </c>
      <c r="V76" s="50">
        <f>'A - B1'!U76</f>
        <v>58.790694999999999</v>
      </c>
      <c r="W76" s="50">
        <f>'A - B1'!V76</f>
        <v>4.6819709999999999</v>
      </c>
      <c r="X76" s="50">
        <f>'A - B1'!W76</f>
        <v>4.4720719999999998</v>
      </c>
      <c r="Y76" s="50">
        <f>'A - B1'!X76</f>
        <v>4.5025409999999999</v>
      </c>
      <c r="Z76" s="50">
        <f>'A - B1'!Y76</f>
        <v>3.3538000000000001</v>
      </c>
      <c r="AA76" s="50">
        <f>'A - B1'!Z76</f>
        <v>3.4503560000000002</v>
      </c>
      <c r="AB76" s="50"/>
      <c r="AC76" s="50"/>
      <c r="AD76" s="50"/>
      <c r="AE76" s="50"/>
    </row>
    <row r="77" spans="1:31" ht="13.15" x14ac:dyDescent="0.4">
      <c r="A77" s="8"/>
      <c r="B77" s="50">
        <f>'A - B1'!A77</f>
        <v>28</v>
      </c>
      <c r="C77" s="50">
        <f>'A - B1'!B77</f>
        <v>5.3183870000000004</v>
      </c>
      <c r="D77" s="50">
        <f>'A - B1'!C77</f>
        <v>5.6889279999999998</v>
      </c>
      <c r="E77" s="50">
        <f>'A - B1'!D77</f>
        <v>5.4226479999999997</v>
      </c>
      <c r="F77" s="50">
        <f>'A - B1'!E77</f>
        <v>6.6060610000000004</v>
      </c>
      <c r="G77" s="50">
        <f>'A - B1'!F77</f>
        <v>6.0984040000000004</v>
      </c>
      <c r="H77" s="50">
        <f>'A - B1'!G77</f>
        <v>3.6183999999999998</v>
      </c>
      <c r="I77" s="50">
        <f>'A - B1'!H77</f>
        <v>3.9637479999999998</v>
      </c>
      <c r="J77" s="50">
        <f>'A - B1'!I77</f>
        <v>4.6050890000000004</v>
      </c>
      <c r="K77" s="50">
        <f>'A - B1'!J77</f>
        <v>4.97919</v>
      </c>
      <c r="L77" s="50">
        <f>'A - B1'!K77</f>
        <v>2.8461729999999998</v>
      </c>
      <c r="M77" s="50">
        <f>'A - B1'!L77</f>
        <v>5.8488939999999996</v>
      </c>
      <c r="N77" s="50">
        <f>'A - B1'!M77</f>
        <v>4.8743740000000004</v>
      </c>
      <c r="O77" s="50">
        <f>'A - B1'!N77</f>
        <v>5.9359739999999999</v>
      </c>
      <c r="P77" s="50">
        <f>'A - B1'!O77</f>
        <v>5.590122</v>
      </c>
      <c r="Q77" s="50">
        <f>'A - B1'!P77</f>
        <v>3.454491</v>
      </c>
      <c r="R77" s="50">
        <f>'A - B1'!Q77</f>
        <v>3.5117780000000001</v>
      </c>
      <c r="S77" s="50">
        <f>'A - B1'!R77</f>
        <v>3.252974</v>
      </c>
      <c r="T77" s="50">
        <f>'A - B1'!S77</f>
        <v>3.2739029999999998</v>
      </c>
      <c r="U77" s="50">
        <f>'A - B1'!T77</f>
        <v>5.7972919999999997</v>
      </c>
      <c r="V77" s="50">
        <f>'A - B1'!U77</f>
        <v>55.494019000000002</v>
      </c>
      <c r="W77" s="50">
        <f>'A - B1'!V77</f>
        <v>3.6178859999999999</v>
      </c>
      <c r="X77" s="50">
        <f>'A - B1'!W77</f>
        <v>3.862244</v>
      </c>
      <c r="Y77" s="50">
        <f>'A - B1'!X77</f>
        <v>3.7862269999999998</v>
      </c>
      <c r="Z77" s="50">
        <f>'A - B1'!Y77</f>
        <v>2.5407570000000002</v>
      </c>
      <c r="AA77" s="50">
        <f>'A - B1'!Z77</f>
        <v>3.044432</v>
      </c>
      <c r="AB77" s="50"/>
      <c r="AC77" s="50"/>
      <c r="AD77" s="50"/>
      <c r="AE77" s="50"/>
    </row>
    <row r="78" spans="1:31" ht="13.15" x14ac:dyDescent="0.4">
      <c r="A78" s="8"/>
      <c r="B78" s="50">
        <f>'A - B1'!A78</f>
        <v>29</v>
      </c>
      <c r="C78" s="50">
        <f>'A - B1'!B78</f>
        <v>3.9356059999999999</v>
      </c>
      <c r="D78" s="50">
        <f>'A - B1'!C78</f>
        <v>4.165108</v>
      </c>
      <c r="E78" s="50">
        <f>'A - B1'!D78</f>
        <v>4.6041359999999996</v>
      </c>
      <c r="F78" s="50">
        <f>'A - B1'!E78</f>
        <v>5.5897439999999996</v>
      </c>
      <c r="G78" s="50">
        <f>'A - B1'!F78</f>
        <v>5.2852829999999997</v>
      </c>
      <c r="H78" s="50">
        <f>'A - B1'!G78</f>
        <v>2.9798580000000001</v>
      </c>
      <c r="I78" s="50">
        <f>'A - B1'!H78</f>
        <v>3.150671</v>
      </c>
      <c r="J78" s="50">
        <f>'A - B1'!I78</f>
        <v>3.5817359999999998</v>
      </c>
      <c r="K78" s="50">
        <f>'A - B1'!J78</f>
        <v>4.2678770000000004</v>
      </c>
      <c r="L78" s="50">
        <f>'A - B1'!K78</f>
        <v>2.1346289999999999</v>
      </c>
      <c r="M78" s="50">
        <f>'A - B1'!L78</f>
        <v>4.9981450000000001</v>
      </c>
      <c r="N78" s="50">
        <f>'A - B1'!M78</f>
        <v>3.8588800000000001</v>
      </c>
      <c r="O78" s="50">
        <f>'A - B1'!N78</f>
        <v>5.219563</v>
      </c>
      <c r="P78" s="50">
        <f>'A - B1'!O78</f>
        <v>4.4720969999999998</v>
      </c>
      <c r="Q78" s="50">
        <f>'A - B1'!P78</f>
        <v>3.0480800000000001</v>
      </c>
      <c r="R78" s="50">
        <f>'A - B1'!Q78</f>
        <v>2.6604380000000001</v>
      </c>
      <c r="S78" s="50">
        <f>'A - B1'!R78</f>
        <v>2.7446969999999999</v>
      </c>
      <c r="T78" s="50">
        <f>'A - B1'!S78</f>
        <v>2.4554269999999998</v>
      </c>
      <c r="U78" s="50">
        <f>'A - B1'!T78</f>
        <v>5.2887579999999996</v>
      </c>
      <c r="V78" s="50">
        <f>'A - B1'!U78</f>
        <v>53.516013999999998</v>
      </c>
      <c r="W78" s="50">
        <f>'A - B1'!V78</f>
        <v>3.0858439999999998</v>
      </c>
      <c r="X78" s="50">
        <f>'A - B1'!W78</f>
        <v>3.04914</v>
      </c>
      <c r="Y78" s="50">
        <f>'A - B1'!X78</f>
        <v>2.967584</v>
      </c>
      <c r="Z78" s="50">
        <f>'A - B1'!Y78</f>
        <v>2.0326059999999999</v>
      </c>
      <c r="AA78" s="50">
        <f>'A - B1'!Z78</f>
        <v>2.6385079999999999</v>
      </c>
      <c r="AB78" s="50"/>
      <c r="AC78" s="50"/>
      <c r="AD78" s="50"/>
      <c r="AE78" s="50"/>
    </row>
    <row r="79" spans="1:31" ht="13.15" x14ac:dyDescent="0.4">
      <c r="A79" s="8"/>
      <c r="B79" s="50">
        <f>'A - B1'!A79</f>
        <v>30</v>
      </c>
      <c r="C79" s="50">
        <f>'A - B1'!B79</f>
        <v>2.7655609999999999</v>
      </c>
      <c r="D79" s="50">
        <f>'A - B1'!C79</f>
        <v>3.758756</v>
      </c>
      <c r="E79" s="50">
        <f>'A - B1'!D79</f>
        <v>3.580994</v>
      </c>
      <c r="F79" s="50">
        <f>'A - B1'!E79</f>
        <v>3.9636369999999999</v>
      </c>
      <c r="G79" s="50">
        <f>'A - B1'!F79</f>
        <v>4.2688829999999998</v>
      </c>
      <c r="H79" s="50">
        <f>'A - B1'!G79</f>
        <v>2.3413170000000001</v>
      </c>
      <c r="I79" s="50">
        <f>'A - B1'!H79</f>
        <v>2.6424989999999999</v>
      </c>
      <c r="J79" s="50">
        <f>'A - B1'!I79</f>
        <v>2.967724</v>
      </c>
      <c r="K79" s="50">
        <f>'A - B1'!J79</f>
        <v>3.4549479999999999</v>
      </c>
      <c r="L79" s="50">
        <f>'A - B1'!K79</f>
        <v>1.6263840000000001</v>
      </c>
      <c r="M79" s="50">
        <f>'A - B1'!L79</f>
        <v>3.7220230000000001</v>
      </c>
      <c r="N79" s="50">
        <f>'A - B1'!M79</f>
        <v>3.4526819999999998</v>
      </c>
      <c r="O79" s="50">
        <f>'A - B1'!N79</f>
        <v>4.4008079999999996</v>
      </c>
      <c r="P79" s="50">
        <f>'A - B1'!O79</f>
        <v>3.7606269999999999</v>
      </c>
      <c r="Q79" s="50">
        <f>'A - B1'!P79</f>
        <v>2.844875</v>
      </c>
      <c r="R79" s="50">
        <f>'A - B1'!Q79</f>
        <v>2.1283500000000002</v>
      </c>
      <c r="S79" s="50">
        <f>'A - B1'!R79</f>
        <v>2.4397310000000001</v>
      </c>
      <c r="T79" s="50">
        <f>'A - B1'!S79</f>
        <v>1.636952</v>
      </c>
      <c r="U79" s="50">
        <f>'A - B1'!T79</f>
        <v>4.6785170000000003</v>
      </c>
      <c r="V79" s="50">
        <f>'A - B1'!U79</f>
        <v>51.86768</v>
      </c>
      <c r="W79" s="50">
        <f>'A - B1'!V79</f>
        <v>2.7666189999999999</v>
      </c>
      <c r="X79" s="50">
        <f>'A - B1'!W79</f>
        <v>2.6425879999999999</v>
      </c>
      <c r="Y79" s="50">
        <f>'A - B1'!X79</f>
        <v>2.3536009999999998</v>
      </c>
      <c r="Z79" s="50">
        <f>'A - B1'!Y79</f>
        <v>1.4228240000000001</v>
      </c>
      <c r="AA79" s="50">
        <f>'A - B1'!Z79</f>
        <v>1.826659</v>
      </c>
      <c r="AB79" s="50"/>
      <c r="AC79" s="50"/>
      <c r="AD79" s="50"/>
      <c r="AE79" s="50"/>
    </row>
    <row r="80" spans="1:31" ht="13.15" x14ac:dyDescent="0.4">
      <c r="A80" s="8"/>
      <c r="B80" s="50">
        <f>'A - B1'!A80</f>
        <v>38</v>
      </c>
      <c r="C80" s="50">
        <f>'A - B1'!B80</f>
        <v>0.42547099999999999</v>
      </c>
      <c r="D80" s="50">
        <f>'A - B1'!C80</f>
        <v>0.91429199999999999</v>
      </c>
      <c r="E80" s="50">
        <f>'A - B1'!D80</f>
        <v>0.71619900000000003</v>
      </c>
      <c r="F80" s="50">
        <f>'A - B1'!E80</f>
        <v>0.81305400000000005</v>
      </c>
      <c r="G80" s="50">
        <f>'A - B1'!F80</f>
        <v>0.91476100000000005</v>
      </c>
      <c r="H80" s="50">
        <f>'A - B1'!G80</f>
        <v>0.31927100000000003</v>
      </c>
      <c r="I80" s="50">
        <f>'A - B1'!H80</f>
        <v>0.20326900000000001</v>
      </c>
      <c r="J80" s="50">
        <f>'A - B1'!I80</f>
        <v>0.307006</v>
      </c>
      <c r="K80" s="50">
        <f>'A - B1'!J80</f>
        <v>0.30484800000000001</v>
      </c>
      <c r="L80" s="50">
        <f>'A - B1'!K80</f>
        <v>0</v>
      </c>
      <c r="M80" s="50">
        <f>'A - B1'!L80</f>
        <v>1.276122</v>
      </c>
      <c r="N80" s="50">
        <f>'A - B1'!M80</f>
        <v>0.60929699999999998</v>
      </c>
      <c r="O80" s="50">
        <f>'A - B1'!N80</f>
        <v>0.51172200000000001</v>
      </c>
      <c r="P80" s="50">
        <f>'A - B1'!O80</f>
        <v>0.40655400000000003</v>
      </c>
      <c r="Q80" s="50">
        <f>'A - B1'!P80</f>
        <v>0.40641100000000002</v>
      </c>
      <c r="R80" s="50">
        <f>'A - B1'!Q80</f>
        <v>0.31925300000000001</v>
      </c>
      <c r="S80" s="50">
        <f>'A - B1'!R80</f>
        <v>0</v>
      </c>
      <c r="T80" s="50">
        <f>'A - B1'!S80</f>
        <v>0.30692799999999998</v>
      </c>
      <c r="U80" s="50">
        <f>'A - B1'!T80</f>
        <v>1.3221890000000001</v>
      </c>
      <c r="V80" s="50">
        <f>'A - B1'!U80</f>
        <v>35.164527999999997</v>
      </c>
      <c r="W80" s="50">
        <f>'A - B1'!V80</f>
        <v>0.31922499999999998</v>
      </c>
      <c r="X80" s="50">
        <f>'A - B1'!W80</f>
        <v>0.20327600000000001</v>
      </c>
      <c r="Y80" s="50">
        <f>'A - B1'!X80</f>
        <v>0.20466100000000001</v>
      </c>
      <c r="Z80" s="50">
        <f>'A - B1'!Y80</f>
        <v>0.203261</v>
      </c>
      <c r="AA80" s="50">
        <f>'A - B1'!Z80</f>
        <v>0.30444300000000002</v>
      </c>
      <c r="AB80" s="50"/>
      <c r="AC80" s="50"/>
      <c r="AD80" s="50"/>
      <c r="AE80" s="50"/>
    </row>
    <row r="81" spans="1:31" ht="13.15" x14ac:dyDescent="0.4">
      <c r="A81" s="8"/>
      <c r="B81" s="50">
        <f>'A - B1'!A81</f>
        <v>50</v>
      </c>
      <c r="C81" s="50">
        <f>'A - B1'!B81</f>
        <v>0</v>
      </c>
      <c r="D81" s="50">
        <f>'A - B1'!C81</f>
        <v>0.30476399999999998</v>
      </c>
      <c r="E81" s="50">
        <f>'A - B1'!D81</f>
        <v>0.30694199999999999</v>
      </c>
      <c r="F81" s="50">
        <f>'A - B1'!E81</f>
        <v>0</v>
      </c>
      <c r="G81" s="50">
        <f>'A - B1'!F81</f>
        <v>0.50819999999999999</v>
      </c>
      <c r="H81" s="50">
        <f>'A - B1'!G81</f>
        <v>0.21284700000000001</v>
      </c>
      <c r="I81" s="50">
        <f>'A - B1'!H81</f>
        <v>0</v>
      </c>
      <c r="J81" s="50">
        <f>'A - B1'!I81</f>
        <v>0.102335</v>
      </c>
      <c r="K81" s="50">
        <f>'A - B1'!J81</f>
        <v>0.101616</v>
      </c>
      <c r="L81" s="50">
        <f>'A - B1'!K81</f>
        <v>0</v>
      </c>
      <c r="M81" s="50">
        <f>'A - B1'!L81</f>
        <v>0.21268699999999999</v>
      </c>
      <c r="N81" s="50">
        <f>'A - B1'!M81</f>
        <v>0.30464799999999997</v>
      </c>
      <c r="O81" s="50">
        <f>'A - B1'!N81</f>
        <v>0.20468900000000001</v>
      </c>
      <c r="P81" s="50">
        <f>'A - B1'!O81</f>
        <v>0</v>
      </c>
      <c r="Q81" s="50">
        <f>'A - B1'!P81</f>
        <v>0.101603</v>
      </c>
      <c r="R81" s="50">
        <f>'A - B1'!Q81</f>
        <v>0.106418</v>
      </c>
      <c r="S81" s="50">
        <f>'A - B1'!R81</f>
        <v>0</v>
      </c>
      <c r="T81" s="50">
        <f>'A - B1'!S81</f>
        <v>0</v>
      </c>
      <c r="U81" s="50">
        <f>'A - B1'!T81</f>
        <v>0.50853400000000004</v>
      </c>
      <c r="V81" s="50">
        <f>'A - B1'!U81</f>
        <v>22.747053000000001</v>
      </c>
      <c r="W81" s="50">
        <f>'A - B1'!V81</f>
        <v>0.106408</v>
      </c>
      <c r="X81" s="50">
        <f>'A - B1'!W81</f>
        <v>0</v>
      </c>
      <c r="Y81" s="50">
        <f>'A - B1'!X81</f>
        <v>0</v>
      </c>
      <c r="Z81" s="50">
        <f>'A - B1'!Y81</f>
        <v>0.10163</v>
      </c>
      <c r="AA81" s="50">
        <f>'A - B1'!Z81</f>
        <v>0</v>
      </c>
      <c r="AB81" s="50"/>
      <c r="AC81" s="50"/>
      <c r="AD81" s="50"/>
      <c r="AE81" s="50"/>
    </row>
    <row r="82" spans="1:31" ht="13.15" x14ac:dyDescent="0.4">
      <c r="A82" s="8"/>
      <c r="B82" s="50">
        <f>'A - B1'!A82</f>
        <v>70</v>
      </c>
      <c r="C82" s="50">
        <f>'A - B1'!B82</f>
        <v>0</v>
      </c>
      <c r="D82" s="50">
        <f>'A - B1'!C82</f>
        <v>0</v>
      </c>
      <c r="E82" s="50">
        <f>'A - B1'!D82</f>
        <v>0</v>
      </c>
      <c r="F82" s="50">
        <f>'A - B1'!E82</f>
        <v>0</v>
      </c>
      <c r="G82" s="50">
        <f>'A - B1'!F82</f>
        <v>0.30492000000000002</v>
      </c>
      <c r="H82" s="50">
        <f>'A - B1'!G82</f>
        <v>0.106424</v>
      </c>
      <c r="I82" s="50">
        <f>'A - B1'!H82</f>
        <v>0</v>
      </c>
      <c r="J82" s="50">
        <f>'A - B1'!I82</f>
        <v>0</v>
      </c>
      <c r="K82" s="50">
        <f>'A - B1'!J82</f>
        <v>0.101616</v>
      </c>
      <c r="L82" s="50">
        <f>'A - B1'!K82</f>
        <v>0</v>
      </c>
      <c r="M82" s="50">
        <f>'A - B1'!L82</f>
        <v>0.10634399999999999</v>
      </c>
      <c r="N82" s="50">
        <f>'A - B1'!M82</f>
        <v>0</v>
      </c>
      <c r="O82" s="50">
        <f>'A - B1'!N82</f>
        <v>0</v>
      </c>
      <c r="P82" s="50">
        <f>'A - B1'!O82</f>
        <v>0</v>
      </c>
      <c r="Q82" s="50">
        <f>'A - B1'!P82</f>
        <v>0</v>
      </c>
      <c r="R82" s="50">
        <f>'A - B1'!Q82</f>
        <v>0</v>
      </c>
      <c r="S82" s="50">
        <f>'A - B1'!R82</f>
        <v>0</v>
      </c>
      <c r="T82" s="50">
        <f>'A - B1'!S82</f>
        <v>0</v>
      </c>
      <c r="U82" s="50">
        <f>'A - B1'!T82</f>
        <v>0.20341400000000001</v>
      </c>
      <c r="V82" s="50">
        <f>'A - B1'!U82</f>
        <v>13.955921999999999</v>
      </c>
      <c r="W82" s="50">
        <f>'A - B1'!V82</f>
        <v>0.106408</v>
      </c>
      <c r="X82" s="50">
        <f>'A - B1'!W82</f>
        <v>0</v>
      </c>
      <c r="Y82" s="50">
        <f>'A - B1'!X82</f>
        <v>0</v>
      </c>
      <c r="Z82" s="50">
        <f>'A - B1'!Y82</f>
        <v>0.10163</v>
      </c>
      <c r="AA82" s="50">
        <f>'A - B1'!Z82</f>
        <v>0</v>
      </c>
      <c r="AB82" s="50"/>
      <c r="AC82" s="50"/>
      <c r="AD82" s="50"/>
      <c r="AE82" s="50"/>
    </row>
  </sheetData>
  <mergeCells count="1">
    <mergeCell ref="A2:E2"/>
  </mergeCells>
  <conditionalFormatting sqref="H9:H40">
    <cfRule type="cellIs" dxfId="36" priority="1" operator="greaterThan">
      <formula>1000</formula>
    </cfRule>
  </conditionalFormatting>
  <conditionalFormatting sqref="K9:K40">
    <cfRule type="cellIs" dxfId="35"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E8509-D2CE-448F-9AE2-81EC39B67348}">
  <sheetPr codeName="Sheet21"/>
  <dimension ref="A1:AW82"/>
  <sheetViews>
    <sheetView zoomScale="55" zoomScaleNormal="55" workbookViewId="0">
      <selection activeCell="K5" sqref="K5:K1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353</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V52</f>
        <v>9.3977529999999998</v>
      </c>
      <c r="C8" s="46">
        <f t="shared" ref="C8:F8" si="0">W52</f>
        <v>9.8388399999999994</v>
      </c>
      <c r="D8" s="46">
        <f t="shared" si="0"/>
        <v>9.7722610000000003</v>
      </c>
      <c r="E8" s="46">
        <f t="shared" si="0"/>
        <v>9.8395860000000006</v>
      </c>
      <c r="F8" s="46">
        <f t="shared" si="0"/>
        <v>9.8540539999999996</v>
      </c>
      <c r="G8" s="78">
        <f>AVERAGE(B$8:F$8)*5</f>
        <v>48.702493999999994</v>
      </c>
      <c r="I8" s="79"/>
      <c r="K8" s="79"/>
    </row>
    <row r="9" spans="1:49" ht="13.15" x14ac:dyDescent="0.4">
      <c r="A9" s="68" t="s">
        <v>140</v>
      </c>
      <c r="B9" s="46">
        <f t="shared" ref="B9:E9" si="1">V53</f>
        <v>1852.6770019999999</v>
      </c>
      <c r="C9" s="46">
        <f t="shared" si="1"/>
        <v>1816.169312</v>
      </c>
      <c r="D9" s="46">
        <f t="shared" si="1"/>
        <v>1907.951538</v>
      </c>
      <c r="E9" s="46">
        <f t="shared" si="1"/>
        <v>1826.3979489999999</v>
      </c>
      <c r="F9" s="46"/>
      <c r="G9" s="80">
        <f t="shared" ref="G9:G38" si="2">AVERAGE(B9:F9)</f>
        <v>1850.79895025</v>
      </c>
      <c r="H9" s="81">
        <f t="shared" ref="H9:H38" si="3">G9*G$8</f>
        <v>90138.524769756914</v>
      </c>
      <c r="I9" s="79">
        <f t="shared" ref="I9:I38" si="4">STDEVP(B9:F9)/AVERAGE(B9:F9)</f>
        <v>1.9225687570979384E-2</v>
      </c>
      <c r="J9" s="79">
        <f t="shared" ref="J9:J38" si="5">IF(H9&gt;$A$43, $C$43, IF(H9&gt;$A$44, $C$44, IF(H9&gt;$A$45,$C$45,IF(H9&gt;$A$46,$C$46, IF(H9&gt;$A$47,$C$47,IF(H9&gt;$A$48,$C$48,$C$49))))))/100</f>
        <v>0.11</v>
      </c>
      <c r="K9" s="79">
        <f t="shared" ref="K9:K38" si="6">(MAX(B9:F9)-MIN(B9:F9))/G9</f>
        <v>4.9590597610616967E-2</v>
      </c>
      <c r="L9">
        <f t="shared" ref="L9:L38" si="7">COUNTA(B9:F9)</f>
        <v>4</v>
      </c>
      <c r="P9" s="42"/>
    </row>
    <row r="10" spans="1:49" ht="13.15" x14ac:dyDescent="0.4">
      <c r="A10" s="68" t="s">
        <v>141</v>
      </c>
      <c r="B10" s="46">
        <f t="shared" ref="B10:E10" si="8">V54</f>
        <v>1829.905518</v>
      </c>
      <c r="C10" s="46">
        <f t="shared" si="8"/>
        <v>1793.4023440000001</v>
      </c>
      <c r="D10" s="46">
        <f t="shared" si="8"/>
        <v>1883.1876219999999</v>
      </c>
      <c r="E10" s="46">
        <f t="shared" si="8"/>
        <v>1804.4458010000001</v>
      </c>
      <c r="F10" s="46"/>
      <c r="G10" s="80">
        <f t="shared" si="2"/>
        <v>1827.73532125</v>
      </c>
      <c r="H10" s="81">
        <f t="shared" si="3"/>
        <v>89015.268516766184</v>
      </c>
      <c r="I10" s="79">
        <f t="shared" si="4"/>
        <v>1.8954595633429074E-2</v>
      </c>
      <c r="J10" s="79">
        <f t="shared" si="5"/>
        <v>0.11</v>
      </c>
      <c r="K10" s="79">
        <f t="shared" si="6"/>
        <v>4.9123785570109303E-2</v>
      </c>
      <c r="L10">
        <f t="shared" si="7"/>
        <v>4</v>
      </c>
      <c r="P10" s="42"/>
    </row>
    <row r="11" spans="1:49" ht="13.15" x14ac:dyDescent="0.4">
      <c r="A11" s="68" t="s">
        <v>142</v>
      </c>
      <c r="B11" s="46">
        <f t="shared" ref="B11:E11" si="9">V55</f>
        <v>1818.413452</v>
      </c>
      <c r="C11" s="46">
        <f t="shared" si="9"/>
        <v>1782.4255370000001</v>
      </c>
      <c r="D11" s="46">
        <f t="shared" si="9"/>
        <v>1872.1358640000001</v>
      </c>
      <c r="E11" s="46">
        <f t="shared" si="9"/>
        <v>1792.351807</v>
      </c>
      <c r="F11" s="46"/>
      <c r="G11" s="80">
        <f t="shared" si="2"/>
        <v>1816.3316649999999</v>
      </c>
      <c r="H11" s="81">
        <f t="shared" si="3"/>
        <v>88459.882016672491</v>
      </c>
      <c r="I11" s="79">
        <f t="shared" si="4"/>
        <v>1.9157403147563191E-2</v>
      </c>
      <c r="J11" s="79">
        <f t="shared" si="5"/>
        <v>0.11</v>
      </c>
      <c r="K11" s="79">
        <f t="shared" si="6"/>
        <v>4.9390939291916167E-2</v>
      </c>
      <c r="L11">
        <f t="shared" si="7"/>
        <v>4</v>
      </c>
      <c r="P11" s="42"/>
    </row>
    <row r="12" spans="1:49" ht="13.15" x14ac:dyDescent="0.4">
      <c r="A12" s="68" t="s">
        <v>143</v>
      </c>
      <c r="B12" s="46">
        <f t="shared" ref="B12:E12" si="10">V56</f>
        <v>1811.9224850000001</v>
      </c>
      <c r="C12" s="46">
        <f t="shared" si="10"/>
        <v>1773.3797609999999</v>
      </c>
      <c r="D12" s="46">
        <f t="shared" si="10"/>
        <v>1864.8704829999999</v>
      </c>
      <c r="E12" s="46">
        <f t="shared" si="10"/>
        <v>1784.7294919999999</v>
      </c>
      <c r="F12" s="46"/>
      <c r="G12" s="80">
        <f t="shared" si="2"/>
        <v>1808.7255552500001</v>
      </c>
      <c r="H12" s="81">
        <f t="shared" si="3"/>
        <v>88089.445502209783</v>
      </c>
      <c r="I12" s="79">
        <f t="shared" si="4"/>
        <v>1.9522864998182371E-2</v>
      </c>
      <c r="J12" s="79">
        <f t="shared" si="5"/>
        <v>0.11</v>
      </c>
      <c r="K12" s="79">
        <f t="shared" si="6"/>
        <v>5.058297635837531E-2</v>
      </c>
      <c r="L12">
        <f t="shared" si="7"/>
        <v>4</v>
      </c>
      <c r="P12" s="42"/>
    </row>
    <row r="13" spans="1:49" ht="13.15" x14ac:dyDescent="0.4">
      <c r="A13" s="68" t="s">
        <v>144</v>
      </c>
      <c r="B13" s="46">
        <f t="shared" ref="B13:E13" si="11">V57</f>
        <v>1805.8572999999999</v>
      </c>
      <c r="C13" s="46">
        <f t="shared" si="11"/>
        <v>1771.0419919999999</v>
      </c>
      <c r="D13" s="46">
        <f t="shared" si="11"/>
        <v>1858.6282960000001</v>
      </c>
      <c r="E13" s="46">
        <f t="shared" si="11"/>
        <v>1780.359375</v>
      </c>
      <c r="F13" s="46"/>
      <c r="G13" s="80">
        <f t="shared" si="2"/>
        <v>1803.97174075</v>
      </c>
      <c r="H13" s="81">
        <f t="shared" si="3"/>
        <v>87857.922880046419</v>
      </c>
      <c r="I13" s="79">
        <f t="shared" si="4"/>
        <v>1.8865240954383598E-2</v>
      </c>
      <c r="J13" s="79">
        <f t="shared" si="5"/>
        <v>0.11</v>
      </c>
      <c r="K13" s="79">
        <f t="shared" si="6"/>
        <v>4.8551926852017209E-2</v>
      </c>
      <c r="L13">
        <f t="shared" si="7"/>
        <v>4</v>
      </c>
      <c r="P13" s="42"/>
    </row>
    <row r="14" spans="1:49" ht="13.15" x14ac:dyDescent="0.4">
      <c r="A14" s="68" t="s">
        <v>145</v>
      </c>
      <c r="B14" s="46">
        <f t="shared" ref="B14:E14" si="12">V58</f>
        <v>1802.5585940000001</v>
      </c>
      <c r="C14" s="46">
        <f t="shared" si="12"/>
        <v>1767.7895510000001</v>
      </c>
      <c r="D14" s="46">
        <f t="shared" si="12"/>
        <v>1854.944336</v>
      </c>
      <c r="E14" s="46">
        <f t="shared" si="12"/>
        <v>1776.9039310000001</v>
      </c>
      <c r="F14" s="46"/>
      <c r="G14" s="80">
        <f t="shared" si="2"/>
        <v>1800.5491030000001</v>
      </c>
      <c r="H14" s="81">
        <f t="shared" si="3"/>
        <v>87691.231885562869</v>
      </c>
      <c r="I14" s="79">
        <f t="shared" si="4"/>
        <v>1.8824152836796396E-2</v>
      </c>
      <c r="J14" s="79">
        <f t="shared" si="5"/>
        <v>0.11</v>
      </c>
      <c r="K14" s="79">
        <f t="shared" si="6"/>
        <v>4.8404558839737426E-2</v>
      </c>
      <c r="L14">
        <f t="shared" si="7"/>
        <v>4</v>
      </c>
      <c r="P14" s="42"/>
    </row>
    <row r="15" spans="1:49" ht="13.15" x14ac:dyDescent="0.4">
      <c r="A15" s="68" t="s">
        <v>146</v>
      </c>
      <c r="B15" s="46">
        <f t="shared" ref="B15:E15" si="13">V59</f>
        <v>1796.3869629999999</v>
      </c>
      <c r="C15" s="46">
        <f t="shared" si="13"/>
        <v>1760.8781739999999</v>
      </c>
      <c r="D15" s="46">
        <f t="shared" si="13"/>
        <v>1845.7346190000001</v>
      </c>
      <c r="E15" s="46">
        <f t="shared" si="13"/>
        <v>1771.1110839999999</v>
      </c>
      <c r="F15" s="46"/>
      <c r="G15" s="80">
        <f t="shared" si="2"/>
        <v>1793.5277100000001</v>
      </c>
      <c r="H15" s="81">
        <f t="shared" si="3"/>
        <v>87349.272535108728</v>
      </c>
      <c r="I15" s="79">
        <f t="shared" si="4"/>
        <v>1.8285587876644159E-2</v>
      </c>
      <c r="J15" s="79">
        <f t="shared" si="5"/>
        <v>0.11</v>
      </c>
      <c r="K15" s="79">
        <f t="shared" si="6"/>
        <v>4.7312592120475304E-2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ref="B16:E16" si="14">V60</f>
        <v>1669.7608640000001</v>
      </c>
      <c r="C16" s="46">
        <f t="shared" si="14"/>
        <v>1644.4011230000001</v>
      </c>
      <c r="D16" s="46">
        <f t="shared" si="14"/>
        <v>1686.099121</v>
      </c>
      <c r="E16" s="46">
        <f t="shared" si="14"/>
        <v>1650.5775149999999</v>
      </c>
      <c r="F16" s="46"/>
      <c r="G16" s="80">
        <f t="shared" si="2"/>
        <v>1662.7096557500001</v>
      </c>
      <c r="H16" s="81">
        <f t="shared" si="3"/>
        <v>80978.107032906439</v>
      </c>
      <c r="I16" s="79">
        <f t="shared" si="4"/>
        <v>9.8787067495953451E-3</v>
      </c>
      <c r="J16" s="79">
        <f t="shared" si="5"/>
        <v>0.11</v>
      </c>
      <c r="K16" s="79">
        <f t="shared" si="6"/>
        <v>2.5078339958993688E-2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ref="B17:E17" si="15">V61</f>
        <v>920.21997099999999</v>
      </c>
      <c r="C17" s="46">
        <f t="shared" si="15"/>
        <v>902.03716999999995</v>
      </c>
      <c r="D17" s="46">
        <f t="shared" si="15"/>
        <v>886.07952899999998</v>
      </c>
      <c r="E17" s="46">
        <f t="shared" si="15"/>
        <v>918.02642800000001</v>
      </c>
      <c r="F17" s="46"/>
      <c r="G17" s="80">
        <f t="shared" si="2"/>
        <v>906.59077450000007</v>
      </c>
      <c r="H17" s="81">
        <f t="shared" si="3"/>
        <v>44153.231755541601</v>
      </c>
      <c r="I17" s="79">
        <f t="shared" si="4"/>
        <v>1.518400517007272E-2</v>
      </c>
      <c r="J17" s="79">
        <f t="shared" si="5"/>
        <v>0.11</v>
      </c>
      <c r="K17" s="79">
        <f t="shared" si="6"/>
        <v>3.7658051416670363E-2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ref="B18:E18" si="16">V62</f>
        <v>213.24246199999999</v>
      </c>
      <c r="C18" s="46">
        <f t="shared" si="16"/>
        <v>203.98745700000001</v>
      </c>
      <c r="D18" s="46">
        <f t="shared" si="16"/>
        <v>202.30732699999999</v>
      </c>
      <c r="E18" s="46">
        <f t="shared" si="16"/>
        <v>211.18774400000001</v>
      </c>
      <c r="F18" s="46"/>
      <c r="G18" s="80">
        <f t="shared" si="2"/>
        <v>207.68124749999998</v>
      </c>
      <c r="H18" s="81">
        <f t="shared" si="3"/>
        <v>10114.594710281262</v>
      </c>
      <c r="I18" s="79">
        <f t="shared" si="4"/>
        <v>2.2293537251766294E-2</v>
      </c>
      <c r="J18" s="79">
        <f t="shared" si="5"/>
        <v>0.11</v>
      </c>
      <c r="K18" s="79">
        <f t="shared" si="6"/>
        <v>5.265345394268206E-2</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ref="B19:E19" si="17">V63</f>
        <v>66.611671000000001</v>
      </c>
      <c r="C19" s="46">
        <f t="shared" si="17"/>
        <v>70.638405000000006</v>
      </c>
      <c r="D19" s="46">
        <f t="shared" si="17"/>
        <v>69.584716999999998</v>
      </c>
      <c r="E19" s="46">
        <f t="shared" si="17"/>
        <v>68.600448999999998</v>
      </c>
      <c r="F19" s="46"/>
      <c r="G19" s="80">
        <f t="shared" si="2"/>
        <v>68.858810500000004</v>
      </c>
      <c r="H19" s="81">
        <f t="shared" si="3"/>
        <v>3353.5958052233868</v>
      </c>
      <c r="I19" s="79">
        <f t="shared" si="4"/>
        <v>2.1552885815969369E-2</v>
      </c>
      <c r="J19" s="79">
        <f t="shared" si="5"/>
        <v>0.11900000000000001</v>
      </c>
      <c r="K19" s="79">
        <f t="shared" si="6"/>
        <v>5.8478123144459555E-2</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ref="B20:E20" si="18">V64</f>
        <v>56.290053999999998</v>
      </c>
      <c r="C20" s="46">
        <f t="shared" si="18"/>
        <v>58.645122999999998</v>
      </c>
      <c r="D20" s="46">
        <f t="shared" si="18"/>
        <v>59.249339999999997</v>
      </c>
      <c r="E20" s="46">
        <f t="shared" si="18"/>
        <v>57.827632999999999</v>
      </c>
      <c r="F20" s="46"/>
      <c r="G20" s="80">
        <f t="shared" si="2"/>
        <v>58.003037499999998</v>
      </c>
      <c r="H20" s="81">
        <f t="shared" si="3"/>
        <v>2824.8925858255247</v>
      </c>
      <c r="I20" s="79">
        <f t="shared" si="4"/>
        <v>1.9141244123426372E-2</v>
      </c>
      <c r="J20" s="79">
        <f t="shared" si="5"/>
        <v>0.11900000000000001</v>
      </c>
      <c r="K20" s="79">
        <f t="shared" si="6"/>
        <v>5.1019500487366698E-2</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ref="B21:E21" si="19">V65</f>
        <v>48.415829000000002</v>
      </c>
      <c r="C21" s="46">
        <f t="shared" si="19"/>
        <v>49.904254999999999</v>
      </c>
      <c r="D21" s="46">
        <f t="shared" si="19"/>
        <v>50.960571000000002</v>
      </c>
      <c r="E21" s="46">
        <f t="shared" si="19"/>
        <v>48.579276999999998</v>
      </c>
      <c r="F21" s="46"/>
      <c r="G21" s="80">
        <f t="shared" si="2"/>
        <v>49.464983000000004</v>
      </c>
      <c r="H21" s="81">
        <f t="shared" si="3"/>
        <v>2409.0680377676017</v>
      </c>
      <c r="I21" s="79">
        <f t="shared" si="4"/>
        <v>2.0997116172166069E-2</v>
      </c>
      <c r="J21" s="79">
        <f t="shared" si="5"/>
        <v>0.11900000000000001</v>
      </c>
      <c r="K21" s="79">
        <f t="shared" si="6"/>
        <v>5.1445322441534026E-2</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ref="B22:E22" si="20">V66</f>
        <v>37.349353999999998</v>
      </c>
      <c r="C22" s="46">
        <f t="shared" si="20"/>
        <v>39.333903999999997</v>
      </c>
      <c r="D22" s="46">
        <f t="shared" si="20"/>
        <v>38.169266</v>
      </c>
      <c r="E22" s="46">
        <f t="shared" si="20"/>
        <v>37.501575000000003</v>
      </c>
      <c r="F22" s="46"/>
      <c r="G22" s="80">
        <f t="shared" si="2"/>
        <v>38.088524749999998</v>
      </c>
      <c r="H22" s="81">
        <f t="shared" si="3"/>
        <v>1855.0061481057262</v>
      </c>
      <c r="I22" s="79">
        <f t="shared" si="4"/>
        <v>2.0540667733255819E-2</v>
      </c>
      <c r="J22" s="79">
        <f t="shared" si="5"/>
        <v>0.13400000000000001</v>
      </c>
      <c r="K22" s="79">
        <f t="shared" si="6"/>
        <v>5.2103619476624619E-2</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ref="B23:E23" si="21">V67</f>
        <v>25.644428000000001</v>
      </c>
      <c r="C23" s="46">
        <f t="shared" si="21"/>
        <v>28.865190999999999</v>
      </c>
      <c r="D23" s="46">
        <f t="shared" si="21"/>
        <v>26.503592000000001</v>
      </c>
      <c r="E23" s="46">
        <f t="shared" si="21"/>
        <v>24.899422000000001</v>
      </c>
      <c r="F23" s="46"/>
      <c r="G23" s="80">
        <f t="shared" si="2"/>
        <v>26.47815825</v>
      </c>
      <c r="H23" s="81">
        <f t="shared" si="3"/>
        <v>1289.5523433016754</v>
      </c>
      <c r="I23" s="79">
        <f t="shared" si="4"/>
        <v>5.6290810150852445E-2</v>
      </c>
      <c r="J23" s="79">
        <f t="shared" si="5"/>
        <v>0.13400000000000001</v>
      </c>
      <c r="K23" s="79">
        <f t="shared" si="6"/>
        <v>0.14977510756436385</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ref="B24:E24" si="22">V68</f>
        <v>17.450980999999999</v>
      </c>
      <c r="C24" s="46">
        <f t="shared" si="22"/>
        <v>20.022684000000002</v>
      </c>
      <c r="D24" s="46">
        <f t="shared" si="22"/>
        <v>18.624146</v>
      </c>
      <c r="E24" s="46">
        <f t="shared" si="22"/>
        <v>16.667368</v>
      </c>
      <c r="F24" s="46"/>
      <c r="G24" s="80">
        <f t="shared" si="2"/>
        <v>18.191294749999997</v>
      </c>
      <c r="H24" s="81">
        <f t="shared" si="3"/>
        <v>885.96142341410632</v>
      </c>
      <c r="I24" s="79">
        <f t="shared" si="4"/>
        <v>6.959774319724904E-2</v>
      </c>
      <c r="J24" s="79">
        <f t="shared" si="5"/>
        <v>0.156</v>
      </c>
      <c r="K24" s="79">
        <f t="shared" si="6"/>
        <v>0.18444624454232442</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E25" si="23">V69</f>
        <v>15.003587</v>
      </c>
      <c r="C25" s="46">
        <f t="shared" si="23"/>
        <v>16.871905999999999</v>
      </c>
      <c r="D25" s="46">
        <f t="shared" si="23"/>
        <v>15.656561999999999</v>
      </c>
      <c r="E25" s="46">
        <f t="shared" si="23"/>
        <v>12.602156000000001</v>
      </c>
      <c r="F25" s="46"/>
      <c r="G25" s="80">
        <f t="shared" si="2"/>
        <v>15.03355275</v>
      </c>
      <c r="H25" s="81">
        <f t="shared" si="3"/>
        <v>732.17151260555841</v>
      </c>
      <c r="I25" s="79">
        <f t="shared" si="4"/>
        <v>0.10347898092115917</v>
      </c>
      <c r="J25" s="79">
        <f t="shared" si="5"/>
        <v>0.156</v>
      </c>
      <c r="K25" s="79">
        <f t="shared" si="6"/>
        <v>0.28401470171446985</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ref="B26:E26" si="24">V70</f>
        <v>12.875419000000001</v>
      </c>
      <c r="C26" s="46">
        <f t="shared" si="24"/>
        <v>14.839147000000001</v>
      </c>
      <c r="D26" s="46">
        <f t="shared" si="24"/>
        <v>14.121605000000001</v>
      </c>
      <c r="E26" s="46">
        <f t="shared" si="24"/>
        <v>10.976070999999999</v>
      </c>
      <c r="F26" s="46"/>
      <c r="G26" s="80">
        <f t="shared" si="2"/>
        <v>13.203060499999999</v>
      </c>
      <c r="H26" s="81">
        <f t="shared" si="3"/>
        <v>643.0219747828869</v>
      </c>
      <c r="I26" s="79">
        <f t="shared" si="4"/>
        <v>0.11097485186838013</v>
      </c>
      <c r="J26" s="79">
        <f t="shared" si="5"/>
        <v>0.156</v>
      </c>
      <c r="K26" s="79">
        <f t="shared" si="6"/>
        <v>0.29258943409370891</v>
      </c>
      <c r="L26">
        <f t="shared" si="7"/>
        <v>4</v>
      </c>
      <c r="P26" s="42"/>
    </row>
    <row r="27" spans="1:49" ht="13.15" x14ac:dyDescent="0.4">
      <c r="A27" s="68" t="s">
        <v>158</v>
      </c>
      <c r="B27" s="46">
        <f t="shared" ref="B27:F27" si="25">V71</f>
        <v>11.066476</v>
      </c>
      <c r="C27" s="46">
        <f t="shared" si="25"/>
        <v>12.501473000000001</v>
      </c>
      <c r="D27" s="46">
        <f t="shared" si="25"/>
        <v>12.381987000000001</v>
      </c>
      <c r="E27" s="46">
        <f t="shared" si="25"/>
        <v>9.7565080000000002</v>
      </c>
      <c r="F27" s="46">
        <f t="shared" si="25"/>
        <v>10.554031</v>
      </c>
      <c r="G27" s="80">
        <f t="shared" si="2"/>
        <v>11.252095000000001</v>
      </c>
      <c r="H27" s="81">
        <f t="shared" si="3"/>
        <v>548.00508922492997</v>
      </c>
      <c r="I27" s="79">
        <f t="shared" si="4"/>
        <v>9.4021134595490413E-2</v>
      </c>
      <c r="J27" s="79">
        <f t="shared" si="5"/>
        <v>0.156</v>
      </c>
      <c r="K27" s="79">
        <f t="shared" si="6"/>
        <v>0.24395145970594811</v>
      </c>
      <c r="L27">
        <f t="shared" si="7"/>
        <v>5</v>
      </c>
      <c r="P27" s="42"/>
    </row>
    <row r="28" spans="1:49" ht="13.15" x14ac:dyDescent="0.4">
      <c r="A28" s="68" t="s">
        <v>159</v>
      </c>
      <c r="B28" s="46">
        <f t="shared" ref="B28:E28" si="26">V72</f>
        <v>9.1511239999999994</v>
      </c>
      <c r="C28" s="46">
        <f t="shared" si="26"/>
        <v>10.468712999999999</v>
      </c>
      <c r="D28" s="46">
        <f t="shared" si="26"/>
        <v>10.540037999999999</v>
      </c>
      <c r="E28" s="46">
        <f t="shared" si="26"/>
        <v>8.3336839999999999</v>
      </c>
      <c r="F28" s="46"/>
      <c r="G28" s="80">
        <f t="shared" si="2"/>
        <v>9.6233897499999994</v>
      </c>
      <c r="H28" s="81">
        <f t="shared" si="3"/>
        <v>468.6830815590364</v>
      </c>
      <c r="I28" s="79">
        <f t="shared" si="4"/>
        <v>9.6382089094658063E-2</v>
      </c>
      <c r="J28" s="79">
        <f t="shared" si="5"/>
        <v>0.193</v>
      </c>
      <c r="K28" s="79">
        <f t="shared" si="6"/>
        <v>0.22926994097895695</v>
      </c>
      <c r="L28">
        <f t="shared" si="7"/>
        <v>4</v>
      </c>
      <c r="P28" s="42"/>
    </row>
    <row r="29" spans="1:49" ht="13.15" x14ac:dyDescent="0.4">
      <c r="A29" s="68" t="s">
        <v>160</v>
      </c>
      <c r="B29" s="46">
        <f t="shared" ref="B29:E29" si="27">V73</f>
        <v>7.5549970000000002</v>
      </c>
      <c r="C29" s="46">
        <f t="shared" si="27"/>
        <v>8.8425049999999992</v>
      </c>
      <c r="D29" s="46">
        <f t="shared" si="27"/>
        <v>8.5957589999999993</v>
      </c>
      <c r="E29" s="46">
        <f t="shared" si="27"/>
        <v>6.605969</v>
      </c>
      <c r="F29" s="46"/>
      <c r="G29" s="80">
        <f t="shared" si="2"/>
        <v>7.8998074999999996</v>
      </c>
      <c r="H29" s="81">
        <f t="shared" si="3"/>
        <v>384.74032736990495</v>
      </c>
      <c r="I29" s="79">
        <f t="shared" si="4"/>
        <v>0.11261721816064081</v>
      </c>
      <c r="J29" s="79">
        <f t="shared" si="5"/>
        <v>0.193</v>
      </c>
      <c r="K29" s="79">
        <f t="shared" si="6"/>
        <v>0.28311272141757876</v>
      </c>
      <c r="L29">
        <f t="shared" si="7"/>
        <v>4</v>
      </c>
      <c r="P29" s="42"/>
    </row>
    <row r="30" spans="1:49" ht="13.15" x14ac:dyDescent="0.4">
      <c r="A30" s="68" t="s">
        <v>161</v>
      </c>
      <c r="B30" s="46">
        <f t="shared" ref="B30:F30" si="28">V74</f>
        <v>6.3845049999999999</v>
      </c>
      <c r="C30" s="46">
        <f t="shared" si="28"/>
        <v>6.8097450000000004</v>
      </c>
      <c r="D30" s="46">
        <f t="shared" si="28"/>
        <v>6.7538109999999998</v>
      </c>
      <c r="E30" s="46">
        <f t="shared" si="28"/>
        <v>5.3864049999999999</v>
      </c>
      <c r="F30" s="46">
        <f t="shared" si="28"/>
        <v>5.3784970000000003</v>
      </c>
      <c r="G30" s="80">
        <f t="shared" si="2"/>
        <v>6.1425925999999995</v>
      </c>
      <c r="H30" s="81">
        <f t="shared" si="3"/>
        <v>299.15957924594431</v>
      </c>
      <c r="I30" s="79">
        <f t="shared" si="4"/>
        <v>0.10380479367033313</v>
      </c>
      <c r="J30" s="79">
        <f t="shared" si="5"/>
        <v>0.193</v>
      </c>
      <c r="K30" s="79">
        <f t="shared" si="6"/>
        <v>0.23300389480493955</v>
      </c>
      <c r="L30">
        <f t="shared" si="7"/>
        <v>5</v>
      </c>
      <c r="P30" s="42"/>
    </row>
    <row r="31" spans="1:49" ht="13.15" x14ac:dyDescent="0.4">
      <c r="A31" s="68" t="s">
        <v>162</v>
      </c>
      <c r="B31" s="46">
        <f t="shared" ref="B31:F31" si="29">V75</f>
        <v>5.7460550000000001</v>
      </c>
      <c r="C31" s="46">
        <f t="shared" si="29"/>
        <v>5.3868140000000002</v>
      </c>
      <c r="D31" s="46">
        <f t="shared" si="29"/>
        <v>5.3211839999999997</v>
      </c>
      <c r="E31" s="46">
        <f t="shared" si="29"/>
        <v>4.3701020000000002</v>
      </c>
      <c r="F31" s="46">
        <f t="shared" si="29"/>
        <v>4.3636860000000004</v>
      </c>
      <c r="G31" s="80">
        <f t="shared" si="2"/>
        <v>5.0375681999999999</v>
      </c>
      <c r="H31" s="81">
        <f t="shared" si="3"/>
        <v>245.34213503509076</v>
      </c>
      <c r="I31" s="79">
        <f t="shared" si="4"/>
        <v>0.11243336741713827</v>
      </c>
      <c r="J31" s="79">
        <f t="shared" si="5"/>
        <v>0.193</v>
      </c>
      <c r="K31" s="79">
        <f t="shared" si="6"/>
        <v>0.27441196726626943</v>
      </c>
      <c r="L31">
        <f t="shared" si="7"/>
        <v>5</v>
      </c>
      <c r="P31" s="42"/>
    </row>
    <row r="32" spans="1:49" ht="13.15" x14ac:dyDescent="0.4">
      <c r="A32" s="68" t="s">
        <v>163</v>
      </c>
      <c r="B32" s="46">
        <f t="shared" ref="B32:F32" si="30">V76</f>
        <v>4.6819709999999999</v>
      </c>
      <c r="C32" s="46">
        <f t="shared" si="30"/>
        <v>4.4720719999999998</v>
      </c>
      <c r="D32" s="46">
        <f t="shared" si="30"/>
        <v>4.5025409999999999</v>
      </c>
      <c r="E32" s="46">
        <f t="shared" si="30"/>
        <v>3.3538000000000001</v>
      </c>
      <c r="F32" s="46">
        <f t="shared" si="30"/>
        <v>3.4503560000000002</v>
      </c>
      <c r="G32" s="80">
        <f t="shared" si="2"/>
        <v>4.0921479999999999</v>
      </c>
      <c r="H32" s="81">
        <f t="shared" si="3"/>
        <v>199.29781341711197</v>
      </c>
      <c r="I32" s="79">
        <f t="shared" si="4"/>
        <v>0.13899976860831761</v>
      </c>
      <c r="J32" s="79">
        <f t="shared" si="5"/>
        <v>0.27500000000000002</v>
      </c>
      <c r="K32" s="79">
        <f t="shared" si="6"/>
        <v>0.32456572929424837</v>
      </c>
      <c r="L32">
        <f t="shared" si="7"/>
        <v>5</v>
      </c>
      <c r="P32" s="42"/>
    </row>
    <row r="33" spans="1:16" ht="13.15" x14ac:dyDescent="0.4">
      <c r="A33" s="68" t="s">
        <v>164</v>
      </c>
      <c r="B33" s="46">
        <f t="shared" ref="B33:F33" si="31">V77</f>
        <v>3.6178859999999999</v>
      </c>
      <c r="C33" s="46">
        <f t="shared" si="31"/>
        <v>3.862244</v>
      </c>
      <c r="D33" s="46">
        <f t="shared" si="31"/>
        <v>3.7862269999999998</v>
      </c>
      <c r="E33" s="46">
        <f t="shared" si="31"/>
        <v>2.5407570000000002</v>
      </c>
      <c r="F33" s="46">
        <f t="shared" si="31"/>
        <v>3.044432</v>
      </c>
      <c r="G33" s="80">
        <f t="shared" si="2"/>
        <v>3.3703091999999999</v>
      </c>
      <c r="H33" s="81">
        <f t="shared" si="3"/>
        <v>164.14246359114478</v>
      </c>
      <c r="I33" s="79">
        <f t="shared" si="4"/>
        <v>0.14957381812809967</v>
      </c>
      <c r="J33" s="79">
        <f t="shared" si="5"/>
        <v>0.27500000000000002</v>
      </c>
      <c r="K33" s="79">
        <f t="shared" si="6"/>
        <v>0.39209666578959579</v>
      </c>
      <c r="L33">
        <f t="shared" si="7"/>
        <v>5</v>
      </c>
      <c r="P33" s="42"/>
    </row>
    <row r="34" spans="1:16" ht="13.15" x14ac:dyDescent="0.4">
      <c r="A34" s="68" t="s">
        <v>165</v>
      </c>
      <c r="B34" s="46">
        <f t="shared" ref="B34:F34" si="32">V78</f>
        <v>3.0858439999999998</v>
      </c>
      <c r="C34" s="46">
        <f t="shared" si="32"/>
        <v>3.04914</v>
      </c>
      <c r="D34" s="46">
        <f t="shared" si="32"/>
        <v>2.967584</v>
      </c>
      <c r="E34" s="46">
        <f t="shared" si="32"/>
        <v>2.0326059999999999</v>
      </c>
      <c r="F34" s="46">
        <f t="shared" si="32"/>
        <v>2.6385079999999999</v>
      </c>
      <c r="G34" s="80">
        <f t="shared" si="2"/>
        <v>2.7547363999999996</v>
      </c>
      <c r="H34" s="81">
        <f t="shared" si="3"/>
        <v>134.16253299258156</v>
      </c>
      <c r="I34" s="79">
        <f t="shared" si="4"/>
        <v>0.14306426789188609</v>
      </c>
      <c r="J34" s="79">
        <f t="shared" si="5"/>
        <v>0.27500000000000002</v>
      </c>
      <c r="K34" s="79">
        <f t="shared" si="6"/>
        <v>0.38233712670293973</v>
      </c>
      <c r="L34">
        <f t="shared" si="7"/>
        <v>5</v>
      </c>
      <c r="P34" s="42"/>
    </row>
    <row r="35" spans="1:16" ht="13.15" x14ac:dyDescent="0.4">
      <c r="A35" s="68" t="s">
        <v>166</v>
      </c>
      <c r="B35" s="46">
        <f t="shared" ref="B35:F35" si="33">V79</f>
        <v>2.7666189999999999</v>
      </c>
      <c r="C35" s="46">
        <f t="shared" si="33"/>
        <v>2.6425879999999999</v>
      </c>
      <c r="D35" s="46">
        <f t="shared" si="33"/>
        <v>2.3536009999999998</v>
      </c>
      <c r="E35" s="46">
        <f t="shared" si="33"/>
        <v>1.4228240000000001</v>
      </c>
      <c r="F35" s="46">
        <f t="shared" si="33"/>
        <v>1.826659</v>
      </c>
      <c r="G35" s="80">
        <f t="shared" si="2"/>
        <v>2.2024581999999997</v>
      </c>
      <c r="H35" s="81">
        <f t="shared" si="3"/>
        <v>107.26520727075078</v>
      </c>
      <c r="I35" s="79">
        <f t="shared" si="4"/>
        <v>0.23007598247056205</v>
      </c>
      <c r="J35" s="79">
        <f t="shared" si="5"/>
        <v>0.27500000000000002</v>
      </c>
      <c r="K35" s="79">
        <f t="shared" si="6"/>
        <v>0.61013416735899917</v>
      </c>
      <c r="L35">
        <f t="shared" si="7"/>
        <v>5</v>
      </c>
      <c r="P35" s="42"/>
    </row>
    <row r="36" spans="1:16" ht="13.15" x14ac:dyDescent="0.4">
      <c r="A36" s="68" t="s">
        <v>167</v>
      </c>
      <c r="B36" s="46">
        <f t="shared" ref="B36:F36" si="34">V80</f>
        <v>0.31922499999999998</v>
      </c>
      <c r="C36" s="46">
        <f t="shared" si="34"/>
        <v>0.20327600000000001</v>
      </c>
      <c r="D36" s="46">
        <f t="shared" si="34"/>
        <v>0.20466100000000001</v>
      </c>
      <c r="E36" s="46">
        <f t="shared" si="34"/>
        <v>0.203261</v>
      </c>
      <c r="F36" s="46">
        <f t="shared" si="34"/>
        <v>0.30444300000000002</v>
      </c>
      <c r="G36" s="80">
        <f t="shared" si="2"/>
        <v>0.2469732</v>
      </c>
      <c r="H36" s="81">
        <f t="shared" si="3"/>
        <v>12.028210791160799</v>
      </c>
      <c r="I36" s="79">
        <f t="shared" si="4"/>
        <v>0.21527417988382047</v>
      </c>
      <c r="J36" s="79">
        <f t="shared" si="5"/>
        <v>0.27500000000000002</v>
      </c>
      <c r="K36" s="79">
        <f t="shared" si="6"/>
        <v>0.46954082467247449</v>
      </c>
      <c r="L36">
        <f t="shared" si="7"/>
        <v>5</v>
      </c>
      <c r="P36" s="42"/>
    </row>
    <row r="37" spans="1:16" ht="13.15" x14ac:dyDescent="0.4">
      <c r="A37" s="68" t="s">
        <v>168</v>
      </c>
      <c r="B37" s="46">
        <f t="shared" ref="B37:F37" si="35">V81</f>
        <v>0.106408</v>
      </c>
      <c r="C37" s="46">
        <f t="shared" si="35"/>
        <v>0</v>
      </c>
      <c r="D37" s="46">
        <f t="shared" si="35"/>
        <v>0</v>
      </c>
      <c r="E37" s="46">
        <f t="shared" si="35"/>
        <v>0.10163</v>
      </c>
      <c r="F37" s="46">
        <f t="shared" si="35"/>
        <v>0</v>
      </c>
      <c r="G37" s="80">
        <f t="shared" si="2"/>
        <v>4.1607600000000002E-2</v>
      </c>
      <c r="H37" s="81">
        <f t="shared" si="3"/>
        <v>2.0263938893544</v>
      </c>
      <c r="I37" s="79">
        <f t="shared" si="4"/>
        <v>1.2252831113235811</v>
      </c>
      <c r="J37" s="79">
        <f t="shared" si="5"/>
        <v>0.27500000000000002</v>
      </c>
      <c r="K37" s="79">
        <f t="shared" si="6"/>
        <v>2.5574173948990087</v>
      </c>
      <c r="L37">
        <f t="shared" si="7"/>
        <v>5</v>
      </c>
    </row>
    <row r="38" spans="1:16" ht="13.15" x14ac:dyDescent="0.4">
      <c r="A38" s="68" t="s">
        <v>169</v>
      </c>
      <c r="B38" s="46">
        <f t="shared" ref="B38:F38" si="36">V82</f>
        <v>0.106408</v>
      </c>
      <c r="C38" s="46">
        <f t="shared" si="36"/>
        <v>0</v>
      </c>
      <c r="D38" s="46">
        <f t="shared" si="36"/>
        <v>0</v>
      </c>
      <c r="E38" s="46">
        <f t="shared" si="36"/>
        <v>0.10163</v>
      </c>
      <c r="F38" s="46">
        <f t="shared" si="36"/>
        <v>0</v>
      </c>
      <c r="G38" s="80">
        <f t="shared" si="2"/>
        <v>4.1607600000000002E-2</v>
      </c>
      <c r="H38" s="81">
        <f t="shared" si="3"/>
        <v>2.0263938893544</v>
      </c>
      <c r="I38" s="79">
        <f t="shared" si="4"/>
        <v>1.2252831113235811</v>
      </c>
      <c r="J38" s="79">
        <f t="shared" si="5"/>
        <v>0.27500000000000002</v>
      </c>
      <c r="K38" s="79">
        <f t="shared" si="6"/>
        <v>2.5574173948990087</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34" priority="1" operator="greaterThan">
      <formula>1000</formula>
    </cfRule>
  </conditionalFormatting>
  <conditionalFormatting sqref="K9:K40">
    <cfRule type="cellIs" dxfId="33"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LU132"/>
  <sheetViews>
    <sheetView zoomScale="70" zoomScaleNormal="70" workbookViewId="0">
      <selection activeCell="M54" sqref="M54"/>
    </sheetView>
  </sheetViews>
  <sheetFormatPr defaultColWidth="11.53125" defaultRowHeight="13.15" x14ac:dyDescent="0.4"/>
  <cols>
    <col min="2" max="2" width="9.6640625" customWidth="1"/>
    <col min="12" max="12" width="10.73046875" customWidth="1"/>
    <col min="13" max="13" width="8.19921875" customWidth="1"/>
    <col min="14" max="14" width="9.19921875" customWidth="1"/>
    <col min="16" max="16" width="2.9296875" bestFit="1" customWidth="1"/>
    <col min="17" max="18" width="5.86328125" customWidth="1"/>
    <col min="19" max="19" width="7.33203125" style="8" bestFit="1" customWidth="1"/>
    <col min="20" max="24" width="7.33203125" bestFit="1" customWidth="1"/>
    <col min="25" max="28" width="8.33203125" bestFit="1" customWidth="1"/>
    <col min="29" max="29" width="8.06640625" bestFit="1" customWidth="1"/>
    <col min="30" max="31" width="6.06640625" bestFit="1" customWidth="1"/>
  </cols>
  <sheetData>
    <row r="1" spans="1:1009" ht="46.15" customHeight="1" x14ac:dyDescent="1.35">
      <c r="A1" s="157" t="s">
        <v>323</v>
      </c>
    </row>
    <row r="2" spans="1:1009" ht="53" customHeight="1" x14ac:dyDescent="1.05">
      <c r="A2" s="3" t="s">
        <v>10</v>
      </c>
      <c r="B2" s="32" t="s">
        <v>8</v>
      </c>
      <c r="C2" s="261" t="s">
        <v>11</v>
      </c>
      <c r="D2" s="261"/>
      <c r="E2" s="261"/>
      <c r="F2" s="261"/>
      <c r="G2" s="261"/>
      <c r="H2" s="261"/>
      <c r="I2" s="261"/>
      <c r="J2" s="261"/>
      <c r="K2" s="261"/>
      <c r="L2" s="261"/>
      <c r="M2" s="9"/>
      <c r="N2" s="33"/>
      <c r="Q2" s="9" t="s">
        <v>370</v>
      </c>
      <c r="S2"/>
      <c r="T2" s="8"/>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HZ2" s="9"/>
      <c r="IA2" s="9"/>
      <c r="IB2" s="9"/>
      <c r="IC2" s="9"/>
      <c r="ID2" s="9"/>
      <c r="IE2" s="9"/>
      <c r="IF2" s="9"/>
      <c r="IG2" s="9"/>
      <c r="IH2" s="9"/>
      <c r="II2" s="9"/>
      <c r="IJ2" s="9"/>
      <c r="IK2" s="9"/>
      <c r="IL2" s="9"/>
      <c r="IM2" s="9"/>
      <c r="IN2" s="9"/>
      <c r="IO2" s="9"/>
      <c r="IP2" s="9"/>
      <c r="IQ2" s="9"/>
      <c r="IR2" s="9"/>
      <c r="IS2" s="9"/>
      <c r="IT2" s="9"/>
      <c r="IU2" s="9"/>
      <c r="IV2" s="9"/>
      <c r="IW2" s="9"/>
      <c r="IX2" s="9"/>
      <c r="IY2" s="9"/>
      <c r="IZ2" s="9"/>
      <c r="JA2" s="9"/>
      <c r="JB2" s="9"/>
      <c r="JC2" s="9"/>
      <c r="JD2" s="9"/>
      <c r="JE2" s="9"/>
      <c r="JF2" s="9"/>
      <c r="JG2" s="9"/>
      <c r="JH2" s="9"/>
      <c r="JI2" s="9"/>
      <c r="JJ2" s="9"/>
      <c r="JK2" s="9"/>
      <c r="JL2" s="9"/>
      <c r="JM2" s="9"/>
      <c r="JN2" s="9"/>
      <c r="JO2" s="9"/>
      <c r="JP2" s="9"/>
      <c r="JQ2" s="9"/>
      <c r="JR2" s="9"/>
      <c r="JS2" s="9"/>
      <c r="JT2" s="9"/>
      <c r="JU2" s="9"/>
      <c r="JV2" s="9"/>
      <c r="JW2" s="9"/>
      <c r="JX2" s="9"/>
      <c r="JY2" s="9"/>
      <c r="JZ2" s="9"/>
      <c r="KA2" s="9"/>
      <c r="KB2" s="9"/>
      <c r="KC2" s="9"/>
      <c r="KD2" s="9"/>
      <c r="KE2" s="9"/>
      <c r="KF2" s="9"/>
      <c r="KG2" s="9"/>
      <c r="KH2" s="9"/>
      <c r="KI2" s="9"/>
      <c r="KJ2" s="9"/>
      <c r="KK2" s="9"/>
      <c r="KL2" s="9"/>
      <c r="KM2" s="9"/>
      <c r="KN2" s="9"/>
      <c r="KO2" s="9"/>
      <c r="KP2" s="9"/>
      <c r="KQ2" s="9"/>
      <c r="KR2" s="9"/>
      <c r="KS2" s="9"/>
      <c r="KT2" s="9"/>
      <c r="KU2" s="9"/>
      <c r="KV2" s="9"/>
      <c r="KW2" s="9"/>
      <c r="KX2" s="9"/>
      <c r="KY2" s="9"/>
      <c r="KZ2" s="9"/>
      <c r="LA2" s="9"/>
      <c r="LB2" s="9"/>
      <c r="LC2" s="9"/>
      <c r="LD2" s="9"/>
      <c r="LE2" s="9"/>
      <c r="LF2" s="9"/>
      <c r="LG2" s="9"/>
      <c r="LH2" s="9"/>
      <c r="LI2" s="9"/>
      <c r="LJ2" s="9"/>
      <c r="LK2" s="9"/>
      <c r="LL2" s="9"/>
      <c r="LM2" s="9"/>
      <c r="LN2" s="9"/>
      <c r="LO2" s="9"/>
      <c r="LP2" s="9"/>
      <c r="LQ2" s="9"/>
      <c r="LR2" s="9"/>
      <c r="LS2" s="9"/>
      <c r="LT2" s="9"/>
      <c r="LU2" s="9"/>
      <c r="LV2" s="9"/>
      <c r="LW2" s="9"/>
      <c r="LX2" s="9"/>
      <c r="LY2" s="9"/>
      <c r="LZ2" s="9"/>
      <c r="MA2" s="9"/>
      <c r="MB2" s="9"/>
      <c r="MC2" s="9"/>
      <c r="MD2" s="9"/>
      <c r="ME2" s="9"/>
      <c r="MF2" s="9"/>
      <c r="MG2" s="9"/>
      <c r="MH2" s="9"/>
      <c r="MI2" s="9"/>
      <c r="MJ2" s="9"/>
      <c r="MK2" s="9"/>
      <c r="ML2" s="9"/>
      <c r="MM2" s="9"/>
      <c r="MN2" s="9"/>
      <c r="MO2" s="9"/>
      <c r="MP2" s="9"/>
      <c r="MQ2" s="9"/>
      <c r="MR2" s="9"/>
      <c r="MS2" s="9"/>
      <c r="MT2" s="9"/>
      <c r="MU2" s="9"/>
      <c r="MV2" s="9"/>
      <c r="MW2" s="9"/>
      <c r="MX2" s="9"/>
      <c r="MY2" s="9"/>
      <c r="MZ2" s="9"/>
      <c r="NA2" s="9"/>
      <c r="NB2" s="9"/>
      <c r="NC2" s="9"/>
      <c r="ND2" s="9"/>
      <c r="NE2" s="9"/>
      <c r="NF2" s="9"/>
      <c r="NG2" s="9"/>
      <c r="NH2" s="9"/>
      <c r="NI2" s="9"/>
      <c r="NJ2" s="9"/>
      <c r="NK2" s="9"/>
      <c r="NL2" s="9"/>
      <c r="NM2" s="9"/>
      <c r="NN2" s="9"/>
      <c r="NO2" s="9"/>
      <c r="NP2" s="9"/>
      <c r="NQ2" s="9"/>
      <c r="NR2" s="9"/>
      <c r="NS2" s="9"/>
      <c r="NT2" s="9"/>
      <c r="NU2" s="9"/>
      <c r="NV2" s="9"/>
      <c r="NW2" s="9"/>
      <c r="NX2" s="9"/>
      <c r="NY2" s="9"/>
      <c r="NZ2" s="9"/>
      <c r="OA2" s="9"/>
      <c r="OB2" s="9"/>
      <c r="OC2" s="9"/>
      <c r="OD2" s="9"/>
      <c r="OE2" s="9"/>
      <c r="OF2" s="9"/>
      <c r="OG2" s="9"/>
      <c r="OH2" s="9"/>
      <c r="OI2" s="9"/>
      <c r="OJ2" s="9"/>
      <c r="OK2" s="9"/>
      <c r="OL2" s="9"/>
      <c r="OM2" s="9"/>
      <c r="ON2" s="9"/>
      <c r="OO2" s="9"/>
      <c r="OP2" s="9"/>
      <c r="OQ2" s="9"/>
      <c r="OR2" s="9"/>
      <c r="OS2" s="9"/>
      <c r="OT2" s="9"/>
      <c r="OU2" s="9"/>
      <c r="OV2" s="9"/>
      <c r="OW2" s="9"/>
      <c r="OX2" s="9"/>
      <c r="OY2" s="9"/>
      <c r="OZ2" s="9"/>
      <c r="PA2" s="9"/>
      <c r="PB2" s="9"/>
      <c r="PC2" s="9"/>
      <c r="PD2" s="9"/>
      <c r="PE2" s="9"/>
      <c r="PF2" s="9"/>
      <c r="PG2" s="9"/>
      <c r="PH2" s="9"/>
      <c r="PI2" s="9"/>
      <c r="PJ2" s="9"/>
      <c r="PK2" s="9"/>
      <c r="PL2" s="9"/>
      <c r="PM2" s="9"/>
      <c r="PN2" s="9"/>
      <c r="PO2" s="9"/>
      <c r="PP2" s="9"/>
      <c r="PQ2" s="9"/>
      <c r="PR2" s="9"/>
      <c r="PS2" s="9"/>
      <c r="PT2" s="9"/>
      <c r="PU2" s="9"/>
      <c r="PV2" s="9"/>
      <c r="PW2" s="9"/>
      <c r="PX2" s="9"/>
      <c r="PY2" s="9"/>
      <c r="PZ2" s="9"/>
      <c r="QA2" s="9"/>
      <c r="QB2" s="9"/>
      <c r="QC2" s="9"/>
      <c r="QD2" s="9"/>
      <c r="QE2" s="9"/>
      <c r="QF2" s="9"/>
      <c r="QG2" s="9"/>
      <c r="QH2" s="9"/>
      <c r="QI2" s="9"/>
      <c r="QJ2" s="9"/>
      <c r="QK2" s="9"/>
      <c r="QL2" s="9"/>
      <c r="QM2" s="9"/>
      <c r="QN2" s="9"/>
      <c r="QO2" s="9"/>
      <c r="QP2" s="9"/>
      <c r="QQ2" s="9"/>
      <c r="QR2" s="9"/>
      <c r="QS2" s="9"/>
      <c r="QT2" s="9"/>
      <c r="QU2" s="9"/>
      <c r="QV2" s="9"/>
      <c r="QW2" s="9"/>
      <c r="QX2" s="9"/>
      <c r="QY2" s="9"/>
      <c r="QZ2" s="9"/>
      <c r="RA2" s="9"/>
      <c r="RB2" s="9"/>
      <c r="RC2" s="9"/>
      <c r="RD2" s="9"/>
      <c r="RE2" s="9"/>
      <c r="RF2" s="9"/>
      <c r="RG2" s="9"/>
      <c r="RH2" s="9"/>
      <c r="RI2" s="9"/>
      <c r="RJ2" s="9"/>
      <c r="RK2" s="9"/>
      <c r="RL2" s="9"/>
      <c r="RM2" s="9"/>
      <c r="RN2" s="9"/>
      <c r="RO2" s="9"/>
      <c r="RP2" s="9"/>
      <c r="RQ2" s="9"/>
      <c r="RR2" s="9"/>
      <c r="RS2" s="9"/>
      <c r="RT2" s="9"/>
      <c r="RU2" s="9"/>
      <c r="RV2" s="9"/>
      <c r="RW2" s="9"/>
      <c r="RX2" s="9"/>
      <c r="RY2" s="9"/>
      <c r="RZ2" s="9"/>
      <c r="SA2" s="9"/>
      <c r="SB2" s="9"/>
      <c r="SC2" s="9"/>
      <c r="SD2" s="9"/>
      <c r="SE2" s="9"/>
      <c r="SF2" s="9"/>
      <c r="SG2" s="9"/>
      <c r="SH2" s="9"/>
      <c r="SI2" s="9"/>
      <c r="SJ2" s="9"/>
      <c r="SK2" s="9"/>
      <c r="SL2" s="9"/>
      <c r="SM2" s="9"/>
      <c r="SN2" s="9"/>
      <c r="SO2" s="9"/>
      <c r="SP2" s="9"/>
      <c r="SQ2" s="9"/>
      <c r="SR2" s="9"/>
      <c r="SS2" s="9"/>
      <c r="ST2" s="9"/>
      <c r="SU2" s="9"/>
      <c r="SV2" s="9"/>
      <c r="SW2" s="9"/>
      <c r="SX2" s="9"/>
      <c r="SY2" s="9"/>
      <c r="SZ2" s="9"/>
      <c r="TA2" s="9"/>
      <c r="TB2" s="9"/>
      <c r="TC2" s="9"/>
      <c r="TD2" s="9"/>
      <c r="TE2" s="9"/>
      <c r="TF2" s="9"/>
      <c r="TG2" s="9"/>
      <c r="TH2" s="9"/>
      <c r="TI2" s="9"/>
      <c r="TJ2" s="9"/>
      <c r="TK2" s="9"/>
      <c r="TL2" s="9"/>
      <c r="TM2" s="9"/>
      <c r="TN2" s="9"/>
      <c r="TO2" s="9"/>
      <c r="TP2" s="9"/>
      <c r="TQ2" s="9"/>
      <c r="TR2" s="9"/>
      <c r="TS2" s="9"/>
      <c r="TT2" s="9"/>
      <c r="TU2" s="9"/>
      <c r="TV2" s="9"/>
      <c r="TW2" s="9"/>
      <c r="TX2" s="9"/>
      <c r="TY2" s="9"/>
      <c r="TZ2" s="9"/>
      <c r="UA2" s="9"/>
      <c r="UB2" s="9"/>
      <c r="UC2" s="9"/>
      <c r="UD2" s="9"/>
      <c r="UE2" s="9"/>
      <c r="UF2" s="9"/>
      <c r="UG2" s="9"/>
      <c r="UH2" s="9"/>
      <c r="UI2" s="9"/>
      <c r="UJ2" s="9"/>
      <c r="UK2" s="9"/>
      <c r="UL2" s="9"/>
      <c r="UM2" s="9"/>
      <c r="UN2" s="9"/>
      <c r="UO2" s="9"/>
      <c r="UP2" s="9"/>
      <c r="UQ2" s="9"/>
      <c r="UR2" s="9"/>
      <c r="US2" s="9"/>
      <c r="UT2" s="9"/>
      <c r="UU2" s="9"/>
      <c r="UV2" s="9"/>
      <c r="UW2" s="9"/>
      <c r="UX2" s="9"/>
      <c r="UY2" s="9"/>
      <c r="UZ2" s="9"/>
      <c r="VA2" s="9"/>
      <c r="VB2" s="9"/>
      <c r="VC2" s="9"/>
      <c r="VD2" s="9"/>
      <c r="VE2" s="9"/>
      <c r="VF2" s="9"/>
      <c r="VG2" s="9"/>
      <c r="VH2" s="9"/>
      <c r="VI2" s="9"/>
      <c r="VJ2" s="9"/>
      <c r="VK2" s="9"/>
      <c r="VL2" s="9"/>
      <c r="VM2" s="9"/>
      <c r="VN2" s="9"/>
      <c r="VO2" s="9"/>
      <c r="VP2" s="9"/>
      <c r="VQ2" s="9"/>
      <c r="VR2" s="9"/>
      <c r="VS2" s="9"/>
      <c r="VT2" s="9"/>
      <c r="VU2" s="9"/>
      <c r="VV2" s="9"/>
      <c r="VW2" s="9"/>
      <c r="VX2" s="9"/>
      <c r="VY2" s="9"/>
      <c r="VZ2" s="9"/>
      <c r="WA2" s="9"/>
      <c r="WB2" s="9"/>
      <c r="WC2" s="9"/>
      <c r="WD2" s="9"/>
      <c r="WE2" s="9"/>
      <c r="WF2" s="9"/>
      <c r="WG2" s="9"/>
      <c r="WH2" s="9"/>
      <c r="WI2" s="9"/>
      <c r="WJ2" s="9"/>
      <c r="WK2" s="9"/>
      <c r="WL2" s="9"/>
      <c r="WM2" s="9"/>
      <c r="WN2" s="9"/>
      <c r="WO2" s="9"/>
      <c r="WP2" s="9"/>
      <c r="WQ2" s="9"/>
      <c r="WR2" s="9"/>
      <c r="WS2" s="9"/>
      <c r="WT2" s="9"/>
      <c r="WU2" s="9"/>
      <c r="WV2" s="9"/>
      <c r="WW2" s="9"/>
      <c r="WX2" s="9"/>
      <c r="WY2" s="9"/>
      <c r="WZ2" s="9"/>
      <c r="XA2" s="9"/>
      <c r="XB2" s="9"/>
      <c r="XC2" s="9"/>
      <c r="XD2" s="9"/>
      <c r="XE2" s="9"/>
      <c r="XF2" s="9"/>
      <c r="XG2" s="9"/>
      <c r="XH2" s="9"/>
      <c r="XI2" s="9"/>
      <c r="XJ2" s="9"/>
      <c r="XK2" s="9"/>
      <c r="XL2" s="9"/>
      <c r="XM2" s="9"/>
      <c r="XN2" s="9"/>
      <c r="XO2" s="9"/>
      <c r="XP2" s="9"/>
      <c r="XQ2" s="9"/>
      <c r="XR2" s="9"/>
      <c r="XS2" s="9"/>
      <c r="XT2" s="9"/>
      <c r="XU2" s="9"/>
      <c r="XV2" s="9"/>
      <c r="XW2" s="9"/>
      <c r="XX2" s="9"/>
      <c r="XY2" s="9"/>
      <c r="XZ2" s="9"/>
      <c r="YA2" s="9"/>
      <c r="YB2" s="9"/>
      <c r="YC2" s="9"/>
      <c r="YD2" s="9"/>
      <c r="YE2" s="9"/>
      <c r="YF2" s="9"/>
      <c r="YG2" s="9"/>
      <c r="YH2" s="9"/>
      <c r="YI2" s="9"/>
      <c r="YJ2" s="9"/>
      <c r="YK2" s="9"/>
      <c r="YL2" s="9"/>
      <c r="YM2" s="9"/>
      <c r="YN2" s="9"/>
      <c r="YO2" s="9"/>
      <c r="YP2" s="9"/>
      <c r="YQ2" s="9"/>
      <c r="YR2" s="9"/>
      <c r="YS2" s="9"/>
      <c r="YT2" s="9"/>
      <c r="YU2" s="9"/>
      <c r="YV2" s="9"/>
      <c r="YW2" s="9"/>
      <c r="YX2" s="9"/>
      <c r="YY2" s="9"/>
      <c r="YZ2" s="9"/>
      <c r="ZA2" s="9"/>
      <c r="ZB2" s="9"/>
      <c r="ZC2" s="9"/>
      <c r="ZD2" s="9"/>
      <c r="ZE2" s="9"/>
      <c r="ZF2" s="9"/>
      <c r="ZG2" s="9"/>
      <c r="ZH2" s="9"/>
      <c r="ZI2" s="9"/>
      <c r="ZJ2" s="9"/>
      <c r="ZK2" s="9"/>
      <c r="ZL2" s="9"/>
      <c r="ZM2" s="9"/>
      <c r="ZN2" s="9"/>
      <c r="ZO2" s="9"/>
      <c r="ZP2" s="9"/>
      <c r="ZQ2" s="9"/>
      <c r="ZR2" s="9"/>
      <c r="ZS2" s="9"/>
      <c r="ZT2" s="9"/>
      <c r="ZU2" s="9"/>
      <c r="ZV2" s="9"/>
      <c r="ZW2" s="9"/>
      <c r="ZX2" s="9"/>
      <c r="ZY2" s="9"/>
      <c r="ZZ2" s="9"/>
      <c r="AAA2" s="9"/>
      <c r="AAB2" s="9"/>
      <c r="AAC2" s="9"/>
      <c r="AAD2" s="9"/>
      <c r="AAE2" s="9"/>
      <c r="AAF2" s="9"/>
      <c r="AAG2" s="9"/>
      <c r="AAH2" s="9"/>
      <c r="AAI2" s="9"/>
      <c r="AAJ2" s="9"/>
      <c r="AAK2" s="9"/>
      <c r="AAL2" s="9"/>
      <c r="AAM2" s="9"/>
      <c r="AAN2" s="9"/>
      <c r="AAO2" s="9"/>
      <c r="AAP2" s="9"/>
      <c r="AAQ2" s="9"/>
      <c r="AAR2" s="9"/>
      <c r="AAS2" s="9"/>
      <c r="AAT2" s="9"/>
      <c r="AAU2" s="9"/>
      <c r="AAV2" s="9"/>
      <c r="AAW2" s="9"/>
      <c r="AAX2" s="9"/>
      <c r="AAY2" s="9"/>
      <c r="AAZ2" s="9"/>
      <c r="ABA2" s="9"/>
      <c r="ABB2" s="9"/>
      <c r="ABC2" s="9"/>
      <c r="ABD2" s="9"/>
      <c r="ABE2" s="9"/>
      <c r="ABF2" s="9"/>
      <c r="ABG2" s="9"/>
      <c r="ABH2" s="9"/>
      <c r="ABI2" s="9"/>
      <c r="ABJ2" s="9"/>
      <c r="ABK2" s="9"/>
      <c r="ABL2" s="9"/>
      <c r="ABM2" s="9"/>
      <c r="ABN2" s="9"/>
      <c r="ABO2" s="9"/>
      <c r="ABP2" s="9"/>
      <c r="ABQ2" s="9"/>
      <c r="ABR2" s="9"/>
      <c r="ABS2" s="9"/>
      <c r="ABT2" s="9"/>
      <c r="ABU2" s="9"/>
      <c r="ABV2" s="9"/>
      <c r="ABW2" s="9"/>
      <c r="ABX2" s="9"/>
      <c r="ABY2" s="9"/>
      <c r="ABZ2" s="9"/>
      <c r="ACA2" s="9"/>
      <c r="ACB2" s="9"/>
      <c r="ACC2" s="9"/>
      <c r="ACD2" s="9"/>
      <c r="ACE2" s="9"/>
      <c r="ACF2" s="9"/>
      <c r="ACG2" s="9"/>
      <c r="ACH2" s="9"/>
      <c r="ACI2" s="9"/>
      <c r="ACJ2" s="9"/>
      <c r="ACK2" s="9"/>
      <c r="ACL2" s="9"/>
      <c r="ACM2" s="9"/>
      <c r="ACN2" s="9"/>
      <c r="ACO2" s="9"/>
      <c r="ACP2" s="9"/>
      <c r="ACQ2" s="9"/>
      <c r="ACR2" s="9"/>
      <c r="ACS2" s="9"/>
      <c r="ACT2" s="9"/>
      <c r="ACU2" s="9"/>
      <c r="ACV2" s="9"/>
      <c r="ACW2" s="9"/>
      <c r="ACX2" s="9"/>
      <c r="ACY2" s="9"/>
      <c r="ACZ2" s="9"/>
      <c r="ADA2" s="9"/>
      <c r="ADB2" s="9"/>
      <c r="ADC2" s="9"/>
      <c r="ADD2" s="9"/>
      <c r="ADE2" s="9"/>
      <c r="ADF2" s="9"/>
      <c r="ADG2" s="9"/>
      <c r="ADH2" s="9"/>
      <c r="ADI2" s="9"/>
      <c r="ADJ2" s="9"/>
      <c r="ADK2" s="9"/>
      <c r="ADL2" s="9"/>
      <c r="ADM2" s="9"/>
      <c r="ADN2" s="9"/>
      <c r="ADO2" s="9"/>
      <c r="ADP2" s="9"/>
      <c r="ADQ2" s="9"/>
      <c r="ADR2" s="9"/>
      <c r="ADS2" s="9"/>
      <c r="ADT2" s="9"/>
      <c r="ADU2" s="9"/>
      <c r="ADV2" s="9"/>
      <c r="ADW2" s="9"/>
      <c r="ADX2" s="9"/>
      <c r="ADY2" s="9"/>
      <c r="ADZ2" s="9"/>
      <c r="AEA2" s="9"/>
      <c r="AEB2" s="9"/>
      <c r="AEC2" s="9"/>
      <c r="AED2" s="9"/>
      <c r="AEE2" s="9"/>
      <c r="AEF2" s="9"/>
      <c r="AEG2" s="9"/>
      <c r="AEH2" s="9"/>
      <c r="AEI2" s="9"/>
      <c r="AEJ2" s="9"/>
      <c r="AEK2" s="9"/>
      <c r="AEL2" s="9"/>
      <c r="AEM2" s="9"/>
      <c r="AEN2" s="9"/>
      <c r="AEO2" s="9"/>
      <c r="AEP2" s="9"/>
      <c r="AEQ2" s="9"/>
      <c r="AER2" s="9"/>
      <c r="AES2" s="9"/>
      <c r="AET2" s="9"/>
      <c r="AEU2" s="9"/>
      <c r="AEV2" s="9"/>
      <c r="AEW2" s="9"/>
      <c r="AEX2" s="9"/>
      <c r="AEY2" s="9"/>
      <c r="AEZ2" s="9"/>
      <c r="AFA2" s="9"/>
      <c r="AFB2" s="9"/>
      <c r="AFC2" s="9"/>
      <c r="AFD2" s="9"/>
      <c r="AFE2" s="9"/>
      <c r="AFF2" s="9"/>
      <c r="AFG2" s="9"/>
      <c r="AFH2" s="9"/>
      <c r="AFI2" s="9"/>
      <c r="AFJ2" s="9"/>
      <c r="AFK2" s="9"/>
      <c r="AFL2" s="9"/>
      <c r="AFM2" s="9"/>
      <c r="AFN2" s="9"/>
      <c r="AFO2" s="9"/>
      <c r="AFP2" s="9"/>
      <c r="AFQ2" s="9"/>
      <c r="AFR2" s="9"/>
      <c r="AFS2" s="9"/>
      <c r="AFT2" s="9"/>
      <c r="AFU2" s="9"/>
      <c r="AFV2" s="9"/>
      <c r="AFW2" s="9"/>
      <c r="AFX2" s="9"/>
      <c r="AFY2" s="9"/>
      <c r="AFZ2" s="9"/>
      <c r="AGA2" s="9"/>
      <c r="AGB2" s="9"/>
      <c r="AGC2" s="9"/>
      <c r="AGD2" s="9"/>
      <c r="AGE2" s="9"/>
      <c r="AGF2" s="9"/>
      <c r="AGG2" s="9"/>
      <c r="AGH2" s="9"/>
      <c r="AGI2" s="9"/>
      <c r="AGJ2" s="9"/>
      <c r="AGK2" s="9"/>
      <c r="AGL2" s="9"/>
      <c r="AGM2" s="9"/>
      <c r="AGN2" s="9"/>
      <c r="AGO2" s="9"/>
      <c r="AGP2" s="9"/>
      <c r="AGQ2" s="9"/>
      <c r="AGR2" s="9"/>
      <c r="AGS2" s="9"/>
      <c r="AGT2" s="9"/>
      <c r="AGU2" s="9"/>
      <c r="AGV2" s="9"/>
      <c r="AGW2" s="9"/>
      <c r="AGX2" s="9"/>
      <c r="AGY2" s="9"/>
      <c r="AGZ2" s="9"/>
      <c r="AHA2" s="9"/>
      <c r="AHB2" s="9"/>
      <c r="AHC2" s="9"/>
      <c r="AHD2" s="9"/>
      <c r="AHE2" s="9"/>
      <c r="AHF2" s="9"/>
      <c r="AHG2" s="9"/>
      <c r="AHH2" s="9"/>
      <c r="AHI2" s="9"/>
      <c r="AHJ2" s="9"/>
      <c r="AHK2" s="9"/>
      <c r="AHL2" s="9"/>
      <c r="AHM2" s="9"/>
      <c r="AHN2" s="9"/>
      <c r="AHO2" s="9"/>
      <c r="AHP2" s="9"/>
      <c r="AHQ2" s="9"/>
      <c r="AHR2" s="9"/>
      <c r="AHS2" s="9"/>
      <c r="AHT2" s="9"/>
      <c r="AHU2" s="9"/>
      <c r="AHV2" s="9"/>
      <c r="AHW2" s="9"/>
      <c r="AHX2" s="9"/>
      <c r="AHY2" s="9"/>
      <c r="AHZ2" s="9"/>
      <c r="AIA2" s="9"/>
      <c r="AIB2" s="9"/>
      <c r="AIC2" s="9"/>
      <c r="AID2" s="9"/>
      <c r="AIE2" s="9"/>
      <c r="AIF2" s="9"/>
      <c r="AIG2" s="9"/>
      <c r="AIH2" s="9"/>
      <c r="AII2" s="9"/>
      <c r="AIJ2" s="9"/>
      <c r="AIK2" s="9"/>
      <c r="AIL2" s="9"/>
      <c r="AIM2" s="9"/>
      <c r="AIN2" s="9"/>
      <c r="AIO2" s="9"/>
      <c r="AIP2" s="9"/>
      <c r="AIQ2" s="9"/>
      <c r="AIR2" s="9"/>
      <c r="AIS2" s="9"/>
      <c r="AIT2" s="9"/>
      <c r="AIU2" s="9"/>
      <c r="AIV2" s="9"/>
      <c r="AIW2" s="9"/>
      <c r="AIX2" s="9"/>
      <c r="AIY2" s="9"/>
      <c r="AIZ2" s="9"/>
      <c r="AJA2" s="9"/>
      <c r="AJB2" s="9"/>
      <c r="AJC2" s="9"/>
      <c r="AJD2" s="9"/>
      <c r="AJE2" s="9"/>
      <c r="AJF2" s="9"/>
      <c r="AJG2" s="9"/>
      <c r="AJH2" s="9"/>
      <c r="AJI2" s="9"/>
      <c r="AJJ2" s="9"/>
      <c r="AJK2" s="9"/>
      <c r="AJL2" s="9"/>
      <c r="AJM2" s="9"/>
      <c r="AJN2" s="9"/>
      <c r="AJO2" s="9"/>
      <c r="AJP2" s="9"/>
      <c r="AJQ2" s="9"/>
      <c r="AJR2" s="9"/>
      <c r="AJS2" s="9"/>
      <c r="AJT2" s="9"/>
      <c r="AJU2" s="9"/>
      <c r="AJV2" s="9"/>
      <c r="AJW2" s="9"/>
      <c r="AJX2" s="9"/>
      <c r="AJY2" s="9"/>
      <c r="AJZ2" s="9"/>
      <c r="AKA2" s="9"/>
      <c r="AKB2" s="9"/>
      <c r="AKC2" s="9"/>
      <c r="AKD2" s="9"/>
      <c r="AKE2" s="9"/>
      <c r="AKF2" s="9"/>
      <c r="AKG2" s="9"/>
      <c r="AKH2" s="9"/>
      <c r="AKI2" s="9"/>
      <c r="AKJ2" s="9"/>
      <c r="AKK2" s="9"/>
      <c r="AKL2" s="9"/>
      <c r="AKM2" s="9"/>
      <c r="AKN2" s="9"/>
      <c r="AKO2" s="9"/>
      <c r="AKP2" s="9"/>
      <c r="AKQ2" s="9"/>
      <c r="AKR2" s="9"/>
      <c r="AKS2" s="9"/>
      <c r="AKT2" s="9"/>
      <c r="AKU2" s="9"/>
      <c r="AKV2" s="9"/>
      <c r="AKW2" s="9"/>
      <c r="AKX2" s="9"/>
      <c r="AKY2" s="9"/>
      <c r="AKZ2" s="9"/>
      <c r="ALA2" s="9"/>
      <c r="ALB2" s="9"/>
      <c r="ALC2" s="9"/>
      <c r="ALD2" s="9"/>
      <c r="ALE2" s="9"/>
      <c r="ALF2" s="9"/>
      <c r="ALG2" s="9"/>
      <c r="ALH2" s="9"/>
      <c r="ALI2" s="9"/>
      <c r="ALJ2" s="9"/>
      <c r="ALK2" s="9"/>
      <c r="ALL2" s="9"/>
      <c r="ALM2" s="9"/>
      <c r="ALN2" s="9"/>
      <c r="ALO2" s="9"/>
      <c r="ALP2" s="9"/>
      <c r="ALQ2" s="9"/>
      <c r="ALR2" s="9"/>
      <c r="ALS2" s="9"/>
      <c r="ALT2" s="9"/>
      <c r="ALU2" s="9"/>
    </row>
    <row r="3" spans="1:1009" x14ac:dyDescent="0.4">
      <c r="A3" s="34"/>
      <c r="S3"/>
      <c r="T3" s="8"/>
      <c r="AC3" s="8"/>
    </row>
    <row r="4" spans="1:1009" x14ac:dyDescent="0.4">
      <c r="A4" s="35" t="s">
        <v>22</v>
      </c>
      <c r="B4" s="36"/>
      <c r="C4" s="36"/>
      <c r="D4" s="37" t="s">
        <v>363</v>
      </c>
      <c r="P4" s="35"/>
      <c r="Q4" s="36"/>
      <c r="R4" s="36"/>
      <c r="S4" s="83" t="s">
        <v>374</v>
      </c>
      <c r="T4" s="83" t="s">
        <v>374</v>
      </c>
      <c r="U4" s="83" t="s">
        <v>374</v>
      </c>
      <c r="V4" s="83" t="s">
        <v>374</v>
      </c>
      <c r="W4" s="83" t="s">
        <v>374</v>
      </c>
      <c r="X4" s="83" t="s">
        <v>374</v>
      </c>
      <c r="Y4" s="83" t="s">
        <v>374</v>
      </c>
      <c r="Z4" s="83" t="s">
        <v>374</v>
      </c>
      <c r="AA4" s="83" t="s">
        <v>374</v>
      </c>
      <c r="AB4" s="83" t="s">
        <v>374</v>
      </c>
      <c r="AC4" s="194" t="s">
        <v>369</v>
      </c>
      <c r="AD4" s="195"/>
      <c r="AE4" s="37" t="s">
        <v>375</v>
      </c>
    </row>
    <row r="5" spans="1:1009" x14ac:dyDescent="0.4">
      <c r="A5" s="38" t="s">
        <v>24</v>
      </c>
      <c r="D5" s="39" t="s">
        <v>349</v>
      </c>
      <c r="P5" s="47"/>
      <c r="Q5" s="87" t="s">
        <v>61</v>
      </c>
      <c r="R5" s="87" t="s">
        <v>53</v>
      </c>
      <c r="S5" s="196">
        <v>4</v>
      </c>
      <c r="T5" s="196">
        <v>5</v>
      </c>
      <c r="U5" s="196">
        <v>6</v>
      </c>
      <c r="V5" s="196">
        <v>7</v>
      </c>
      <c r="W5" s="196">
        <v>8</v>
      </c>
      <c r="X5" s="196">
        <v>9</v>
      </c>
      <c r="Y5" s="196">
        <v>10</v>
      </c>
      <c r="Z5" s="196">
        <v>11</v>
      </c>
      <c r="AA5" s="196">
        <v>12</v>
      </c>
      <c r="AB5" s="196">
        <v>13</v>
      </c>
      <c r="AC5" s="197">
        <f>S5</f>
        <v>4</v>
      </c>
      <c r="AD5" s="196" t="s">
        <v>50</v>
      </c>
      <c r="AE5" s="88" t="s">
        <v>376</v>
      </c>
    </row>
    <row r="6" spans="1:1009" x14ac:dyDescent="0.4">
      <c r="A6" s="38" t="s">
        <v>27</v>
      </c>
      <c r="D6" s="39" t="s">
        <v>349</v>
      </c>
      <c r="P6" s="38">
        <v>0</v>
      </c>
      <c r="Q6">
        <v>1</v>
      </c>
      <c r="R6" s="50">
        <v>8.5071919999999999</v>
      </c>
      <c r="S6" s="42">
        <v>149.99073799999999</v>
      </c>
      <c r="T6" s="58">
        <v>124.600464</v>
      </c>
      <c r="U6" s="42">
        <v>106.850769</v>
      </c>
      <c r="V6" s="42">
        <v>92.627510000000001</v>
      </c>
      <c r="W6" s="42">
        <v>80.402564999999996</v>
      </c>
      <c r="X6" s="42">
        <v>70.175918999999993</v>
      </c>
      <c r="Y6" s="42">
        <v>61.007205999999996</v>
      </c>
      <c r="Z6" s="42">
        <v>52.661327</v>
      </c>
      <c r="AA6" s="42">
        <v>45.490921</v>
      </c>
      <c r="AB6" s="42">
        <v>40.318829000000001</v>
      </c>
      <c r="AC6" s="197">
        <f t="shared" ref="AC6:AC69" si="0">S6</f>
        <v>149.99073799999999</v>
      </c>
      <c r="AD6" s="9"/>
      <c r="AE6" s="45"/>
    </row>
    <row r="7" spans="1:1009" x14ac:dyDescent="0.4">
      <c r="A7" s="38" t="s">
        <v>28</v>
      </c>
      <c r="D7" s="40">
        <v>45988</v>
      </c>
      <c r="P7" s="38"/>
      <c r="Q7">
        <v>2</v>
      </c>
      <c r="R7" s="50">
        <v>8.9077249999999992</v>
      </c>
      <c r="S7" s="42">
        <v>144.14454699999999</v>
      </c>
      <c r="T7" s="58">
        <v>123.937363</v>
      </c>
      <c r="U7" s="42">
        <v>105.18959</v>
      </c>
      <c r="V7" s="42">
        <v>90.146468999999996</v>
      </c>
      <c r="W7" s="42">
        <v>77.685378999999998</v>
      </c>
      <c r="X7" s="42">
        <v>65.224281000000005</v>
      </c>
      <c r="Y7" s="42">
        <v>57.029147999999999</v>
      </c>
      <c r="Z7" s="42">
        <v>49.732112999999998</v>
      </c>
      <c r="AA7" s="42">
        <v>44.119007000000003</v>
      </c>
      <c r="AB7" s="42">
        <v>39.067211</v>
      </c>
      <c r="AC7" s="197">
        <f t="shared" si="0"/>
        <v>144.14454699999999</v>
      </c>
      <c r="AE7" s="45"/>
    </row>
    <row r="8" spans="1:1009" x14ac:dyDescent="0.4">
      <c r="A8" s="38" t="s">
        <v>29</v>
      </c>
      <c r="D8" s="41" t="s">
        <v>30</v>
      </c>
      <c r="P8" s="38"/>
      <c r="Q8">
        <v>3</v>
      </c>
      <c r="R8" s="50">
        <v>8.8546700000000005</v>
      </c>
      <c r="S8" s="42">
        <v>155.511169</v>
      </c>
      <c r="T8" s="58">
        <v>133.15008499999999</v>
      </c>
      <c r="U8" s="42">
        <v>114.96759</v>
      </c>
      <c r="V8" s="42">
        <v>101.189545</v>
      </c>
      <c r="W8" s="42">
        <v>87.072700999999995</v>
      </c>
      <c r="X8" s="42">
        <v>76.908569</v>
      </c>
      <c r="Y8" s="42">
        <v>67.986725000000007</v>
      </c>
      <c r="Z8" s="42">
        <v>59.064880000000002</v>
      </c>
      <c r="AA8" s="42">
        <v>51.611187000000001</v>
      </c>
      <c r="AB8" s="42">
        <v>45.399773000000003</v>
      </c>
      <c r="AC8" s="197">
        <f t="shared" si="0"/>
        <v>155.511169</v>
      </c>
      <c r="AD8" s="42"/>
      <c r="AE8" s="45"/>
    </row>
    <row r="9" spans="1:1009" x14ac:dyDescent="0.4">
      <c r="A9" s="38" t="s">
        <v>31</v>
      </c>
      <c r="D9" s="44">
        <v>110</v>
      </c>
      <c r="P9" s="38"/>
      <c r="Q9">
        <v>4</v>
      </c>
      <c r="R9" s="50">
        <v>8.9119960000000003</v>
      </c>
      <c r="S9" s="42">
        <v>142.84118699999999</v>
      </c>
      <c r="T9" s="58">
        <v>123.54135100000001</v>
      </c>
      <c r="U9" s="42">
        <v>105.700226</v>
      </c>
      <c r="V9" s="42">
        <v>90.103271000000007</v>
      </c>
      <c r="W9" s="42">
        <v>78.209190000000007</v>
      </c>
      <c r="X9" s="42">
        <v>69.008110000000002</v>
      </c>
      <c r="Y9" s="42">
        <v>59.69482</v>
      </c>
      <c r="Z9" s="42">
        <v>52.513489</v>
      </c>
      <c r="AA9" s="42">
        <v>46.566448000000001</v>
      </c>
      <c r="AB9" s="42">
        <v>41.965907999999999</v>
      </c>
      <c r="AC9" s="197">
        <f t="shared" si="0"/>
        <v>142.84118699999999</v>
      </c>
      <c r="AD9" s="42"/>
      <c r="AE9" s="198"/>
    </row>
    <row r="10" spans="1:1009" x14ac:dyDescent="0.4">
      <c r="A10" s="38"/>
      <c r="D10" s="45"/>
      <c r="P10" s="38"/>
      <c r="Q10">
        <v>5</v>
      </c>
      <c r="R10" s="50">
        <v>8.911918</v>
      </c>
      <c r="S10" s="42">
        <v>125.786621</v>
      </c>
      <c r="T10" s="58">
        <v>106.711037</v>
      </c>
      <c r="U10" s="42">
        <v>90.665108000000004</v>
      </c>
      <c r="V10" s="42">
        <v>79.668602000000007</v>
      </c>
      <c r="W10" s="42">
        <v>67.774413999999993</v>
      </c>
      <c r="X10" s="42">
        <v>59.583134000000001</v>
      </c>
      <c r="Y10" s="42">
        <v>52.065112999999997</v>
      </c>
      <c r="Z10" s="42">
        <v>45.332554000000002</v>
      </c>
      <c r="AA10" s="42">
        <v>39.273254000000001</v>
      </c>
      <c r="AB10" s="42">
        <v>33.774997999999997</v>
      </c>
      <c r="AC10" s="197">
        <f t="shared" si="0"/>
        <v>125.786621</v>
      </c>
      <c r="AD10" s="42">
        <f>AVERAGE(AC6:AC10)</f>
        <v>143.65485239999998</v>
      </c>
      <c r="AE10" s="198">
        <f>(MAX(AC6:AC10)-MIN(AC6:AC10))/AD10*100</f>
        <v>20.691642157156956</v>
      </c>
    </row>
    <row r="11" spans="1:1009" x14ac:dyDescent="0.4">
      <c r="A11" s="47" t="s">
        <v>70</v>
      </c>
      <c r="B11" s="48"/>
      <c r="C11" s="48"/>
      <c r="D11" s="49" t="s">
        <v>367</v>
      </c>
      <c r="P11" s="38">
        <v>1</v>
      </c>
      <c r="Q11">
        <v>1</v>
      </c>
      <c r="R11" s="50">
        <v>8.4754100000000001</v>
      </c>
      <c r="S11" s="42">
        <v>2317.7639159999999</v>
      </c>
      <c r="T11" s="58">
        <v>1984.3286129999999</v>
      </c>
      <c r="U11" s="42">
        <v>1667.293823</v>
      </c>
      <c r="V11" s="42">
        <v>1387.543457</v>
      </c>
      <c r="W11" s="42">
        <v>1132.806519</v>
      </c>
      <c r="X11" s="42">
        <v>906.03283699999997</v>
      </c>
      <c r="Y11" s="42">
        <v>691.64788799999997</v>
      </c>
      <c r="Z11" s="42">
        <v>520.80071999999996</v>
      </c>
      <c r="AA11" s="42">
        <v>380.04058800000001</v>
      </c>
      <c r="AB11" s="42">
        <v>272.67117300000001</v>
      </c>
      <c r="AC11" s="197">
        <f t="shared" si="0"/>
        <v>2317.7639159999999</v>
      </c>
      <c r="AD11" s="42"/>
      <c r="AE11" s="198"/>
    </row>
    <row r="12" spans="1:1009" x14ac:dyDescent="0.4">
      <c r="P12" s="38"/>
      <c r="Q12">
        <v>2</v>
      </c>
      <c r="R12" s="50">
        <v>8.8164309999999997</v>
      </c>
      <c r="S12" s="42">
        <v>2389.515625</v>
      </c>
      <c r="T12" s="58">
        <v>2048.1076659999999</v>
      </c>
      <c r="U12" s="42">
        <v>1730.065186</v>
      </c>
      <c r="V12" s="42">
        <v>1430.3973390000001</v>
      </c>
      <c r="W12" s="42">
        <v>1158.0649410000001</v>
      </c>
      <c r="X12" s="42">
        <v>918.51226799999995</v>
      </c>
      <c r="Y12" s="42">
        <v>713.66747999999995</v>
      </c>
      <c r="Z12" s="42">
        <v>537.63250700000003</v>
      </c>
      <c r="AA12" s="42">
        <v>397.89343300000002</v>
      </c>
      <c r="AB12" s="42">
        <v>281.29296900000003</v>
      </c>
      <c r="AC12" s="197">
        <f t="shared" si="0"/>
        <v>2389.515625</v>
      </c>
      <c r="AD12" s="42"/>
      <c r="AE12" s="198"/>
    </row>
    <row r="13" spans="1:1009" x14ac:dyDescent="0.4">
      <c r="A13">
        <v>6300</v>
      </c>
      <c r="B13" t="s">
        <v>62</v>
      </c>
      <c r="C13" t="s">
        <v>63</v>
      </c>
      <c r="P13" s="38"/>
      <c r="Q13">
        <v>3</v>
      </c>
      <c r="R13" s="50">
        <v>8.7646270000000008</v>
      </c>
      <c r="S13" s="42">
        <v>2381.0483399999998</v>
      </c>
      <c r="T13" s="58">
        <v>2033.7432859999999</v>
      </c>
      <c r="U13" s="42">
        <v>1711.6530760000001</v>
      </c>
      <c r="V13" s="42">
        <v>1426.301514</v>
      </c>
      <c r="W13" s="42">
        <v>1157.950073</v>
      </c>
      <c r="X13" s="42">
        <v>916.41101100000003</v>
      </c>
      <c r="Y13" s="42">
        <v>710.92590299999995</v>
      </c>
      <c r="Z13" s="42">
        <v>536.47466999999995</v>
      </c>
      <c r="AA13" s="42">
        <v>389.97668499999997</v>
      </c>
      <c r="AB13" s="42">
        <v>278.96224999999998</v>
      </c>
      <c r="AC13" s="197">
        <f t="shared" si="0"/>
        <v>2381.0483399999998</v>
      </c>
      <c r="AD13" s="42"/>
      <c r="AE13" s="198"/>
    </row>
    <row r="14" spans="1:1009" x14ac:dyDescent="0.4">
      <c r="A14">
        <v>12.74</v>
      </c>
      <c r="B14" t="s">
        <v>64</v>
      </c>
      <c r="C14" t="s">
        <v>65</v>
      </c>
      <c r="P14" s="38"/>
      <c r="Q14">
        <v>4</v>
      </c>
      <c r="R14" s="50">
        <v>8.8203790000000009</v>
      </c>
      <c r="S14" s="42">
        <v>2478.9184570000002</v>
      </c>
      <c r="T14" s="58">
        <v>2109.3198240000002</v>
      </c>
      <c r="U14" s="42">
        <v>1775.3204350000001</v>
      </c>
      <c r="V14" s="42">
        <v>1473.6328120000001</v>
      </c>
      <c r="W14" s="42">
        <v>1201.9891359999999</v>
      </c>
      <c r="X14" s="42">
        <v>959.02905299999998</v>
      </c>
      <c r="Y14" s="42">
        <v>739.53735400000005</v>
      </c>
      <c r="Z14" s="42">
        <v>563.58123799999998</v>
      </c>
      <c r="AA14" s="42">
        <v>410.98007200000001</v>
      </c>
      <c r="AB14" s="42">
        <v>291.597443</v>
      </c>
      <c r="AC14" s="197">
        <f t="shared" si="0"/>
        <v>2478.9184570000002</v>
      </c>
      <c r="AD14" s="42"/>
      <c r="AE14" s="198"/>
    </row>
    <row r="15" spans="1:1009" x14ac:dyDescent="0.4">
      <c r="A15" s="8">
        <v>20000</v>
      </c>
      <c r="B15" t="s">
        <v>38</v>
      </c>
      <c r="C15" t="s">
        <v>66</v>
      </c>
      <c r="P15" s="38"/>
      <c r="Q15">
        <v>5</v>
      </c>
      <c r="R15" s="50">
        <v>8.8242999999999991</v>
      </c>
      <c r="S15" s="42">
        <v>2386.2517090000001</v>
      </c>
      <c r="T15" s="58">
        <v>2044.1281739999999</v>
      </c>
      <c r="U15" s="42">
        <v>1721.7230219999999</v>
      </c>
      <c r="V15" s="42">
        <v>1434.221436</v>
      </c>
      <c r="W15" s="42">
        <v>1168.7045900000001</v>
      </c>
      <c r="X15" s="42">
        <v>925.73919699999999</v>
      </c>
      <c r="Y15" s="42">
        <v>714.39093000000003</v>
      </c>
      <c r="Z15" s="42">
        <v>536.81311000000005</v>
      </c>
      <c r="AA15" s="42">
        <v>392.43905599999999</v>
      </c>
      <c r="AB15" s="42">
        <v>280.36218300000002</v>
      </c>
      <c r="AC15" s="197">
        <f t="shared" si="0"/>
        <v>2386.2517090000001</v>
      </c>
      <c r="AD15" s="42">
        <f>AVERAGE(AC11:AC15)</f>
        <v>2390.6996093999996</v>
      </c>
      <c r="AE15" s="198">
        <f>(MAX(AC11:AC15)-MIN(AC11:AC15))/AD15*100</f>
        <v>6.7408946053429828</v>
      </c>
    </row>
    <row r="16" spans="1:1009" x14ac:dyDescent="0.4">
      <c r="A16">
        <f>A15/10</f>
        <v>2000</v>
      </c>
      <c r="B16" t="s">
        <v>38</v>
      </c>
      <c r="C16" t="s">
        <v>67</v>
      </c>
      <c r="P16" s="38">
        <v>2</v>
      </c>
      <c r="Q16">
        <v>1</v>
      </c>
      <c r="R16" s="50">
        <v>8.3199629999999996</v>
      </c>
      <c r="S16" s="42">
        <v>4602.6645509999998</v>
      </c>
      <c r="T16" s="58">
        <v>3978.142578</v>
      </c>
      <c r="U16" s="42">
        <v>3378.8610840000001</v>
      </c>
      <c r="V16" s="42">
        <v>2816.118164</v>
      </c>
      <c r="W16" s="42">
        <v>2305.8996579999998</v>
      </c>
      <c r="X16" s="42">
        <v>1837.2677000000001</v>
      </c>
      <c r="Y16" s="42">
        <v>1427.5302730000001</v>
      </c>
      <c r="Z16" s="42">
        <v>1065.7498780000001</v>
      </c>
      <c r="AA16" s="42">
        <v>774.16204800000003</v>
      </c>
      <c r="AB16" s="42">
        <v>557.69476299999997</v>
      </c>
      <c r="AC16" s="197">
        <f t="shared" si="0"/>
        <v>4602.6645509999998</v>
      </c>
      <c r="AD16" s="42"/>
      <c r="AE16" s="198"/>
    </row>
    <row r="17" spans="1:1009" x14ac:dyDescent="0.4">
      <c r="A17" s="208">
        <f>A16/A13*A14</f>
        <v>4.0444444444444443</v>
      </c>
      <c r="B17" t="s">
        <v>68</v>
      </c>
      <c r="C17" t="s">
        <v>69</v>
      </c>
      <c r="P17" s="38"/>
      <c r="Q17">
        <v>2</v>
      </c>
      <c r="R17" s="50">
        <v>8.7189560000000004</v>
      </c>
      <c r="S17" s="42">
        <v>4729.8095700000003</v>
      </c>
      <c r="T17" s="58">
        <v>4071.9323730000001</v>
      </c>
      <c r="U17" s="42">
        <v>3453.1657709999999</v>
      </c>
      <c r="V17" s="42">
        <v>2877.0646969999998</v>
      </c>
      <c r="W17" s="42">
        <v>2357.6218260000001</v>
      </c>
      <c r="X17" s="42">
        <v>1866.8519289999999</v>
      </c>
      <c r="Y17" s="42">
        <v>1445.4711910000001</v>
      </c>
      <c r="Z17" s="42">
        <v>1083.615967</v>
      </c>
      <c r="AA17" s="42">
        <v>785.64453100000003</v>
      </c>
      <c r="AB17" s="42">
        <v>552.015625</v>
      </c>
      <c r="AC17" s="197">
        <f t="shared" si="0"/>
        <v>4729.8095700000003</v>
      </c>
      <c r="AD17" s="42"/>
      <c r="AE17" s="198"/>
    </row>
    <row r="18" spans="1:1009" x14ac:dyDescent="0.4">
      <c r="A18" s="186">
        <f>A17*100</f>
        <v>404.44444444444446</v>
      </c>
      <c r="B18" t="s">
        <v>71</v>
      </c>
      <c r="C18" t="s">
        <v>72</v>
      </c>
      <c r="P18" s="38"/>
      <c r="Q18">
        <v>3</v>
      </c>
      <c r="R18" s="50">
        <v>8.6671980000000008</v>
      </c>
      <c r="S18" s="42">
        <v>4708.2114259999998</v>
      </c>
      <c r="T18" s="58">
        <v>4056.328125</v>
      </c>
      <c r="U18" s="42">
        <v>3436.4045409999999</v>
      </c>
      <c r="V18" s="42">
        <v>2862.9782709999999</v>
      </c>
      <c r="W18" s="42">
        <v>2341.7026369999999</v>
      </c>
      <c r="X18" s="42">
        <v>1859.193726</v>
      </c>
      <c r="Y18" s="42">
        <v>1435.0657960000001</v>
      </c>
      <c r="Z18" s="42">
        <v>1084.4334719999999</v>
      </c>
      <c r="AA18" s="42">
        <v>788.02856399999996</v>
      </c>
      <c r="AB18" s="42">
        <v>553.69683799999996</v>
      </c>
      <c r="AC18" s="197">
        <f t="shared" si="0"/>
        <v>4708.2114259999998</v>
      </c>
      <c r="AD18" s="42"/>
      <c r="AE18" s="198"/>
    </row>
    <row r="19" spans="1:1009" x14ac:dyDescent="0.4">
      <c r="A19">
        <v>200</v>
      </c>
      <c r="B19" t="s">
        <v>53</v>
      </c>
      <c r="C19" t="s">
        <v>73</v>
      </c>
      <c r="P19" s="38"/>
      <c r="Q19">
        <v>4</v>
      </c>
      <c r="R19" s="50">
        <v>8.7190709999999996</v>
      </c>
      <c r="S19" s="42">
        <v>4710.2495120000003</v>
      </c>
      <c r="T19" s="58">
        <v>4058.5744629999999</v>
      </c>
      <c r="U19" s="42">
        <v>3429.4936520000001</v>
      </c>
      <c r="V19" s="42">
        <v>2852.5974120000001</v>
      </c>
      <c r="W19" s="42">
        <v>2339.1252439999998</v>
      </c>
      <c r="X19" s="42">
        <v>1851.9173579999999</v>
      </c>
      <c r="Y19" s="42">
        <v>1431.1157229999999</v>
      </c>
      <c r="Z19" s="42">
        <v>1070.8709719999999</v>
      </c>
      <c r="AA19" s="42">
        <v>773.59155299999998</v>
      </c>
      <c r="AB19" s="42">
        <v>543.29180899999994</v>
      </c>
      <c r="AC19" s="197">
        <f t="shared" si="0"/>
        <v>4710.2495120000003</v>
      </c>
      <c r="AD19" s="42"/>
      <c r="AE19" s="198"/>
    </row>
    <row r="20" spans="1:1009" x14ac:dyDescent="0.4">
      <c r="A20" s="51">
        <f>A18*A19/1000</f>
        <v>80.888888888888886</v>
      </c>
      <c r="B20" t="s">
        <v>68</v>
      </c>
      <c r="C20" t="s">
        <v>74</v>
      </c>
      <c r="P20" s="38"/>
      <c r="Q20">
        <v>5</v>
      </c>
      <c r="R20" s="50">
        <v>8.7186920000000008</v>
      </c>
      <c r="S20" s="42">
        <v>4728.576172</v>
      </c>
      <c r="T20" s="58">
        <v>4048.772461</v>
      </c>
      <c r="U20" s="42">
        <v>3442.374268</v>
      </c>
      <c r="V20" s="42">
        <v>2872.9079590000001</v>
      </c>
      <c r="W20" s="42">
        <v>2359.5283199999999</v>
      </c>
      <c r="X20" s="42">
        <v>1865.646851</v>
      </c>
      <c r="Y20" s="42">
        <v>1437.715698</v>
      </c>
      <c r="Z20" s="42">
        <v>1083.9929199999999</v>
      </c>
      <c r="AA20" s="42">
        <v>790.714966</v>
      </c>
      <c r="AB20" s="42">
        <v>560.63458300000002</v>
      </c>
      <c r="AC20" s="197">
        <f t="shared" si="0"/>
        <v>4728.576172</v>
      </c>
      <c r="AD20" s="42">
        <f>AVERAGE(AC16:AC20)</f>
        <v>4695.9022462000003</v>
      </c>
      <c r="AE20" s="198">
        <f>(MAX(AC16:AC20)-MIN(AC16:AC20))/AD20*100</f>
        <v>2.7075738023057934</v>
      </c>
    </row>
    <row r="21" spans="1:1009" x14ac:dyDescent="0.4">
      <c r="A21">
        <v>200</v>
      </c>
      <c r="B21" t="s">
        <v>68</v>
      </c>
      <c r="C21" t="s">
        <v>377</v>
      </c>
      <c r="P21" s="38">
        <v>3</v>
      </c>
      <c r="Q21">
        <v>1</v>
      </c>
      <c r="R21" s="50">
        <v>8.2097840000000009</v>
      </c>
      <c r="S21" s="42">
        <v>6657.7880859999996</v>
      </c>
      <c r="T21" s="58">
        <v>5783.34375</v>
      </c>
      <c r="U21" s="42">
        <v>4935.453125</v>
      </c>
      <c r="V21" s="42">
        <v>4131.5341799999997</v>
      </c>
      <c r="W21" s="42">
        <v>3402.0385740000002</v>
      </c>
      <c r="X21" s="42">
        <v>2728.451904</v>
      </c>
      <c r="Y21" s="42">
        <v>2111.1396479999999</v>
      </c>
      <c r="Z21" s="42">
        <v>1592.368408</v>
      </c>
      <c r="AA21" s="42">
        <v>1163.4898679999999</v>
      </c>
      <c r="AB21" s="42">
        <v>814.88140899999996</v>
      </c>
      <c r="AC21" s="197">
        <f t="shared" si="0"/>
        <v>6657.7880859999996</v>
      </c>
      <c r="AD21" s="42"/>
      <c r="AE21" s="198"/>
    </row>
    <row r="22" spans="1:1009" x14ac:dyDescent="0.4">
      <c r="A22" s="50">
        <f>A18*A21/A20</f>
        <v>1000.0000000000001</v>
      </c>
      <c r="B22" t="s">
        <v>71</v>
      </c>
      <c r="C22" t="s">
        <v>76</v>
      </c>
      <c r="P22" s="38"/>
      <c r="Q22">
        <v>2</v>
      </c>
      <c r="R22" s="50">
        <v>8.6050690000000003</v>
      </c>
      <c r="S22" s="42">
        <v>6747.185547</v>
      </c>
      <c r="T22" s="58">
        <v>5849.3427730000003</v>
      </c>
      <c r="U22" s="42">
        <v>4982.6445309999999</v>
      </c>
      <c r="V22" s="42">
        <v>4168.3569340000004</v>
      </c>
      <c r="W22" s="42">
        <v>3436.5791020000001</v>
      </c>
      <c r="X22" s="42">
        <v>2749.0771479999999</v>
      </c>
      <c r="Y22" s="42">
        <v>2137.1123050000001</v>
      </c>
      <c r="Z22" s="42">
        <v>1600.684448</v>
      </c>
      <c r="AA22" s="42">
        <v>1160.9436040000001</v>
      </c>
      <c r="AB22" s="42">
        <v>815.79821800000002</v>
      </c>
      <c r="AC22" s="197">
        <f t="shared" si="0"/>
        <v>6747.185547</v>
      </c>
      <c r="AD22" s="42"/>
      <c r="AE22" s="198"/>
    </row>
    <row r="23" spans="1:1009" x14ac:dyDescent="0.4">
      <c r="A23" s="50">
        <f>A20/A21*10</f>
        <v>4.0444444444444443</v>
      </c>
      <c r="B23" t="s">
        <v>53</v>
      </c>
      <c r="C23" t="s">
        <v>77</v>
      </c>
      <c r="P23" s="38"/>
      <c r="Q23">
        <v>3</v>
      </c>
      <c r="R23" s="50">
        <v>8.5534429999999997</v>
      </c>
      <c r="S23" s="42">
        <v>6567.9985349999997</v>
      </c>
      <c r="T23" s="58">
        <v>5671.7509769999997</v>
      </c>
      <c r="U23" s="42">
        <v>4829.283203</v>
      </c>
      <c r="V23" s="42">
        <v>4040.9458009999998</v>
      </c>
      <c r="W23" s="42">
        <v>3319.1313479999999</v>
      </c>
      <c r="X23" s="42">
        <v>2655.7727049999999</v>
      </c>
      <c r="Y23" s="42">
        <v>2062.0935060000002</v>
      </c>
      <c r="Z23" s="42">
        <v>1560.8919679999999</v>
      </c>
      <c r="AA23" s="42">
        <v>1136.969116</v>
      </c>
      <c r="AB23" s="42">
        <v>798.04119900000001</v>
      </c>
      <c r="AC23" s="197">
        <f t="shared" si="0"/>
        <v>6567.9985349999997</v>
      </c>
      <c r="AD23" s="42"/>
      <c r="AE23" s="198"/>
    </row>
    <row r="24" spans="1:1009" x14ac:dyDescent="0.4">
      <c r="P24" s="38"/>
      <c r="Q24">
        <v>4</v>
      </c>
      <c r="R24" s="50">
        <v>8.6064290000000003</v>
      </c>
      <c r="S24" s="42">
        <v>6657.5810549999997</v>
      </c>
      <c r="T24" s="58">
        <v>5768.1298829999996</v>
      </c>
      <c r="U24" s="42">
        <v>4910.2827150000003</v>
      </c>
      <c r="V24" s="42">
        <v>4116.3413090000004</v>
      </c>
      <c r="W24" s="42">
        <v>3387.467529</v>
      </c>
      <c r="X24" s="42">
        <v>2703.6765140000002</v>
      </c>
      <c r="Y24" s="42">
        <v>2103.8923340000001</v>
      </c>
      <c r="Z24" s="42">
        <v>1587.3017580000001</v>
      </c>
      <c r="AA24" s="42">
        <v>1150.302856</v>
      </c>
      <c r="AB24" s="42">
        <v>799.63476600000001</v>
      </c>
      <c r="AC24" s="197">
        <f t="shared" si="0"/>
        <v>6657.5810549999997</v>
      </c>
      <c r="AD24" s="42"/>
      <c r="AE24" s="198"/>
    </row>
    <row r="25" spans="1:1009" x14ac:dyDescent="0.4">
      <c r="A25" s="209">
        <v>10000</v>
      </c>
      <c r="B25" s="36"/>
      <c r="C25" s="36" t="s">
        <v>373</v>
      </c>
      <c r="D25" s="36"/>
      <c r="E25" s="85"/>
      <c r="P25" s="38"/>
      <c r="Q25">
        <v>5</v>
      </c>
      <c r="R25" s="50">
        <v>8.612311</v>
      </c>
      <c r="S25" s="42">
        <v>6655.1240230000003</v>
      </c>
      <c r="T25" s="58">
        <v>5768.486328</v>
      </c>
      <c r="U25" s="42">
        <v>4894.388672</v>
      </c>
      <c r="V25" s="42">
        <v>4076.373779</v>
      </c>
      <c r="W25" s="42">
        <v>3341.8439939999998</v>
      </c>
      <c r="X25" s="42">
        <v>2683.1357419999999</v>
      </c>
      <c r="Y25" s="42">
        <v>2084.6901859999998</v>
      </c>
      <c r="Z25" s="42">
        <v>1578.5541989999999</v>
      </c>
      <c r="AA25" s="42">
        <v>1142.8988039999999</v>
      </c>
      <c r="AB25" s="42">
        <v>798.972534</v>
      </c>
      <c r="AC25" s="197">
        <f t="shared" si="0"/>
        <v>6655.1240230000003</v>
      </c>
      <c r="AD25" s="42">
        <f>AVERAGE(AC21:AC25)</f>
        <v>6657.1354492</v>
      </c>
      <c r="AE25" s="198">
        <f>(MAX(AC21:AC25)-MIN(AC21:AC25))/AD25*100</f>
        <v>2.691653390070853</v>
      </c>
    </row>
    <row r="26" spans="1:1009" x14ac:dyDescent="0.4">
      <c r="A26" s="38">
        <v>0</v>
      </c>
      <c r="C26" t="s">
        <v>372</v>
      </c>
      <c r="E26" s="45"/>
      <c r="P26" s="38">
        <v>4</v>
      </c>
      <c r="Q26">
        <v>1</v>
      </c>
      <c r="R26" s="50">
        <v>8.1036070000000002</v>
      </c>
      <c r="S26" s="42">
        <v>8535.2109380000002</v>
      </c>
      <c r="T26" s="58">
        <v>7463.2197269999997</v>
      </c>
      <c r="U26" s="42">
        <v>6414.5507809999999</v>
      </c>
      <c r="V26" s="42">
        <v>5423.0170900000003</v>
      </c>
      <c r="W26" s="42">
        <v>4481.7080079999996</v>
      </c>
      <c r="X26" s="42">
        <v>3600.6186520000001</v>
      </c>
      <c r="Y26" s="42">
        <v>2817.0170899999998</v>
      </c>
      <c r="Z26" s="42">
        <v>2145.8344729999999</v>
      </c>
      <c r="AA26" s="42">
        <v>1586.2071530000001</v>
      </c>
      <c r="AB26" s="42">
        <v>1107.161255</v>
      </c>
      <c r="AC26" s="197">
        <f t="shared" si="0"/>
        <v>8535.2109380000002</v>
      </c>
      <c r="AD26" s="42"/>
      <c r="AE26" s="198"/>
    </row>
    <row r="27" spans="1:1009" x14ac:dyDescent="0.4">
      <c r="A27" s="47">
        <v>0.24</v>
      </c>
      <c r="B27" s="48"/>
      <c r="C27" s="48" t="s">
        <v>371</v>
      </c>
      <c r="D27" s="48"/>
      <c r="E27" s="89"/>
      <c r="P27" s="38"/>
      <c r="Q27" s="8">
        <v>2</v>
      </c>
      <c r="R27" s="51">
        <v>8.4838930000000001</v>
      </c>
      <c r="S27" s="42">
        <v>8813.6425780000009</v>
      </c>
      <c r="T27" s="58">
        <v>7692.5766599999997</v>
      </c>
      <c r="U27" s="42">
        <v>6602.3930659999996</v>
      </c>
      <c r="V27" s="42">
        <v>5573.9736329999996</v>
      </c>
      <c r="W27" s="42">
        <v>4602.25</v>
      </c>
      <c r="X27" s="42">
        <v>3703.8420409999999</v>
      </c>
      <c r="Y27" s="42">
        <v>2881.5778810000002</v>
      </c>
      <c r="Z27" s="42">
        <v>2189.3249510000001</v>
      </c>
      <c r="AA27" s="42">
        <v>1596.672607</v>
      </c>
      <c r="AB27" s="42">
        <v>1121.18335</v>
      </c>
      <c r="AC27" s="197">
        <f t="shared" si="0"/>
        <v>8813.6425780000009</v>
      </c>
      <c r="AD27" s="42"/>
      <c r="AE27" s="19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8"/>
      <c r="FH27" s="8"/>
      <c r="FI27" s="8"/>
      <c r="FJ27" s="8"/>
      <c r="FK27" s="8"/>
      <c r="FL27" s="8"/>
      <c r="FM27" s="8"/>
      <c r="FN27" s="8"/>
      <c r="FO27" s="8"/>
      <c r="FP27" s="8"/>
      <c r="FQ27" s="8"/>
      <c r="FR27" s="8"/>
      <c r="FS27" s="8"/>
      <c r="FT27" s="8"/>
      <c r="FU27" s="8"/>
      <c r="FV27" s="8"/>
      <c r="FW27" s="8"/>
      <c r="FX27" s="8"/>
      <c r="FY27" s="8"/>
      <c r="FZ27" s="8"/>
      <c r="GA27" s="8"/>
      <c r="GB27" s="8"/>
      <c r="GC27" s="8"/>
      <c r="GD27" s="8"/>
      <c r="GE27" s="8"/>
      <c r="GF27" s="8"/>
      <c r="GG27" s="8"/>
      <c r="GH27" s="8"/>
      <c r="GI27" s="8"/>
      <c r="GJ27" s="8"/>
      <c r="GK27" s="8"/>
      <c r="GL27" s="8"/>
      <c r="GM27" s="8"/>
      <c r="GN27" s="8"/>
      <c r="GO27" s="8"/>
      <c r="GP27" s="8"/>
      <c r="GQ27" s="8"/>
      <c r="GR27" s="8"/>
      <c r="GS27" s="8"/>
      <c r="GT27" s="8"/>
      <c r="GU27" s="8"/>
      <c r="GV27" s="8"/>
      <c r="GW27" s="8"/>
      <c r="GX27" s="8"/>
      <c r="GY27" s="8"/>
      <c r="GZ27" s="8"/>
      <c r="HA27" s="8"/>
      <c r="HB27" s="8"/>
      <c r="HC27" s="8"/>
      <c r="HD27" s="8"/>
      <c r="HE27" s="8"/>
      <c r="HF27" s="8"/>
      <c r="HG27" s="8"/>
      <c r="HH27" s="8"/>
      <c r="HI27" s="8"/>
      <c r="HJ27" s="8"/>
      <c r="HK27" s="8"/>
      <c r="HL27" s="8"/>
      <c r="HM27" s="8"/>
      <c r="HN27" s="8"/>
      <c r="HO27" s="8"/>
      <c r="HP27" s="8"/>
      <c r="HQ27" s="8"/>
      <c r="HR27" s="8"/>
      <c r="HS27" s="8"/>
      <c r="HT27" s="8"/>
      <c r="HU27" s="8"/>
      <c r="HV27" s="8"/>
      <c r="HW27" s="8"/>
      <c r="HX27" s="8"/>
      <c r="HY27" s="8"/>
      <c r="HZ27" s="8"/>
      <c r="IA27" s="8"/>
      <c r="IB27" s="8"/>
      <c r="IC27" s="8"/>
      <c r="ID27" s="8"/>
      <c r="IE27" s="8"/>
      <c r="IF27" s="8"/>
      <c r="IG27" s="8"/>
      <c r="IH27" s="8"/>
      <c r="II27" s="8"/>
      <c r="IJ27" s="8"/>
      <c r="IK27" s="8"/>
      <c r="IL27" s="8"/>
      <c r="IM27" s="8"/>
      <c r="IN27" s="8"/>
      <c r="IO27" s="8"/>
      <c r="IP27" s="8"/>
      <c r="IQ27" s="8"/>
      <c r="IR27" s="8"/>
      <c r="IS27" s="8"/>
      <c r="IT27" s="8"/>
      <c r="IU27" s="8"/>
      <c r="IV27" s="8"/>
      <c r="IW27" s="8"/>
      <c r="IX27" s="8"/>
      <c r="IY27" s="8"/>
      <c r="IZ27" s="8"/>
      <c r="JA27" s="8"/>
      <c r="JB27" s="8"/>
      <c r="JC27" s="8"/>
      <c r="JD27" s="8"/>
      <c r="JE27" s="8"/>
      <c r="JF27" s="8"/>
      <c r="JG27" s="8"/>
      <c r="JH27" s="8"/>
      <c r="JI27" s="8"/>
      <c r="JJ27" s="8"/>
      <c r="JK27" s="8"/>
      <c r="JL27" s="8"/>
      <c r="JM27" s="8"/>
      <c r="JN27" s="8"/>
      <c r="JO27" s="8"/>
      <c r="JP27" s="8"/>
      <c r="JQ27" s="8"/>
      <c r="JR27" s="8"/>
      <c r="JS27" s="8"/>
      <c r="JT27" s="8"/>
      <c r="JU27" s="8"/>
      <c r="JV27" s="8"/>
      <c r="JW27" s="8"/>
      <c r="JX27" s="8"/>
      <c r="JY27" s="8"/>
      <c r="JZ27" s="8"/>
      <c r="KA27" s="8"/>
      <c r="KB27" s="8"/>
      <c r="KC27" s="8"/>
      <c r="KD27" s="8"/>
      <c r="KE27" s="8"/>
      <c r="KF27" s="8"/>
      <c r="KG27" s="8"/>
      <c r="KH27" s="8"/>
      <c r="KI27" s="8"/>
      <c r="KJ27" s="8"/>
      <c r="KK27" s="8"/>
      <c r="KL27" s="8"/>
      <c r="KM27" s="8"/>
      <c r="KN27" s="8"/>
      <c r="KO27" s="8"/>
      <c r="KP27" s="8"/>
      <c r="KQ27" s="8"/>
      <c r="KR27" s="8"/>
      <c r="KS27" s="8"/>
      <c r="KT27" s="8"/>
      <c r="KU27" s="8"/>
      <c r="KV27" s="8"/>
      <c r="KW27" s="8"/>
      <c r="KX27" s="8"/>
      <c r="KY27" s="8"/>
      <c r="KZ27" s="8"/>
      <c r="LA27" s="8"/>
      <c r="LB27" s="8"/>
      <c r="LC27" s="8"/>
      <c r="LD27" s="8"/>
      <c r="LE27" s="8"/>
      <c r="LF27" s="8"/>
      <c r="LG27" s="8"/>
      <c r="LH27" s="8"/>
      <c r="LI27" s="8"/>
      <c r="LJ27" s="8"/>
      <c r="LK27" s="8"/>
      <c r="LL27" s="8"/>
      <c r="LM27" s="8"/>
      <c r="LN27" s="8"/>
      <c r="LO27" s="8"/>
      <c r="LP27" s="8"/>
      <c r="LQ27" s="8"/>
      <c r="LR27" s="8"/>
      <c r="LS27" s="8"/>
      <c r="LT27" s="8"/>
      <c r="LU27" s="8"/>
      <c r="LV27" s="8"/>
      <c r="LW27" s="8"/>
      <c r="LX27" s="8"/>
      <c r="LY27" s="8"/>
      <c r="LZ27" s="8"/>
      <c r="MA27" s="8"/>
      <c r="MB27" s="8"/>
      <c r="MC27" s="8"/>
      <c r="MD27" s="8"/>
      <c r="ME27" s="8"/>
      <c r="MF27" s="8"/>
      <c r="MG27" s="8"/>
      <c r="MH27" s="8"/>
      <c r="MI27" s="8"/>
      <c r="MJ27" s="8"/>
      <c r="MK27" s="8"/>
      <c r="ML27" s="8"/>
      <c r="MM27" s="8"/>
      <c r="MN27" s="8"/>
      <c r="MO27" s="8"/>
      <c r="MP27" s="8"/>
      <c r="MQ27" s="8"/>
      <c r="MR27" s="8"/>
      <c r="MS27" s="8"/>
      <c r="MT27" s="8"/>
      <c r="MU27" s="8"/>
      <c r="MV27" s="8"/>
      <c r="MW27" s="8"/>
      <c r="MX27" s="8"/>
      <c r="MY27" s="8"/>
      <c r="MZ27" s="8"/>
      <c r="NA27" s="8"/>
      <c r="NB27" s="8"/>
      <c r="NC27" s="8"/>
      <c r="ND27" s="8"/>
      <c r="NE27" s="8"/>
      <c r="NF27" s="8"/>
      <c r="NG27" s="8"/>
      <c r="NH27" s="8"/>
      <c r="NI27" s="8"/>
      <c r="NJ27" s="8"/>
      <c r="NK27" s="8"/>
      <c r="NL27" s="8"/>
      <c r="NM27" s="8"/>
      <c r="NN27" s="8"/>
      <c r="NO27" s="8"/>
      <c r="NP27" s="8"/>
      <c r="NQ27" s="8"/>
      <c r="NR27" s="8"/>
      <c r="NS27" s="8"/>
      <c r="NT27" s="8"/>
      <c r="NU27" s="8"/>
      <c r="NV27" s="8"/>
      <c r="NW27" s="8"/>
      <c r="NX27" s="8"/>
      <c r="NY27" s="8"/>
      <c r="NZ27" s="8"/>
      <c r="OA27" s="8"/>
      <c r="OB27" s="8"/>
      <c r="OC27" s="8"/>
      <c r="OD27" s="8"/>
      <c r="OE27" s="8"/>
      <c r="OF27" s="8"/>
      <c r="OG27" s="8"/>
      <c r="OH27" s="8"/>
      <c r="OI27" s="8"/>
      <c r="OJ27" s="8"/>
      <c r="OK27" s="8"/>
      <c r="OL27" s="8"/>
      <c r="OM27" s="8"/>
      <c r="ON27" s="8"/>
      <c r="OO27" s="8"/>
      <c r="OP27" s="8"/>
      <c r="OQ27" s="8"/>
      <c r="OR27" s="8"/>
      <c r="OS27" s="8"/>
      <c r="OT27" s="8"/>
      <c r="OU27" s="8"/>
      <c r="OV27" s="8"/>
      <c r="OW27" s="8"/>
      <c r="OX27" s="8"/>
      <c r="OY27" s="8"/>
      <c r="OZ27" s="8"/>
      <c r="PA27" s="8"/>
      <c r="PB27" s="8"/>
      <c r="PC27" s="8"/>
      <c r="PD27" s="8"/>
      <c r="PE27" s="8"/>
      <c r="PF27" s="8"/>
      <c r="PG27" s="8"/>
      <c r="PH27" s="8"/>
      <c r="PI27" s="8"/>
      <c r="PJ27" s="8"/>
      <c r="PK27" s="8"/>
      <c r="PL27" s="8"/>
      <c r="PM27" s="8"/>
      <c r="PN27" s="8"/>
      <c r="PO27" s="8"/>
      <c r="PP27" s="8"/>
      <c r="PQ27" s="8"/>
      <c r="PR27" s="8"/>
      <c r="PS27" s="8"/>
      <c r="PT27" s="8"/>
      <c r="PU27" s="8"/>
      <c r="PV27" s="8"/>
      <c r="PW27" s="8"/>
      <c r="PX27" s="8"/>
      <c r="PY27" s="8"/>
      <c r="PZ27" s="8"/>
      <c r="QA27" s="8"/>
      <c r="QB27" s="8"/>
      <c r="QC27" s="8"/>
      <c r="QD27" s="8"/>
      <c r="QE27" s="8"/>
      <c r="QF27" s="8"/>
      <c r="QG27" s="8"/>
      <c r="QH27" s="8"/>
      <c r="QI27" s="8"/>
      <c r="QJ27" s="8"/>
      <c r="QK27" s="8"/>
      <c r="QL27" s="8"/>
      <c r="QM27" s="8"/>
      <c r="QN27" s="8"/>
      <c r="QO27" s="8"/>
      <c r="QP27" s="8"/>
      <c r="QQ27" s="8"/>
      <c r="QR27" s="8"/>
      <c r="QS27" s="8"/>
      <c r="QT27" s="8"/>
      <c r="QU27" s="8"/>
      <c r="QV27" s="8"/>
      <c r="QW27" s="8"/>
      <c r="QX27" s="8"/>
      <c r="QY27" s="8"/>
      <c r="QZ27" s="8"/>
      <c r="RA27" s="8"/>
      <c r="RB27" s="8"/>
      <c r="RC27" s="8"/>
      <c r="RD27" s="8"/>
      <c r="RE27" s="8"/>
      <c r="RF27" s="8"/>
      <c r="RG27" s="8"/>
      <c r="RH27" s="8"/>
      <c r="RI27" s="8"/>
      <c r="RJ27" s="8"/>
      <c r="RK27" s="8"/>
      <c r="RL27" s="8"/>
      <c r="RM27" s="8"/>
      <c r="RN27" s="8"/>
      <c r="RO27" s="8"/>
      <c r="RP27" s="8"/>
      <c r="RQ27" s="8"/>
      <c r="RR27" s="8"/>
      <c r="RS27" s="8"/>
      <c r="RT27" s="8"/>
      <c r="RU27" s="8"/>
      <c r="RV27" s="8"/>
      <c r="RW27" s="8"/>
      <c r="RX27" s="8"/>
      <c r="RY27" s="8"/>
      <c r="RZ27" s="8"/>
      <c r="SA27" s="8"/>
      <c r="SB27" s="8"/>
      <c r="SC27" s="8"/>
      <c r="SD27" s="8"/>
      <c r="SE27" s="8"/>
      <c r="SF27" s="8"/>
      <c r="SG27" s="8"/>
      <c r="SH27" s="8"/>
      <c r="SI27" s="8"/>
      <c r="SJ27" s="8"/>
      <c r="SK27" s="8"/>
      <c r="SL27" s="8"/>
      <c r="SM27" s="8"/>
      <c r="SN27" s="8"/>
      <c r="SO27" s="8"/>
      <c r="SP27" s="8"/>
      <c r="SQ27" s="8"/>
      <c r="SR27" s="8"/>
      <c r="SS27" s="8"/>
      <c r="ST27" s="8"/>
      <c r="SU27" s="8"/>
      <c r="SV27" s="8"/>
      <c r="SW27" s="8"/>
      <c r="SX27" s="8"/>
      <c r="SY27" s="8"/>
      <c r="SZ27" s="8"/>
      <c r="TA27" s="8"/>
      <c r="TB27" s="8"/>
      <c r="TC27" s="8"/>
      <c r="TD27" s="8"/>
      <c r="TE27" s="8"/>
      <c r="TF27" s="8"/>
      <c r="TG27" s="8"/>
      <c r="TH27" s="8"/>
      <c r="TI27" s="8"/>
      <c r="TJ27" s="8"/>
      <c r="TK27" s="8"/>
      <c r="TL27" s="8"/>
      <c r="TM27" s="8"/>
      <c r="TN27" s="8"/>
      <c r="TO27" s="8"/>
      <c r="TP27" s="8"/>
      <c r="TQ27" s="8"/>
      <c r="TR27" s="8"/>
      <c r="TS27" s="8"/>
      <c r="TT27" s="8"/>
      <c r="TU27" s="8"/>
      <c r="TV27" s="8"/>
      <c r="TW27" s="8"/>
      <c r="TX27" s="8"/>
      <c r="TY27" s="8"/>
      <c r="TZ27" s="8"/>
      <c r="UA27" s="8"/>
      <c r="UB27" s="8"/>
      <c r="UC27" s="8"/>
      <c r="UD27" s="8"/>
      <c r="UE27" s="8"/>
      <c r="UF27" s="8"/>
      <c r="UG27" s="8"/>
      <c r="UH27" s="8"/>
      <c r="UI27" s="8"/>
      <c r="UJ27" s="8"/>
      <c r="UK27" s="8"/>
      <c r="UL27" s="8"/>
      <c r="UM27" s="8"/>
      <c r="UN27" s="8"/>
      <c r="UO27" s="8"/>
      <c r="UP27" s="8"/>
      <c r="UQ27" s="8"/>
      <c r="UR27" s="8"/>
      <c r="US27" s="8"/>
      <c r="UT27" s="8"/>
      <c r="UU27" s="8"/>
      <c r="UV27" s="8"/>
      <c r="UW27" s="8"/>
      <c r="UX27" s="8"/>
      <c r="UY27" s="8"/>
      <c r="UZ27" s="8"/>
      <c r="VA27" s="8"/>
      <c r="VB27" s="8"/>
      <c r="VC27" s="8"/>
      <c r="VD27" s="8"/>
      <c r="VE27" s="8"/>
      <c r="VF27" s="8"/>
      <c r="VG27" s="8"/>
      <c r="VH27" s="8"/>
      <c r="VI27" s="8"/>
      <c r="VJ27" s="8"/>
      <c r="VK27" s="8"/>
      <c r="VL27" s="8"/>
      <c r="VM27" s="8"/>
      <c r="VN27" s="8"/>
      <c r="VO27" s="8"/>
      <c r="VP27" s="8"/>
      <c r="VQ27" s="8"/>
      <c r="VR27" s="8"/>
      <c r="VS27" s="8"/>
      <c r="VT27" s="8"/>
      <c r="VU27" s="8"/>
      <c r="VV27" s="8"/>
      <c r="VW27" s="8"/>
      <c r="VX27" s="8"/>
      <c r="VY27" s="8"/>
      <c r="VZ27" s="8"/>
      <c r="WA27" s="8"/>
      <c r="WB27" s="8"/>
      <c r="WC27" s="8"/>
      <c r="WD27" s="8"/>
      <c r="WE27" s="8"/>
      <c r="WF27" s="8"/>
      <c r="WG27" s="8"/>
      <c r="WH27" s="8"/>
      <c r="WI27" s="8"/>
      <c r="WJ27" s="8"/>
      <c r="WK27" s="8"/>
      <c r="WL27" s="8"/>
      <c r="WM27" s="8"/>
      <c r="WN27" s="8"/>
      <c r="WO27" s="8"/>
      <c r="WP27" s="8"/>
      <c r="WQ27" s="8"/>
      <c r="WR27" s="8"/>
      <c r="WS27" s="8"/>
      <c r="WT27" s="8"/>
      <c r="WU27" s="8"/>
      <c r="WV27" s="8"/>
      <c r="WW27" s="8"/>
      <c r="WX27" s="8"/>
      <c r="WY27" s="8"/>
      <c r="WZ27" s="8"/>
      <c r="XA27" s="8"/>
      <c r="XB27" s="8"/>
      <c r="XC27" s="8"/>
      <c r="XD27" s="8"/>
      <c r="XE27" s="8"/>
      <c r="XF27" s="8"/>
      <c r="XG27" s="8"/>
      <c r="XH27" s="8"/>
      <c r="XI27" s="8"/>
      <c r="XJ27" s="8"/>
      <c r="XK27" s="8"/>
      <c r="XL27" s="8"/>
      <c r="XM27" s="8"/>
      <c r="XN27" s="8"/>
      <c r="XO27" s="8"/>
      <c r="XP27" s="8"/>
      <c r="XQ27" s="8"/>
      <c r="XR27" s="8"/>
      <c r="XS27" s="8"/>
      <c r="XT27" s="8"/>
      <c r="XU27" s="8"/>
      <c r="XV27" s="8"/>
      <c r="XW27" s="8"/>
      <c r="XX27" s="8"/>
      <c r="XY27" s="8"/>
      <c r="XZ27" s="8"/>
      <c r="YA27" s="8"/>
      <c r="YB27" s="8"/>
      <c r="YC27" s="8"/>
      <c r="YD27" s="8"/>
      <c r="YE27" s="8"/>
      <c r="YF27" s="8"/>
      <c r="YG27" s="8"/>
      <c r="YH27" s="8"/>
      <c r="YI27" s="8"/>
      <c r="YJ27" s="8"/>
      <c r="YK27" s="8"/>
      <c r="YL27" s="8"/>
      <c r="YM27" s="8"/>
      <c r="YN27" s="8"/>
      <c r="YO27" s="8"/>
      <c r="YP27" s="8"/>
      <c r="YQ27" s="8"/>
      <c r="YR27" s="8"/>
      <c r="YS27" s="8"/>
      <c r="YT27" s="8"/>
      <c r="YU27" s="8"/>
      <c r="YV27" s="8"/>
      <c r="YW27" s="8"/>
      <c r="YX27" s="8"/>
      <c r="YY27" s="8"/>
      <c r="YZ27" s="8"/>
      <c r="ZA27" s="8"/>
      <c r="ZB27" s="8"/>
      <c r="ZC27" s="8"/>
      <c r="ZD27" s="8"/>
      <c r="ZE27" s="8"/>
      <c r="ZF27" s="8"/>
      <c r="ZG27" s="8"/>
      <c r="ZH27" s="8"/>
      <c r="ZI27" s="8"/>
      <c r="ZJ27" s="8"/>
      <c r="ZK27" s="8"/>
      <c r="ZL27" s="8"/>
      <c r="ZM27" s="8"/>
      <c r="ZN27" s="8"/>
      <c r="ZO27" s="8"/>
      <c r="ZP27" s="8"/>
      <c r="ZQ27" s="8"/>
      <c r="ZR27" s="8"/>
      <c r="ZS27" s="8"/>
      <c r="ZT27" s="8"/>
      <c r="ZU27" s="8"/>
      <c r="ZV27" s="8"/>
      <c r="ZW27" s="8"/>
      <c r="ZX27" s="8"/>
      <c r="ZY27" s="8"/>
      <c r="ZZ27" s="8"/>
      <c r="AAA27" s="8"/>
      <c r="AAB27" s="8"/>
      <c r="AAC27" s="8"/>
      <c r="AAD27" s="8"/>
      <c r="AAE27" s="8"/>
      <c r="AAF27" s="8"/>
      <c r="AAG27" s="8"/>
      <c r="AAH27" s="8"/>
      <c r="AAI27" s="8"/>
      <c r="AAJ27" s="8"/>
      <c r="AAK27" s="8"/>
      <c r="AAL27" s="8"/>
      <c r="AAM27" s="8"/>
      <c r="AAN27" s="8"/>
      <c r="AAO27" s="8"/>
      <c r="AAP27" s="8"/>
      <c r="AAQ27" s="8"/>
      <c r="AAR27" s="8"/>
      <c r="AAS27" s="8"/>
      <c r="AAT27" s="8"/>
      <c r="AAU27" s="8"/>
      <c r="AAV27" s="8"/>
      <c r="AAW27" s="8"/>
      <c r="AAX27" s="8"/>
      <c r="AAY27" s="8"/>
      <c r="AAZ27" s="8"/>
      <c r="ABA27" s="8"/>
      <c r="ABB27" s="8"/>
      <c r="ABC27" s="8"/>
      <c r="ABD27" s="8"/>
      <c r="ABE27" s="8"/>
      <c r="ABF27" s="8"/>
      <c r="ABG27" s="8"/>
      <c r="ABH27" s="8"/>
      <c r="ABI27" s="8"/>
      <c r="ABJ27" s="8"/>
      <c r="ABK27" s="8"/>
      <c r="ABL27" s="8"/>
      <c r="ABM27" s="8"/>
      <c r="ABN27" s="8"/>
      <c r="ABO27" s="8"/>
      <c r="ABP27" s="8"/>
      <c r="ABQ27" s="8"/>
      <c r="ABR27" s="8"/>
      <c r="ABS27" s="8"/>
      <c r="ABT27" s="8"/>
      <c r="ABU27" s="8"/>
      <c r="ABV27" s="8"/>
      <c r="ABW27" s="8"/>
      <c r="ABX27" s="8"/>
      <c r="ABY27" s="8"/>
      <c r="ABZ27" s="8"/>
      <c r="ACA27" s="8"/>
      <c r="ACB27" s="8"/>
      <c r="ACC27" s="8"/>
      <c r="ACD27" s="8"/>
      <c r="ACE27" s="8"/>
      <c r="ACF27" s="8"/>
      <c r="ACG27" s="8"/>
      <c r="ACH27" s="8"/>
      <c r="ACI27" s="8"/>
      <c r="ACJ27" s="8"/>
      <c r="ACK27" s="8"/>
      <c r="ACL27" s="8"/>
      <c r="ACM27" s="8"/>
      <c r="ACN27" s="8"/>
      <c r="ACO27" s="8"/>
      <c r="ACP27" s="8"/>
      <c r="ACQ27" s="8"/>
      <c r="ACR27" s="8"/>
      <c r="ACS27" s="8"/>
      <c r="ACT27" s="8"/>
      <c r="ACU27" s="8"/>
      <c r="ACV27" s="8"/>
      <c r="ACW27" s="8"/>
      <c r="ACX27" s="8"/>
      <c r="ACY27" s="8"/>
      <c r="ACZ27" s="8"/>
      <c r="ADA27" s="8"/>
      <c r="ADB27" s="8"/>
      <c r="ADC27" s="8"/>
      <c r="ADD27" s="8"/>
      <c r="ADE27" s="8"/>
      <c r="ADF27" s="8"/>
      <c r="ADG27" s="8"/>
      <c r="ADH27" s="8"/>
      <c r="ADI27" s="8"/>
      <c r="ADJ27" s="8"/>
      <c r="ADK27" s="8"/>
      <c r="ADL27" s="8"/>
      <c r="ADM27" s="8"/>
      <c r="ADN27" s="8"/>
      <c r="ADO27" s="8"/>
      <c r="ADP27" s="8"/>
      <c r="ADQ27" s="8"/>
      <c r="ADR27" s="8"/>
      <c r="ADS27" s="8"/>
      <c r="ADT27" s="8"/>
      <c r="ADU27" s="8"/>
      <c r="ADV27" s="8"/>
      <c r="ADW27" s="8"/>
      <c r="ADX27" s="8"/>
      <c r="ADY27" s="8"/>
      <c r="ADZ27" s="8"/>
      <c r="AEA27" s="8"/>
      <c r="AEB27" s="8"/>
      <c r="AEC27" s="8"/>
      <c r="AED27" s="8"/>
      <c r="AEE27" s="8"/>
      <c r="AEF27" s="8"/>
      <c r="AEG27" s="8"/>
      <c r="AEH27" s="8"/>
      <c r="AEI27" s="8"/>
      <c r="AEJ27" s="8"/>
      <c r="AEK27" s="8"/>
      <c r="AEL27" s="8"/>
      <c r="AEM27" s="8"/>
      <c r="AEN27" s="8"/>
      <c r="AEO27" s="8"/>
      <c r="AEP27" s="8"/>
      <c r="AEQ27" s="8"/>
      <c r="AER27" s="8"/>
      <c r="AES27" s="8"/>
      <c r="AET27" s="8"/>
      <c r="AEU27" s="8"/>
      <c r="AEV27" s="8"/>
      <c r="AEW27" s="8"/>
      <c r="AEX27" s="8"/>
      <c r="AEY27" s="8"/>
      <c r="AEZ27" s="8"/>
      <c r="AFA27" s="8"/>
      <c r="AFB27" s="8"/>
      <c r="AFC27" s="8"/>
      <c r="AFD27" s="8"/>
      <c r="AFE27" s="8"/>
      <c r="AFF27" s="8"/>
      <c r="AFG27" s="8"/>
      <c r="AFH27" s="8"/>
      <c r="AFI27" s="8"/>
      <c r="AFJ27" s="8"/>
      <c r="AFK27" s="8"/>
      <c r="AFL27" s="8"/>
      <c r="AFM27" s="8"/>
      <c r="AFN27" s="8"/>
      <c r="AFO27" s="8"/>
      <c r="AFP27" s="8"/>
      <c r="AFQ27" s="8"/>
      <c r="AFR27" s="8"/>
      <c r="AFS27" s="8"/>
      <c r="AFT27" s="8"/>
      <c r="AFU27" s="8"/>
      <c r="AFV27" s="8"/>
      <c r="AFW27" s="8"/>
      <c r="AFX27" s="8"/>
      <c r="AFY27" s="8"/>
      <c r="AFZ27" s="8"/>
      <c r="AGA27" s="8"/>
      <c r="AGB27" s="8"/>
      <c r="AGC27" s="8"/>
      <c r="AGD27" s="8"/>
      <c r="AGE27" s="8"/>
      <c r="AGF27" s="8"/>
      <c r="AGG27" s="8"/>
      <c r="AGH27" s="8"/>
      <c r="AGI27" s="8"/>
      <c r="AGJ27" s="8"/>
      <c r="AGK27" s="8"/>
      <c r="AGL27" s="8"/>
      <c r="AGM27" s="8"/>
      <c r="AGN27" s="8"/>
      <c r="AGO27" s="8"/>
      <c r="AGP27" s="8"/>
      <c r="AGQ27" s="8"/>
      <c r="AGR27" s="8"/>
      <c r="AGS27" s="8"/>
      <c r="AGT27" s="8"/>
      <c r="AGU27" s="8"/>
      <c r="AGV27" s="8"/>
      <c r="AGW27" s="8"/>
      <c r="AGX27" s="8"/>
      <c r="AGY27" s="8"/>
      <c r="AGZ27" s="8"/>
      <c r="AHA27" s="8"/>
      <c r="AHB27" s="8"/>
      <c r="AHC27" s="8"/>
      <c r="AHD27" s="8"/>
      <c r="AHE27" s="8"/>
      <c r="AHF27" s="8"/>
      <c r="AHG27" s="8"/>
      <c r="AHH27" s="8"/>
      <c r="AHI27" s="8"/>
      <c r="AHJ27" s="8"/>
      <c r="AHK27" s="8"/>
      <c r="AHL27" s="8"/>
      <c r="AHM27" s="8"/>
      <c r="AHN27" s="8"/>
      <c r="AHO27" s="8"/>
      <c r="AHP27" s="8"/>
      <c r="AHQ27" s="8"/>
      <c r="AHR27" s="8"/>
      <c r="AHS27" s="8"/>
      <c r="AHT27" s="8"/>
      <c r="AHU27" s="8"/>
      <c r="AHV27" s="8"/>
      <c r="AHW27" s="8"/>
      <c r="AHX27" s="8"/>
      <c r="AHY27" s="8"/>
      <c r="AHZ27" s="8"/>
      <c r="AIA27" s="8"/>
      <c r="AIB27" s="8"/>
      <c r="AIC27" s="8"/>
      <c r="AID27" s="8"/>
      <c r="AIE27" s="8"/>
      <c r="AIF27" s="8"/>
      <c r="AIG27" s="8"/>
      <c r="AIH27" s="8"/>
      <c r="AII27" s="8"/>
      <c r="AIJ27" s="8"/>
      <c r="AIK27" s="8"/>
      <c r="AIL27" s="8"/>
      <c r="AIM27" s="8"/>
      <c r="AIN27" s="8"/>
      <c r="AIO27" s="8"/>
      <c r="AIP27" s="8"/>
      <c r="AIQ27" s="8"/>
      <c r="AIR27" s="8"/>
      <c r="AIS27" s="8"/>
      <c r="AIT27" s="8"/>
      <c r="AIU27" s="8"/>
      <c r="AIV27" s="8"/>
      <c r="AIW27" s="8"/>
      <c r="AIX27" s="8"/>
      <c r="AIY27" s="8"/>
      <c r="AIZ27" s="8"/>
      <c r="AJA27" s="8"/>
      <c r="AJB27" s="8"/>
      <c r="AJC27" s="8"/>
      <c r="AJD27" s="8"/>
      <c r="AJE27" s="8"/>
      <c r="AJF27" s="8"/>
      <c r="AJG27" s="8"/>
      <c r="AJH27" s="8"/>
      <c r="AJI27" s="8"/>
      <c r="AJJ27" s="8"/>
      <c r="AJK27" s="8"/>
      <c r="AJL27" s="8"/>
      <c r="AJM27" s="8"/>
      <c r="AJN27" s="8"/>
      <c r="AJO27" s="8"/>
      <c r="AJP27" s="8"/>
      <c r="AJQ27" s="8"/>
      <c r="AJR27" s="8"/>
      <c r="AJS27" s="8"/>
      <c r="AJT27" s="8"/>
      <c r="AJU27" s="8"/>
      <c r="AJV27" s="8"/>
      <c r="AJW27" s="8"/>
      <c r="AJX27" s="8"/>
      <c r="AJY27" s="8"/>
      <c r="AJZ27" s="8"/>
      <c r="AKA27" s="8"/>
      <c r="AKB27" s="8"/>
      <c r="AKC27" s="8"/>
      <c r="AKD27" s="8"/>
      <c r="AKE27" s="8"/>
      <c r="AKF27" s="8"/>
      <c r="AKG27" s="8"/>
      <c r="AKH27" s="8"/>
      <c r="AKI27" s="8"/>
      <c r="AKJ27" s="8"/>
      <c r="AKK27" s="8"/>
      <c r="AKL27" s="8"/>
      <c r="AKM27" s="8"/>
      <c r="AKN27" s="8"/>
      <c r="AKO27" s="8"/>
      <c r="AKP27" s="8"/>
      <c r="AKQ27" s="8"/>
      <c r="AKR27" s="8"/>
      <c r="AKS27" s="8"/>
      <c r="AKT27" s="8"/>
      <c r="AKU27" s="8"/>
      <c r="AKV27" s="8"/>
      <c r="AKW27" s="8"/>
      <c r="AKX27" s="8"/>
      <c r="AKY27" s="8"/>
      <c r="AKZ27" s="8"/>
      <c r="ALA27" s="8"/>
      <c r="ALB27" s="8"/>
      <c r="ALC27" s="8"/>
      <c r="ALD27" s="8"/>
      <c r="ALE27" s="8"/>
      <c r="ALF27" s="8"/>
      <c r="ALG27" s="8"/>
      <c r="ALH27" s="8"/>
      <c r="ALI27" s="8"/>
      <c r="ALJ27" s="8"/>
      <c r="ALK27" s="8"/>
      <c r="ALL27" s="8"/>
      <c r="ALM27" s="8"/>
      <c r="ALN27" s="8"/>
      <c r="ALO27" s="8"/>
      <c r="ALP27" s="8"/>
      <c r="ALQ27" s="8"/>
      <c r="ALR27" s="8"/>
      <c r="ALS27" s="8"/>
      <c r="ALT27" s="8"/>
      <c r="ALU27" s="8"/>
    </row>
    <row r="28" spans="1:1009" x14ac:dyDescent="0.4">
      <c r="P28" s="38"/>
      <c r="Q28">
        <v>3</v>
      </c>
      <c r="R28" s="50">
        <v>8.4365959999999998</v>
      </c>
      <c r="S28" s="42">
        <v>8563.2880860000005</v>
      </c>
      <c r="T28" s="58">
        <v>7462.8442379999997</v>
      </c>
      <c r="U28" s="42">
        <v>6409.5756840000004</v>
      </c>
      <c r="V28" s="42">
        <v>5396.0151370000003</v>
      </c>
      <c r="W28" s="42">
        <v>4459.6186520000001</v>
      </c>
      <c r="X28" s="42">
        <v>3578.9316410000001</v>
      </c>
      <c r="Y28" s="42">
        <v>2806.9377439999998</v>
      </c>
      <c r="Z28" s="42">
        <v>2148.141357</v>
      </c>
      <c r="AA28" s="42">
        <v>1570.1831050000001</v>
      </c>
      <c r="AB28" s="42">
        <v>1107.792725</v>
      </c>
      <c r="AC28" s="197">
        <f t="shared" si="0"/>
        <v>8563.2880860000005</v>
      </c>
      <c r="AD28" s="42"/>
      <c r="AE28" s="198"/>
    </row>
    <row r="29" spans="1:1009" x14ac:dyDescent="0.4">
      <c r="P29" s="38"/>
      <c r="Q29">
        <v>4</v>
      </c>
      <c r="R29" s="50">
        <v>8.4944290000000002</v>
      </c>
      <c r="S29" s="42">
        <v>8983.5351559999999</v>
      </c>
      <c r="T29" s="58">
        <v>7828.5429690000001</v>
      </c>
      <c r="U29" s="42">
        <v>6690.0322269999997</v>
      </c>
      <c r="V29" s="42">
        <v>5645.2294920000004</v>
      </c>
      <c r="W29" s="42">
        <v>4654.6982420000004</v>
      </c>
      <c r="X29" s="42">
        <v>3737.0375979999999</v>
      </c>
      <c r="Y29" s="42">
        <v>2909.5541990000002</v>
      </c>
      <c r="Z29" s="42">
        <v>2198.264404</v>
      </c>
      <c r="AA29" s="42">
        <v>1599.6367190000001</v>
      </c>
      <c r="AB29" s="42">
        <v>1128.5043949999999</v>
      </c>
      <c r="AC29" s="197">
        <f t="shared" si="0"/>
        <v>8983.5351559999999</v>
      </c>
      <c r="AD29" s="42"/>
      <c r="AE29" s="198"/>
    </row>
    <row r="30" spans="1:1009" x14ac:dyDescent="0.4">
      <c r="A30" s="52"/>
      <c r="B30" s="52"/>
      <c r="C30" s="52" t="s">
        <v>78</v>
      </c>
      <c r="D30" s="52" t="s">
        <v>79</v>
      </c>
      <c r="E30" s="52" t="s">
        <v>80</v>
      </c>
      <c r="F30" s="52" t="s">
        <v>81</v>
      </c>
      <c r="G30" s="52" t="s">
        <v>82</v>
      </c>
      <c r="H30" s="52" t="s">
        <v>83</v>
      </c>
      <c r="I30" s="52" t="s">
        <v>84</v>
      </c>
      <c r="J30" s="52" t="s">
        <v>85</v>
      </c>
      <c r="K30" s="52"/>
      <c r="L30" s="52"/>
      <c r="M30" s="52" t="s">
        <v>86</v>
      </c>
      <c r="N30" s="192" t="s">
        <v>366</v>
      </c>
      <c r="P30" s="38"/>
      <c r="Q30">
        <v>5</v>
      </c>
      <c r="R30" s="50">
        <v>8.4898089999999993</v>
      </c>
      <c r="S30" s="42">
        <v>8619.0400389999995</v>
      </c>
      <c r="T30" s="58">
        <v>7497.4594729999999</v>
      </c>
      <c r="U30" s="42">
        <v>6408.7426759999998</v>
      </c>
      <c r="V30" s="42">
        <v>5394.4677730000003</v>
      </c>
      <c r="W30" s="42">
        <v>4462.0556640000004</v>
      </c>
      <c r="X30" s="42">
        <v>3587.124268</v>
      </c>
      <c r="Y30" s="42">
        <v>2800.5341800000001</v>
      </c>
      <c r="Z30" s="42">
        <v>2121.602539</v>
      </c>
      <c r="AA30" s="42">
        <v>1532.3077390000001</v>
      </c>
      <c r="AB30" s="42">
        <v>1064.3348390000001</v>
      </c>
      <c r="AC30" s="197">
        <f t="shared" si="0"/>
        <v>8619.0400389999995</v>
      </c>
      <c r="AD30" s="42">
        <f>AVERAGE(AC26:AC30)</f>
        <v>8702.9433594000002</v>
      </c>
      <c r="AE30" s="198">
        <f>(MAX(AC26:AC30)-MIN(AC26:AC30))/AD30*100</f>
        <v>5.1514091208667612</v>
      </c>
    </row>
    <row r="31" spans="1:1009" x14ac:dyDescent="0.4">
      <c r="A31" s="53" t="s">
        <v>87</v>
      </c>
      <c r="B31" s="53" t="s">
        <v>88</v>
      </c>
      <c r="C31" s="53" t="s">
        <v>75</v>
      </c>
      <c r="D31" s="53" t="s">
        <v>89</v>
      </c>
      <c r="E31" s="53" t="s">
        <v>90</v>
      </c>
      <c r="F31" s="53" t="s">
        <v>368</v>
      </c>
      <c r="G31" s="53" t="s">
        <v>91</v>
      </c>
      <c r="H31" s="53" t="s">
        <v>92</v>
      </c>
      <c r="I31" s="53" t="s">
        <v>93</v>
      </c>
      <c r="J31" s="53" t="s">
        <v>39</v>
      </c>
      <c r="K31" s="54" t="str">
        <f>"95%"</f>
        <v>95%</v>
      </c>
      <c r="L31" s="53" t="s">
        <v>86</v>
      </c>
      <c r="M31" s="53" t="s">
        <v>94</v>
      </c>
      <c r="N31" s="136"/>
      <c r="P31" s="38">
        <v>5</v>
      </c>
      <c r="Q31">
        <v>1</v>
      </c>
      <c r="R31" s="50">
        <v>7.9711169999999996</v>
      </c>
      <c r="S31" s="42">
        <v>10733.752930000001</v>
      </c>
      <c r="T31" s="58">
        <v>9431.4257809999999</v>
      </c>
      <c r="U31" s="42">
        <v>8151.6806640000004</v>
      </c>
      <c r="V31" s="42">
        <v>6931.2744140000004</v>
      </c>
      <c r="W31" s="42">
        <v>5772.9677730000003</v>
      </c>
      <c r="X31" s="42">
        <v>4679.6450199999999</v>
      </c>
      <c r="Y31" s="42">
        <v>3688.818115</v>
      </c>
      <c r="Z31" s="42">
        <v>2815.7910160000001</v>
      </c>
      <c r="AA31" s="42">
        <v>2072.6079100000002</v>
      </c>
      <c r="AB31" s="42">
        <v>1460.272095</v>
      </c>
      <c r="AC31" s="197">
        <f t="shared" si="0"/>
        <v>10733.752930000001</v>
      </c>
      <c r="AD31" s="58"/>
      <c r="AE31" s="198"/>
    </row>
    <row r="32" spans="1:1009" x14ac:dyDescent="0.4">
      <c r="A32" s="55">
        <v>0</v>
      </c>
      <c r="B32" s="57">
        <v>0</v>
      </c>
      <c r="C32" s="203">
        <v>0</v>
      </c>
      <c r="D32" s="204">
        <v>0</v>
      </c>
      <c r="E32" s="204">
        <v>0</v>
      </c>
      <c r="F32" s="205">
        <v>1</v>
      </c>
      <c r="G32" s="55">
        <f>1</f>
        <v>1</v>
      </c>
      <c r="H32" s="55"/>
      <c r="I32" s="55">
        <v>1</v>
      </c>
      <c r="J32" s="55">
        <v>1</v>
      </c>
      <c r="K32" s="55">
        <f t="shared" ref="K32:K47" si="1">I32*0.95</f>
        <v>0.95</v>
      </c>
      <c r="L32" s="191">
        <f t="shared" ref="L32:L47" si="2">G32*(1+G32/$A$25*$A$26+(G32/$A$25*$A$27)^2)</f>
        <v>1.0000000005759999</v>
      </c>
      <c r="M32" s="136">
        <v>1</v>
      </c>
      <c r="N32" s="136">
        <v>3.0000000000000001E-3</v>
      </c>
      <c r="O32" s="65"/>
      <c r="P32" s="38"/>
      <c r="Q32">
        <v>2</v>
      </c>
      <c r="R32" s="50">
        <v>8.3531659999999999</v>
      </c>
      <c r="S32" s="42">
        <v>10756.520508</v>
      </c>
      <c r="T32" s="58">
        <v>9429.1201170000004</v>
      </c>
      <c r="U32" s="42">
        <v>8129.8520509999998</v>
      </c>
      <c r="V32" s="42">
        <v>6886.2514650000003</v>
      </c>
      <c r="W32" s="42">
        <v>5726.5712890000004</v>
      </c>
      <c r="X32" s="42">
        <v>4630.4599609999996</v>
      </c>
      <c r="Y32" s="42">
        <v>3644.366943</v>
      </c>
      <c r="Z32" s="42">
        <v>2793.6713869999999</v>
      </c>
      <c r="AA32" s="42">
        <v>2058.2614749999998</v>
      </c>
      <c r="AB32" s="42">
        <v>1445.200562</v>
      </c>
      <c r="AC32" s="197">
        <f t="shared" si="0"/>
        <v>10756.520508</v>
      </c>
      <c r="AD32" s="42"/>
      <c r="AE32" s="198"/>
    </row>
    <row r="33" spans="1:31" x14ac:dyDescent="0.4">
      <c r="A33" s="55">
        <v>10</v>
      </c>
      <c r="B33" s="57">
        <v>4.04</v>
      </c>
      <c r="C33" s="203">
        <f>B33</f>
        <v>4.04</v>
      </c>
      <c r="D33" s="204">
        <f t="shared" ref="D33:D47" si="3">C33*$A$22/1000</f>
        <v>4.04</v>
      </c>
      <c r="E33" s="204">
        <f t="shared" ref="E33:E47" si="4">D33/($A$14+C33/1000)</f>
        <v>0.31701093216907666</v>
      </c>
      <c r="F33" s="201">
        <f t="shared" ref="F33:F47" si="5">$A$13*E33</f>
        <v>1997.168872665183</v>
      </c>
      <c r="G33" s="201">
        <f>AD15</f>
        <v>2390.6996093999996</v>
      </c>
      <c r="H33" s="57">
        <f t="shared" ref="H33:H47" si="6">G33/F33</f>
        <v>1.1970442971152748</v>
      </c>
      <c r="I33" s="56">
        <f t="shared" ref="I33:I47" si="7">E33*$C$111</f>
        <v>2220.513476948091</v>
      </c>
      <c r="J33" s="57">
        <f t="shared" ref="J33:J47" si="8">G33/I33</f>
        <v>1.0766426928810247</v>
      </c>
      <c r="K33" s="56">
        <f t="shared" si="1"/>
        <v>2109.4878031006865</v>
      </c>
      <c r="L33" s="191">
        <f t="shared" si="2"/>
        <v>2398.5700222663395</v>
      </c>
      <c r="M33" s="136">
        <f t="shared" ref="M33:M47" si="9">L33/I33</f>
        <v>1.080187104094037</v>
      </c>
      <c r="N33" s="136">
        <v>1.2E-2</v>
      </c>
      <c r="O33" s="65"/>
      <c r="P33" s="38"/>
      <c r="Q33">
        <v>3</v>
      </c>
      <c r="R33" s="50">
        <v>8.3084220000000002</v>
      </c>
      <c r="S33" s="42">
        <v>10323.500977</v>
      </c>
      <c r="T33" s="58">
        <v>9029.1513670000004</v>
      </c>
      <c r="U33" s="42">
        <v>7791.3710940000001</v>
      </c>
      <c r="V33" s="42">
        <v>6588.9765619999998</v>
      </c>
      <c r="W33" s="42">
        <v>5462.7700199999999</v>
      </c>
      <c r="X33" s="42">
        <v>4420.4541019999997</v>
      </c>
      <c r="Y33" s="42">
        <v>3466.6027829999998</v>
      </c>
      <c r="Z33" s="42">
        <v>2627.695068</v>
      </c>
      <c r="AA33" s="42">
        <v>1916.489014</v>
      </c>
      <c r="AB33" s="42">
        <v>1362.8339840000001</v>
      </c>
      <c r="AC33" s="197">
        <f t="shared" si="0"/>
        <v>10323.500977</v>
      </c>
      <c r="AD33" s="42"/>
      <c r="AE33" s="198"/>
    </row>
    <row r="34" spans="1:31" x14ac:dyDescent="0.4">
      <c r="A34" s="55">
        <v>20</v>
      </c>
      <c r="B34" s="57">
        <v>4.04</v>
      </c>
      <c r="C34" s="203">
        <f t="shared" ref="C34:C47" si="10">C33+B34</f>
        <v>8.08</v>
      </c>
      <c r="D34" s="204">
        <f t="shared" si="3"/>
        <v>8.08</v>
      </c>
      <c r="E34" s="204">
        <f t="shared" si="4"/>
        <v>0.63382093617234914</v>
      </c>
      <c r="F34" s="201">
        <f t="shared" si="5"/>
        <v>3993.0718978857994</v>
      </c>
      <c r="G34" s="201">
        <f>AD20</f>
        <v>4695.9022462000003</v>
      </c>
      <c r="H34" s="57">
        <f t="shared" si="6"/>
        <v>1.1760124451268525</v>
      </c>
      <c r="I34" s="56">
        <f t="shared" si="7"/>
        <v>4439.61954596544</v>
      </c>
      <c r="J34" s="57">
        <f t="shared" si="8"/>
        <v>1.0577262753218257</v>
      </c>
      <c r="K34" s="56">
        <f t="shared" si="1"/>
        <v>4217.6385686671674</v>
      </c>
      <c r="L34" s="191">
        <f t="shared" si="2"/>
        <v>4755.5480130437827</v>
      </c>
      <c r="M34" s="136">
        <f t="shared" si="9"/>
        <v>1.0711611577990836</v>
      </c>
      <c r="N34" s="136">
        <v>2.3E-2</v>
      </c>
      <c r="O34" s="193"/>
      <c r="P34" s="38"/>
      <c r="Q34">
        <v>4</v>
      </c>
      <c r="R34" s="50">
        <v>8.3622840000000007</v>
      </c>
      <c r="S34" s="42">
        <v>10541.857421999999</v>
      </c>
      <c r="T34" s="58">
        <v>9257.8779300000006</v>
      </c>
      <c r="U34" s="42">
        <v>7972.2241210000002</v>
      </c>
      <c r="V34" s="42">
        <v>6745.1669920000004</v>
      </c>
      <c r="W34" s="42">
        <v>5603.4931640000004</v>
      </c>
      <c r="X34" s="42">
        <v>4524.123047</v>
      </c>
      <c r="Y34" s="42">
        <v>3532.8864749999998</v>
      </c>
      <c r="Z34" s="42">
        <v>2685.6298830000001</v>
      </c>
      <c r="AA34" s="42">
        <v>1971.1123050000001</v>
      </c>
      <c r="AB34" s="42">
        <v>1388.4963379999999</v>
      </c>
      <c r="AC34" s="197">
        <f t="shared" si="0"/>
        <v>10541.857421999999</v>
      </c>
      <c r="AD34" s="42"/>
      <c r="AE34" s="198"/>
    </row>
    <row r="35" spans="1:31" x14ac:dyDescent="0.4">
      <c r="A35" s="55">
        <v>30</v>
      </c>
      <c r="B35" s="57">
        <v>4.04</v>
      </c>
      <c r="C35" s="203">
        <f t="shared" si="10"/>
        <v>12.120000000000001</v>
      </c>
      <c r="D35" s="204">
        <f t="shared" si="3"/>
        <v>12.120000000000001</v>
      </c>
      <c r="E35" s="204">
        <f t="shared" si="4"/>
        <v>0.95043020297801473</v>
      </c>
      <c r="F35" s="201">
        <f t="shared" si="5"/>
        <v>5987.7102787614931</v>
      </c>
      <c r="G35" s="201">
        <f>AD25</f>
        <v>6657.1354492</v>
      </c>
      <c r="H35" s="57">
        <f t="shared" si="6"/>
        <v>1.1117998599252488</v>
      </c>
      <c r="I35" s="56">
        <f t="shared" si="7"/>
        <v>6657.3195446950513</v>
      </c>
      <c r="J35" s="57">
        <f t="shared" si="8"/>
        <v>0.99997234690421344</v>
      </c>
      <c r="K35" s="56">
        <f t="shared" si="1"/>
        <v>6324.4535674602985</v>
      </c>
      <c r="L35" s="191">
        <f t="shared" si="2"/>
        <v>6827.0711643905997</v>
      </c>
      <c r="M35" s="136">
        <f t="shared" si="9"/>
        <v>1.0254984935837752</v>
      </c>
      <c r="N35" s="136">
        <v>3.6999999999999998E-2</v>
      </c>
      <c r="O35" s="193"/>
      <c r="P35" s="38"/>
      <c r="Q35">
        <v>5</v>
      </c>
      <c r="R35" s="50">
        <v>8.3559870000000007</v>
      </c>
      <c r="S35" s="42">
        <v>10622.324219</v>
      </c>
      <c r="T35" s="58">
        <v>9287.1142579999996</v>
      </c>
      <c r="U35" s="42">
        <v>7989.8403319999998</v>
      </c>
      <c r="V35" s="42">
        <v>6773.1079099999997</v>
      </c>
      <c r="W35" s="42">
        <v>5624.7099609999996</v>
      </c>
      <c r="X35" s="42">
        <v>4545.6030270000001</v>
      </c>
      <c r="Y35" s="42">
        <v>3563.1938479999999</v>
      </c>
      <c r="Z35" s="42">
        <v>2713.0249020000001</v>
      </c>
      <c r="AA35" s="42">
        <v>1982.0520019999999</v>
      </c>
      <c r="AB35" s="42">
        <v>1399.4757079999999</v>
      </c>
      <c r="AC35" s="197">
        <f t="shared" si="0"/>
        <v>10622.324219</v>
      </c>
      <c r="AD35" s="42">
        <f>AVERAGE(AC31:AC35)</f>
        <v>10595.591211200001</v>
      </c>
      <c r="AE35" s="198">
        <f>(MAX(AC31:AC35)-MIN(AC31:AC35))/AD35*100</f>
        <v>4.0867897068573145</v>
      </c>
    </row>
    <row r="36" spans="1:31" x14ac:dyDescent="0.4">
      <c r="A36" s="55">
        <v>40</v>
      </c>
      <c r="B36" s="57">
        <v>4.04</v>
      </c>
      <c r="C36" s="203">
        <f t="shared" si="10"/>
        <v>16.16</v>
      </c>
      <c r="D36" s="204">
        <f t="shared" si="3"/>
        <v>16.16</v>
      </c>
      <c r="E36" s="204">
        <f t="shared" si="4"/>
        <v>1.2668389233123449</v>
      </c>
      <c r="F36" s="201">
        <f t="shared" si="5"/>
        <v>7981.0852168677729</v>
      </c>
      <c r="G36" s="201">
        <f>AD30</f>
        <v>8702.9433594000002</v>
      </c>
      <c r="H36" s="57">
        <f t="shared" si="6"/>
        <v>1.0904461138952135</v>
      </c>
      <c r="I36" s="56">
        <f t="shared" si="7"/>
        <v>8873.614809085353</v>
      </c>
      <c r="J36" s="57">
        <f t="shared" si="8"/>
        <v>0.98076641218293481</v>
      </c>
      <c r="K36" s="56">
        <f t="shared" si="1"/>
        <v>8429.9340686310843</v>
      </c>
      <c r="L36" s="191">
        <f t="shared" si="2"/>
        <v>9082.6261864607659</v>
      </c>
      <c r="M36" s="136">
        <f t="shared" si="9"/>
        <v>1.0235542540297573</v>
      </c>
      <c r="N36" s="136">
        <v>4.9000000000000002E-2</v>
      </c>
      <c r="O36" s="193"/>
      <c r="P36" s="38">
        <v>6</v>
      </c>
      <c r="Q36">
        <v>1</v>
      </c>
      <c r="R36" s="50">
        <v>7.8408759999999997</v>
      </c>
      <c r="S36" s="42">
        <v>12401.166015999999</v>
      </c>
      <c r="T36" s="58">
        <v>10950.307617</v>
      </c>
      <c r="U36" s="42">
        <v>9505.5712889999995</v>
      </c>
      <c r="V36" s="42">
        <v>8118.736328</v>
      </c>
      <c r="W36" s="42">
        <v>6792.9912109999996</v>
      </c>
      <c r="X36" s="42">
        <v>5545.8090819999998</v>
      </c>
      <c r="Y36" s="42">
        <v>4391.7290039999998</v>
      </c>
      <c r="Z36" s="42">
        <v>3377.8115229999999</v>
      </c>
      <c r="AA36" s="42">
        <v>2502.6540530000002</v>
      </c>
      <c r="AB36" s="42">
        <v>1771.868408</v>
      </c>
      <c r="AC36" s="197">
        <f t="shared" si="0"/>
        <v>12401.166015999999</v>
      </c>
      <c r="AD36" s="42"/>
      <c r="AE36" s="198"/>
    </row>
    <row r="37" spans="1:31" x14ac:dyDescent="0.4">
      <c r="A37" s="55">
        <v>50</v>
      </c>
      <c r="B37" s="57">
        <v>4.04</v>
      </c>
      <c r="C37" s="203">
        <f t="shared" si="10"/>
        <v>20.2</v>
      </c>
      <c r="D37" s="204">
        <f t="shared" si="3"/>
        <v>20.2</v>
      </c>
      <c r="E37" s="204">
        <f t="shared" si="4"/>
        <v>1.5830472876600679</v>
      </c>
      <c r="F37" s="201">
        <f t="shared" si="5"/>
        <v>9973.1979122584271</v>
      </c>
      <c r="G37" s="201">
        <f>AD35</f>
        <v>10595.591211200001</v>
      </c>
      <c r="H37" s="57">
        <f t="shared" si="6"/>
        <v>1.0624065925911854</v>
      </c>
      <c r="I37" s="56">
        <f t="shared" si="7"/>
        <v>11088.506673392872</v>
      </c>
      <c r="J37" s="57">
        <f t="shared" si="8"/>
        <v>0.95554717359952224</v>
      </c>
      <c r="K37" s="56">
        <f t="shared" si="1"/>
        <v>10534.081339723229</v>
      </c>
      <c r="L37" s="191">
        <f t="shared" si="2"/>
        <v>11280.760781213416</v>
      </c>
      <c r="M37" s="136">
        <f t="shared" si="9"/>
        <v>1.0173381424102725</v>
      </c>
      <c r="N37" s="136">
        <v>6.3E-2</v>
      </c>
      <c r="O37" s="193"/>
      <c r="P37" s="38"/>
      <c r="Q37">
        <v>2</v>
      </c>
      <c r="R37" s="50">
        <v>8.2227350000000001</v>
      </c>
      <c r="S37" s="42">
        <v>12746.001953000001</v>
      </c>
      <c r="T37" s="58">
        <v>11232.758789</v>
      </c>
      <c r="U37" s="42">
        <v>9701.2724610000005</v>
      </c>
      <c r="V37" s="42">
        <v>8251.1474610000005</v>
      </c>
      <c r="W37" s="42">
        <v>6893.205078</v>
      </c>
      <c r="X37" s="42">
        <v>5618.3251950000003</v>
      </c>
      <c r="Y37" s="42">
        <v>4424.3183589999999</v>
      </c>
      <c r="Z37" s="42">
        <v>3383.6672359999998</v>
      </c>
      <c r="AA37" s="42">
        <v>2491.6281739999999</v>
      </c>
      <c r="AB37" s="42">
        <v>1767.5383300000001</v>
      </c>
      <c r="AC37" s="197">
        <f t="shared" si="0"/>
        <v>12746.001953000001</v>
      </c>
      <c r="AD37" s="42"/>
      <c r="AE37" s="198"/>
    </row>
    <row r="38" spans="1:31" x14ac:dyDescent="0.4">
      <c r="A38" s="55">
        <v>60</v>
      </c>
      <c r="B38" s="57">
        <v>4.04</v>
      </c>
      <c r="C38" s="203">
        <f t="shared" si="10"/>
        <v>24.24</v>
      </c>
      <c r="D38" s="204">
        <f t="shared" si="3"/>
        <v>24.24</v>
      </c>
      <c r="E38" s="204">
        <f t="shared" si="4"/>
        <v>1.899055486264752</v>
      </c>
      <c r="F38" s="201">
        <f t="shared" si="5"/>
        <v>11964.049563467937</v>
      </c>
      <c r="G38" s="201">
        <f>AD40</f>
        <v>12469.3638672</v>
      </c>
      <c r="H38" s="57">
        <f t="shared" si="6"/>
        <v>1.0422360590409983</v>
      </c>
      <c r="I38" s="56">
        <f t="shared" si="7"/>
        <v>13301.996470184929</v>
      </c>
      <c r="J38" s="57">
        <f t="shared" si="8"/>
        <v>0.93740544099141876</v>
      </c>
      <c r="K38" s="56">
        <f t="shared" si="1"/>
        <v>12636.896646675683</v>
      </c>
      <c r="L38" s="191">
        <f t="shared" si="2"/>
        <v>13586.112367950431</v>
      </c>
      <c r="M38" s="136">
        <f t="shared" si="9"/>
        <v>1.0213588913816296</v>
      </c>
      <c r="N38" s="136">
        <v>7.8E-2</v>
      </c>
      <c r="O38" s="193"/>
      <c r="P38" s="38"/>
      <c r="Q38">
        <v>3</v>
      </c>
      <c r="R38" s="50">
        <v>8.1713850000000008</v>
      </c>
      <c r="S38" s="42">
        <v>12146.411133</v>
      </c>
      <c r="T38" s="58">
        <v>10689.375</v>
      </c>
      <c r="U38" s="42">
        <v>9277.7421880000002</v>
      </c>
      <c r="V38" s="42">
        <v>7907.7172849999997</v>
      </c>
      <c r="W38" s="42">
        <v>6612.3432620000003</v>
      </c>
      <c r="X38" s="42">
        <v>5365.0634769999997</v>
      </c>
      <c r="Y38" s="42">
        <v>4223.5190430000002</v>
      </c>
      <c r="Z38" s="42">
        <v>3241.9228520000001</v>
      </c>
      <c r="AA38" s="42">
        <v>2400.4499510000001</v>
      </c>
      <c r="AB38" s="42">
        <v>1695.551025</v>
      </c>
      <c r="AC38" s="197">
        <f t="shared" si="0"/>
        <v>12146.411133</v>
      </c>
      <c r="AD38" s="42"/>
      <c r="AE38" s="198"/>
    </row>
    <row r="39" spans="1:31" x14ac:dyDescent="0.4">
      <c r="A39" s="55">
        <v>70</v>
      </c>
      <c r="B39" s="57">
        <v>4.04</v>
      </c>
      <c r="C39" s="203">
        <f t="shared" si="10"/>
        <v>28.279999999999998</v>
      </c>
      <c r="D39" s="204">
        <f t="shared" si="3"/>
        <v>28.28</v>
      </c>
      <c r="E39" s="204">
        <f t="shared" si="4"/>
        <v>2.2148637091291858</v>
      </c>
      <c r="F39" s="201">
        <f t="shared" si="5"/>
        <v>13953.64136751387</v>
      </c>
      <c r="G39" s="201">
        <f>AD45</f>
        <v>14291.721093999999</v>
      </c>
      <c r="H39" s="57">
        <f t="shared" si="6"/>
        <v>1.0242287814042024</v>
      </c>
      <c r="I39" s="56">
        <f t="shared" si="7"/>
        <v>15514.08553034229</v>
      </c>
      <c r="J39" s="57">
        <f t="shared" si="8"/>
        <v>0.92120937879634579</v>
      </c>
      <c r="K39" s="56">
        <f t="shared" si="1"/>
        <v>14738.381253825175</v>
      </c>
      <c r="L39" s="191">
        <f t="shared" si="2"/>
        <v>15973.140595703841</v>
      </c>
      <c r="M39" s="136">
        <f t="shared" si="9"/>
        <v>1.0295895664919299</v>
      </c>
      <c r="N39" s="136">
        <v>9.6000000000000002E-2</v>
      </c>
      <c r="O39" s="193"/>
      <c r="P39" s="38"/>
      <c r="Q39">
        <v>4</v>
      </c>
      <c r="R39" s="50">
        <v>8.2208740000000002</v>
      </c>
      <c r="S39" s="42">
        <v>12523</v>
      </c>
      <c r="T39" s="58">
        <v>11039.824219</v>
      </c>
      <c r="U39" s="42">
        <v>9571.8535159999992</v>
      </c>
      <c r="V39" s="42">
        <v>8137.8208009999998</v>
      </c>
      <c r="W39" s="42">
        <v>6798.060547</v>
      </c>
      <c r="X39" s="42">
        <v>5521.7973629999997</v>
      </c>
      <c r="Y39" s="42">
        <v>4360.2421880000002</v>
      </c>
      <c r="Z39" s="42">
        <v>3322.03125</v>
      </c>
      <c r="AA39" s="42">
        <v>2451.0776369999999</v>
      </c>
      <c r="AB39" s="42">
        <v>1735.460327</v>
      </c>
      <c r="AC39" s="197">
        <f t="shared" si="0"/>
        <v>12523</v>
      </c>
      <c r="AD39" s="42"/>
      <c r="AE39" s="198"/>
    </row>
    <row r="40" spans="1:31" x14ac:dyDescent="0.4">
      <c r="A40" s="55">
        <v>80</v>
      </c>
      <c r="B40" s="57">
        <v>4.04</v>
      </c>
      <c r="C40" s="203">
        <f t="shared" si="10"/>
        <v>32.32</v>
      </c>
      <c r="D40" s="204">
        <f t="shared" si="3"/>
        <v>32.32</v>
      </c>
      <c r="E40" s="204">
        <f t="shared" si="4"/>
        <v>2.5304721460157591</v>
      </c>
      <c r="F40" s="201">
        <f t="shared" si="5"/>
        <v>15941.974519899282</v>
      </c>
      <c r="G40" s="201">
        <f>AD50</f>
        <v>15812.914258000001</v>
      </c>
      <c r="H40" s="57">
        <f t="shared" si="6"/>
        <v>0.99190437409505428</v>
      </c>
      <c r="I40" s="56">
        <f t="shared" si="7"/>
        <v>17724.77518306184</v>
      </c>
      <c r="J40" s="57">
        <f t="shared" si="8"/>
        <v>0.89213623838293576</v>
      </c>
      <c r="K40" s="56">
        <f t="shared" si="1"/>
        <v>16838.536423908747</v>
      </c>
      <c r="L40" s="191">
        <f t="shared" si="2"/>
        <v>18090.413450436277</v>
      </c>
      <c r="M40" s="136">
        <f t="shared" si="9"/>
        <v>1.0206286547275278</v>
      </c>
      <c r="N40" s="136">
        <v>0.109</v>
      </c>
      <c r="O40" s="193"/>
      <c r="P40" s="38"/>
      <c r="Q40">
        <v>5</v>
      </c>
      <c r="R40" s="50">
        <v>8.2252220000000005</v>
      </c>
      <c r="S40" s="42">
        <v>12530.240234000001</v>
      </c>
      <c r="T40" s="58">
        <v>11038.972656</v>
      </c>
      <c r="U40" s="42">
        <v>9539.9257809999999</v>
      </c>
      <c r="V40" s="42">
        <v>8121.8481449999999</v>
      </c>
      <c r="W40" s="42">
        <v>6771.732422</v>
      </c>
      <c r="X40" s="42">
        <v>5493.2260740000002</v>
      </c>
      <c r="Y40" s="42">
        <v>4336.6611329999996</v>
      </c>
      <c r="Z40" s="42">
        <v>3328.1777339999999</v>
      </c>
      <c r="AA40" s="42">
        <v>2452.3352049999999</v>
      </c>
      <c r="AB40" s="42">
        <v>1739.5275879999999</v>
      </c>
      <c r="AC40" s="197">
        <f t="shared" si="0"/>
        <v>12530.240234000001</v>
      </c>
      <c r="AD40" s="42">
        <f>AVERAGE(AC36:AC40)</f>
        <v>12469.3638672</v>
      </c>
      <c r="AE40" s="198">
        <f>(MAX(AC36:AC40)-MIN(AC36:AC40))/AD40*100</f>
        <v>4.8085116962316992</v>
      </c>
    </row>
    <row r="41" spans="1:31" x14ac:dyDescent="0.4">
      <c r="A41" s="55">
        <v>90</v>
      </c>
      <c r="B41" s="57">
        <v>4.04</v>
      </c>
      <c r="C41" s="203">
        <f t="shared" si="10"/>
        <v>36.36</v>
      </c>
      <c r="D41" s="204">
        <f t="shared" si="3"/>
        <v>36.36</v>
      </c>
      <c r="E41" s="204">
        <f t="shared" si="4"/>
        <v>2.845880986446844</v>
      </c>
      <c r="F41" s="201">
        <f t="shared" si="5"/>
        <v>17929.050214615116</v>
      </c>
      <c r="G41" s="201">
        <f>AD55</f>
        <v>17216.896874999999</v>
      </c>
      <c r="H41" s="57">
        <f>G41/F41</f>
        <v>0.96027936052995178</v>
      </c>
      <c r="I41" s="56">
        <f t="shared" si="7"/>
        <v>19934.066755859254</v>
      </c>
      <c r="J41" s="57">
        <f>G41/I41</f>
        <v>0.86369214500294611</v>
      </c>
      <c r="K41" s="56">
        <f t="shared" si="1"/>
        <v>18937.363418066292</v>
      </c>
      <c r="L41" s="191">
        <f t="shared" si="2"/>
        <v>20156.489288577817</v>
      </c>
      <c r="M41" s="136">
        <f t="shared" si="9"/>
        <v>1.0111579104977757</v>
      </c>
      <c r="N41" s="136">
        <v>0.123</v>
      </c>
      <c r="O41" s="193"/>
      <c r="P41" s="38">
        <v>7</v>
      </c>
      <c r="Q41">
        <v>1</v>
      </c>
      <c r="R41" s="50">
        <v>7.7083019999999998</v>
      </c>
      <c r="S41" s="42">
        <v>14339.085938</v>
      </c>
      <c r="T41" s="58">
        <v>12707.079102</v>
      </c>
      <c r="U41" s="42">
        <v>11089.342773</v>
      </c>
      <c r="V41" s="42">
        <v>9501.7041019999997</v>
      </c>
      <c r="W41" s="42">
        <v>7987.4921880000002</v>
      </c>
      <c r="X41" s="42">
        <v>6537.8862300000001</v>
      </c>
      <c r="Y41" s="42">
        <v>5221.1240230000003</v>
      </c>
      <c r="Z41" s="42">
        <v>4038.3732909999999</v>
      </c>
      <c r="AA41" s="42">
        <v>3007.406982</v>
      </c>
      <c r="AB41" s="42">
        <v>2142.625</v>
      </c>
      <c r="AC41" s="197">
        <f t="shared" si="0"/>
        <v>14339.085938</v>
      </c>
      <c r="AD41" s="42"/>
      <c r="AE41" s="198"/>
    </row>
    <row r="42" spans="1:31" x14ac:dyDescent="0.4">
      <c r="A42" s="55">
        <v>100</v>
      </c>
      <c r="B42" s="57">
        <v>4.04</v>
      </c>
      <c r="C42" s="203">
        <f t="shared" si="10"/>
        <v>40.4</v>
      </c>
      <c r="D42" s="204">
        <f t="shared" si="3"/>
        <v>40.4</v>
      </c>
      <c r="E42" s="204">
        <f t="shared" si="4"/>
        <v>3.1610904197051735</v>
      </c>
      <c r="F42" s="201">
        <f t="shared" si="5"/>
        <v>19914.869644142593</v>
      </c>
      <c r="G42" s="201">
        <f>AD60</f>
        <v>18637.5695314</v>
      </c>
      <c r="H42" s="57">
        <f>G42/F42</f>
        <v>0.93586198978117463</v>
      </c>
      <c r="I42" s="56">
        <f t="shared" si="7"/>
        <v>22141.961574571647</v>
      </c>
      <c r="J42" s="57">
        <f>G42/I42</f>
        <v>0.84173073233059104</v>
      </c>
      <c r="K42" s="56">
        <f t="shared" si="1"/>
        <v>21034.863495843063</v>
      </c>
      <c r="L42" s="191">
        <f t="shared" si="2"/>
        <v>22366.551758892947</v>
      </c>
      <c r="M42" s="136">
        <f t="shared" si="9"/>
        <v>1.0101431927593634</v>
      </c>
      <c r="N42" s="136">
        <v>0.14299999999999999</v>
      </c>
      <c r="O42" s="193"/>
      <c r="P42" s="38"/>
      <c r="Q42">
        <v>2</v>
      </c>
      <c r="R42" s="50">
        <v>8.0764340000000008</v>
      </c>
      <c r="S42" s="42">
        <v>14356.335938</v>
      </c>
      <c r="T42" s="58">
        <v>12724.550781</v>
      </c>
      <c r="U42" s="42">
        <v>11069.365234000001</v>
      </c>
      <c r="V42" s="42">
        <v>9475.2216800000006</v>
      </c>
      <c r="W42" s="42">
        <v>7943.3569340000004</v>
      </c>
      <c r="X42" s="42">
        <v>6498.0410160000001</v>
      </c>
      <c r="Y42" s="42">
        <v>5178.6469729999999</v>
      </c>
      <c r="Z42" s="42">
        <v>3981.5839839999999</v>
      </c>
      <c r="AA42" s="42">
        <v>2945.483154</v>
      </c>
      <c r="AB42" s="42">
        <v>2091.8884280000002</v>
      </c>
      <c r="AC42" s="197">
        <f t="shared" si="0"/>
        <v>14356.335938</v>
      </c>
      <c r="AD42" s="42"/>
      <c r="AE42" s="198"/>
    </row>
    <row r="43" spans="1:31" x14ac:dyDescent="0.4">
      <c r="A43" s="55">
        <v>110</v>
      </c>
      <c r="B43" s="57">
        <v>4.04</v>
      </c>
      <c r="C43" s="203">
        <f t="shared" si="10"/>
        <v>44.44</v>
      </c>
      <c r="D43" s="204">
        <f t="shared" si="3"/>
        <v>44.44</v>
      </c>
      <c r="E43" s="204">
        <f t="shared" si="4"/>
        <v>3.47610063483422</v>
      </c>
      <c r="F43" s="201">
        <f t="shared" si="5"/>
        <v>21899.433999455585</v>
      </c>
      <c r="G43" s="201">
        <f>AD65</f>
        <v>19836.311718599998</v>
      </c>
      <c r="H43" s="57">
        <f t="shared" si="6"/>
        <v>0.90579106834875844</v>
      </c>
      <c r="I43" s="56">
        <f t="shared" si="7"/>
        <v>24348.460963360227</v>
      </c>
      <c r="J43" s="57">
        <f t="shared" si="8"/>
        <v>0.81468441674608716</v>
      </c>
      <c r="K43" s="56">
        <f t="shared" si="1"/>
        <v>23131.037915192213</v>
      </c>
      <c r="L43" s="191">
        <f t="shared" si="2"/>
        <v>24332.093847828419</v>
      </c>
      <c r="M43" s="136">
        <f t="shared" si="9"/>
        <v>0.99932779671140459</v>
      </c>
      <c r="N43" s="136">
        <v>0.156</v>
      </c>
      <c r="O43" s="193"/>
      <c r="P43" s="38"/>
      <c r="Q43">
        <v>3</v>
      </c>
      <c r="R43" s="50">
        <v>8.0243699999999993</v>
      </c>
      <c r="S43" s="42">
        <v>14306.542969</v>
      </c>
      <c r="T43" s="58">
        <v>12663.921875</v>
      </c>
      <c r="U43" s="42">
        <v>11018.434569999999</v>
      </c>
      <c r="V43" s="42">
        <v>9444.4794920000004</v>
      </c>
      <c r="W43" s="42">
        <v>7927.7250979999999</v>
      </c>
      <c r="X43" s="42">
        <v>6478.0161129999997</v>
      </c>
      <c r="Y43" s="42">
        <v>5138.5961909999996</v>
      </c>
      <c r="Z43" s="42">
        <v>3964.2985840000001</v>
      </c>
      <c r="AA43" s="42">
        <v>2953.0043949999999</v>
      </c>
      <c r="AB43" s="42">
        <v>2112.9384770000001</v>
      </c>
      <c r="AC43" s="197">
        <f t="shared" si="0"/>
        <v>14306.542969</v>
      </c>
      <c r="AD43" s="42"/>
      <c r="AE43" s="198"/>
    </row>
    <row r="44" spans="1:31" x14ac:dyDescent="0.4">
      <c r="A44" s="55">
        <v>120</v>
      </c>
      <c r="B44" s="57">
        <v>4.04</v>
      </c>
      <c r="C44" s="203">
        <f t="shared" si="10"/>
        <v>48.48</v>
      </c>
      <c r="D44" s="204">
        <f t="shared" si="3"/>
        <v>48.48</v>
      </c>
      <c r="E44" s="204">
        <f t="shared" si="4"/>
        <v>3.7909118206385743</v>
      </c>
      <c r="F44" s="201">
        <f t="shared" si="5"/>
        <v>23882.744470023019</v>
      </c>
      <c r="G44" s="201">
        <f>AD70</f>
        <v>21232.237500199997</v>
      </c>
      <c r="H44" s="57">
        <f t="shared" si="6"/>
        <v>0.88902000047984986</v>
      </c>
      <c r="I44" s="56">
        <f t="shared" si="7"/>
        <v>26553.56624471294</v>
      </c>
      <c r="J44" s="57">
        <f t="shared" si="8"/>
        <v>0.79960022335709924</v>
      </c>
      <c r="K44" s="56">
        <f t="shared" si="1"/>
        <v>25225.887932477293</v>
      </c>
      <c r="L44" s="191">
        <f t="shared" si="2"/>
        <v>26745.51400377302</v>
      </c>
      <c r="M44" s="136">
        <f t="shared" si="9"/>
        <v>1.0072286998021707</v>
      </c>
      <c r="N44" s="136">
        <v>0.17799999999999999</v>
      </c>
      <c r="O44" s="193"/>
      <c r="P44" s="38"/>
      <c r="Q44">
        <v>4</v>
      </c>
      <c r="R44" s="50">
        <v>8.0772870000000001</v>
      </c>
      <c r="S44" s="42">
        <v>14212.322265999999</v>
      </c>
      <c r="T44" s="58">
        <v>12586.157227</v>
      </c>
      <c r="U44" s="42">
        <v>10941.668944999999</v>
      </c>
      <c r="V44" s="42">
        <v>9339.7695309999999</v>
      </c>
      <c r="W44" s="42">
        <v>7827.5048829999996</v>
      </c>
      <c r="X44" s="42">
        <v>6374.5415039999998</v>
      </c>
      <c r="Y44" s="42">
        <v>5042.90625</v>
      </c>
      <c r="Z44" s="42">
        <v>3871.5971679999998</v>
      </c>
      <c r="AA44" s="42">
        <v>2858.1379390000002</v>
      </c>
      <c r="AB44" s="42">
        <v>2024.5660399999999</v>
      </c>
      <c r="AC44" s="197">
        <f t="shared" si="0"/>
        <v>14212.322265999999</v>
      </c>
      <c r="AD44" s="42"/>
      <c r="AE44" s="198"/>
    </row>
    <row r="45" spans="1:31" x14ac:dyDescent="0.4">
      <c r="A45" s="55">
        <v>130</v>
      </c>
      <c r="B45" s="57">
        <v>4.04</v>
      </c>
      <c r="C45" s="203">
        <f t="shared" si="10"/>
        <v>52.519999999999996</v>
      </c>
      <c r="D45" s="204">
        <f t="shared" si="3"/>
        <v>52.52</v>
      </c>
      <c r="E45" s="204">
        <f t="shared" si="4"/>
        <v>4.1055241656843222</v>
      </c>
      <c r="F45" s="201">
        <f t="shared" si="5"/>
        <v>25864.802243811231</v>
      </c>
      <c r="G45" s="201">
        <f>AD75</f>
        <v>22068.1945314</v>
      </c>
      <c r="H45" s="57">
        <f t="shared" si="6"/>
        <v>0.85321334852580755</v>
      </c>
      <c r="I45" s="56">
        <f t="shared" si="7"/>
        <v>28757.278739447127</v>
      </c>
      <c r="J45" s="57">
        <f t="shared" si="8"/>
        <v>0.76739509086888913</v>
      </c>
      <c r="K45" s="56">
        <f t="shared" si="1"/>
        <v>27319.41480247477</v>
      </c>
      <c r="L45" s="191">
        <f t="shared" si="2"/>
        <v>28258.654139981289</v>
      </c>
      <c r="M45" s="136">
        <f t="shared" si="9"/>
        <v>0.98266092546573747</v>
      </c>
      <c r="N45" s="136">
        <v>0.188</v>
      </c>
      <c r="O45" s="193"/>
      <c r="P45" s="38"/>
      <c r="Q45">
        <v>5</v>
      </c>
      <c r="R45" s="50">
        <v>8.0858910000000002</v>
      </c>
      <c r="S45" s="42">
        <v>14244.318359000001</v>
      </c>
      <c r="T45" s="58">
        <v>12597.870117</v>
      </c>
      <c r="U45" s="42">
        <v>10947.463867</v>
      </c>
      <c r="V45" s="42">
        <v>9353.2060550000006</v>
      </c>
      <c r="W45" s="42">
        <v>7823.2568359999996</v>
      </c>
      <c r="X45" s="42">
        <v>6388.4116210000002</v>
      </c>
      <c r="Y45" s="42">
        <v>5069.3242190000001</v>
      </c>
      <c r="Z45" s="42">
        <v>3901.3635250000002</v>
      </c>
      <c r="AA45" s="42">
        <v>2899.0002439999998</v>
      </c>
      <c r="AB45" s="42">
        <v>2061.7395019999999</v>
      </c>
      <c r="AC45" s="197">
        <f t="shared" si="0"/>
        <v>14244.318359000001</v>
      </c>
      <c r="AD45" s="42">
        <f>AVERAGE(AC41:AC45)</f>
        <v>14291.721093999999</v>
      </c>
      <c r="AE45" s="198">
        <f>(MAX(AC41:AC45)-MIN(AC41:AC45))/AD45*100</f>
        <v>1.0076720015230447</v>
      </c>
    </row>
    <row r="46" spans="1:31" x14ac:dyDescent="0.4">
      <c r="A46" s="59">
        <v>140</v>
      </c>
      <c r="B46" s="57">
        <v>4.04</v>
      </c>
      <c r="C46" s="206">
        <f t="shared" si="10"/>
        <v>56.559999999999995</v>
      </c>
      <c r="D46" s="207">
        <f t="shared" si="3"/>
        <v>56.56</v>
      </c>
      <c r="E46" s="207">
        <f t="shared" si="4"/>
        <v>4.4199378582994182</v>
      </c>
      <c r="F46" s="201">
        <f t="shared" si="5"/>
        <v>27845.608507286335</v>
      </c>
      <c r="G46" s="202">
        <f>AD80</f>
        <v>23504.204687199999</v>
      </c>
      <c r="H46" s="61">
        <f t="shared" si="6"/>
        <v>0.84409017964357558</v>
      </c>
      <c r="I46" s="60">
        <f t="shared" si="7"/>
        <v>30959.599766712126</v>
      </c>
      <c r="J46" s="61">
        <f t="shared" si="8"/>
        <v>0.75918955232980123</v>
      </c>
      <c r="K46" s="60">
        <f t="shared" si="1"/>
        <v>29411.61977837652</v>
      </c>
      <c r="L46" s="191">
        <f t="shared" si="2"/>
        <v>30983.473887706379</v>
      </c>
      <c r="M46" s="136">
        <f t="shared" si="9"/>
        <v>1.0007711379079236</v>
      </c>
      <c r="N46" s="136">
        <v>0.20799999999999999</v>
      </c>
      <c r="O46" s="193"/>
      <c r="P46" s="38">
        <v>8</v>
      </c>
      <c r="Q46">
        <v>1</v>
      </c>
      <c r="R46" s="50">
        <v>7.5167890000000002</v>
      </c>
      <c r="S46" s="42">
        <v>15855.306640999999</v>
      </c>
      <c r="T46" s="58">
        <v>14131.831055000001</v>
      </c>
      <c r="U46" s="42">
        <v>12393.988281</v>
      </c>
      <c r="V46" s="42">
        <v>10698.982421999999</v>
      </c>
      <c r="W46" s="42">
        <v>9021.1386719999991</v>
      </c>
      <c r="X46" s="42">
        <v>7419.125</v>
      </c>
      <c r="Y46" s="42">
        <v>5910.2358400000003</v>
      </c>
      <c r="Z46" s="42">
        <v>4577.486328</v>
      </c>
      <c r="AA46" s="42">
        <v>3401.1860350000002</v>
      </c>
      <c r="AB46" s="42">
        <v>2438.2751459999999</v>
      </c>
      <c r="AC46" s="197">
        <f t="shared" si="0"/>
        <v>15855.306640999999</v>
      </c>
      <c r="AD46" s="42"/>
      <c r="AE46" s="198"/>
    </row>
    <row r="47" spans="1:31" x14ac:dyDescent="0.4">
      <c r="A47" s="59">
        <v>150</v>
      </c>
      <c r="B47" s="57">
        <v>4.04</v>
      </c>
      <c r="C47" s="206">
        <f t="shared" si="10"/>
        <v>60.599999999999994</v>
      </c>
      <c r="D47" s="207">
        <f t="shared" si="3"/>
        <v>60.6</v>
      </c>
      <c r="E47" s="207">
        <f t="shared" si="4"/>
        <v>4.7341530865740662</v>
      </c>
      <c r="F47" s="201">
        <f t="shared" si="5"/>
        <v>29825.164445416616</v>
      </c>
      <c r="G47" s="202">
        <f>AD85</f>
        <v>24328.89453125</v>
      </c>
      <c r="H47" s="61">
        <f t="shared" si="6"/>
        <v>0.8157170290133553</v>
      </c>
      <c r="I47" s="60">
        <f t="shared" si="7"/>
        <v>33160.530643991937</v>
      </c>
      <c r="J47" s="61">
        <f t="shared" si="8"/>
        <v>0.73367024166297345</v>
      </c>
      <c r="K47" s="60">
        <f t="shared" si="1"/>
        <v>31502.504111792339</v>
      </c>
      <c r="L47" s="191">
        <f t="shared" si="2"/>
        <v>32623.383052753186</v>
      </c>
      <c r="M47" s="136">
        <f t="shared" si="9"/>
        <v>0.98380159844227122</v>
      </c>
      <c r="N47" s="136">
        <v>0.214</v>
      </c>
      <c r="O47" s="193"/>
      <c r="P47" s="38"/>
      <c r="Q47">
        <v>2</v>
      </c>
      <c r="R47" s="50">
        <v>7.9325989999999997</v>
      </c>
      <c r="S47" s="42">
        <v>15937.399414</v>
      </c>
      <c r="T47" s="58">
        <v>14185.262694999999</v>
      </c>
      <c r="U47" s="42">
        <v>12408.165039</v>
      </c>
      <c r="V47" s="42">
        <v>10687.417969</v>
      </c>
      <c r="W47" s="42">
        <v>9041.9296880000002</v>
      </c>
      <c r="X47" s="42">
        <v>7407.15625</v>
      </c>
      <c r="Y47" s="42">
        <v>5942.314453</v>
      </c>
      <c r="Z47" s="42">
        <v>4621.814453</v>
      </c>
      <c r="AA47" s="42">
        <v>3429.5190429999998</v>
      </c>
      <c r="AB47" s="42">
        <v>2446.6130370000001</v>
      </c>
      <c r="AC47" s="197">
        <f t="shared" si="0"/>
        <v>15937.399414</v>
      </c>
      <c r="AD47" s="42"/>
      <c r="AE47" s="198"/>
    </row>
    <row r="48" spans="1:31" x14ac:dyDescent="0.4">
      <c r="O48" s="193"/>
      <c r="P48" s="38"/>
      <c r="Q48">
        <v>3</v>
      </c>
      <c r="R48" s="50">
        <v>7.8878839999999997</v>
      </c>
      <c r="S48" s="42">
        <v>15836.694336</v>
      </c>
      <c r="T48" s="58">
        <v>14093.387694999999</v>
      </c>
      <c r="U48" s="42">
        <v>12327.133789</v>
      </c>
      <c r="V48" s="42">
        <v>10612.605469</v>
      </c>
      <c r="W48" s="42">
        <v>8935.3496090000008</v>
      </c>
      <c r="X48" s="42">
        <v>7339.484375</v>
      </c>
      <c r="Y48" s="42">
        <v>5851.6328119999998</v>
      </c>
      <c r="Z48" s="42">
        <v>4527.3232420000004</v>
      </c>
      <c r="AA48" s="42">
        <v>3384.1777339999999</v>
      </c>
      <c r="AB48" s="42">
        <v>2433.0988769999999</v>
      </c>
      <c r="AC48" s="197">
        <f t="shared" si="0"/>
        <v>15836.694336</v>
      </c>
      <c r="AD48" s="42"/>
      <c r="AE48" s="198"/>
    </row>
    <row r="49" spans="6:31" x14ac:dyDescent="0.4">
      <c r="O49" s="193"/>
      <c r="P49" s="38"/>
      <c r="Q49">
        <v>4</v>
      </c>
      <c r="R49" s="50">
        <v>7.9361119999999996</v>
      </c>
      <c r="S49" s="42">
        <v>15915.096680000001</v>
      </c>
      <c r="T49" s="58">
        <v>14173.942383</v>
      </c>
      <c r="U49" s="42">
        <v>12386.039062</v>
      </c>
      <c r="V49" s="42">
        <v>10655.720703000001</v>
      </c>
      <c r="W49" s="42">
        <v>8980.7197269999997</v>
      </c>
      <c r="X49" s="42">
        <v>7351.3325199999999</v>
      </c>
      <c r="Y49" s="42">
        <v>5859.0400390000004</v>
      </c>
      <c r="Z49" s="42">
        <v>4545.8027339999999</v>
      </c>
      <c r="AA49" s="42">
        <v>3371.6760250000002</v>
      </c>
      <c r="AB49" s="42">
        <v>2409.9960940000001</v>
      </c>
      <c r="AC49" s="197">
        <f t="shared" si="0"/>
        <v>15915.096680000001</v>
      </c>
      <c r="AD49" s="42"/>
      <c r="AE49" s="198"/>
    </row>
    <row r="50" spans="6:31" x14ac:dyDescent="0.4">
      <c r="F50" s="42"/>
      <c r="M50" s="46"/>
      <c r="P50" s="38"/>
      <c r="Q50">
        <v>5</v>
      </c>
      <c r="R50" s="50">
        <v>7.9335959999999996</v>
      </c>
      <c r="S50" s="42">
        <v>15520.074219</v>
      </c>
      <c r="T50" s="58">
        <v>13802.442383</v>
      </c>
      <c r="U50" s="42">
        <v>12048.129883</v>
      </c>
      <c r="V50" s="42">
        <v>10356.589844</v>
      </c>
      <c r="W50" s="42">
        <v>8713.3251949999994</v>
      </c>
      <c r="X50" s="42">
        <v>7133.8393550000001</v>
      </c>
      <c r="Y50" s="42">
        <v>5682.794922</v>
      </c>
      <c r="Z50" s="42">
        <v>4401.6611329999996</v>
      </c>
      <c r="AA50" s="42">
        <v>3262.5810550000001</v>
      </c>
      <c r="AB50" s="42">
        <v>2326.9396969999998</v>
      </c>
      <c r="AC50" s="197">
        <f t="shared" si="0"/>
        <v>15520.074219</v>
      </c>
      <c r="AD50" s="42">
        <f>AVERAGE(AC46:AC50)</f>
        <v>15812.914258000001</v>
      </c>
      <c r="AE50" s="198">
        <f>(MAX(AC46:AC50)-MIN(AC46:AC50))/AD50*100</f>
        <v>2.6391415787818371</v>
      </c>
    </row>
    <row r="51" spans="6:31" x14ac:dyDescent="0.4">
      <c r="F51" s="42"/>
      <c r="P51" s="38">
        <v>9</v>
      </c>
      <c r="Q51">
        <v>1</v>
      </c>
      <c r="R51" s="50">
        <v>7.3839709999999998</v>
      </c>
      <c r="S51" s="42">
        <v>17436.28125</v>
      </c>
      <c r="T51" s="58">
        <v>15597.704102</v>
      </c>
      <c r="U51" s="42">
        <v>13744.771484000001</v>
      </c>
      <c r="V51" s="42">
        <v>11890.891602</v>
      </c>
      <c r="W51" s="42">
        <v>10106.350586</v>
      </c>
      <c r="X51" s="42">
        <v>8359.8642579999996</v>
      </c>
      <c r="Y51" s="42">
        <v>6708.720703</v>
      </c>
      <c r="Z51" s="42">
        <v>5240.8115230000003</v>
      </c>
      <c r="AA51" s="42">
        <v>3928.7802729999999</v>
      </c>
      <c r="AB51" s="42">
        <v>2831.1323240000002</v>
      </c>
      <c r="AC51" s="197">
        <f t="shared" si="0"/>
        <v>17436.28125</v>
      </c>
      <c r="AD51" s="42"/>
      <c r="AE51" s="198"/>
    </row>
    <row r="52" spans="6:31" x14ac:dyDescent="0.4">
      <c r="P52" s="38"/>
      <c r="Q52">
        <v>2</v>
      </c>
      <c r="R52" s="50">
        <v>7.7945140000000004</v>
      </c>
      <c r="S52" s="42">
        <v>17052.761718999998</v>
      </c>
      <c r="T52" s="58">
        <v>15246.107421999999</v>
      </c>
      <c r="U52" s="42">
        <v>13399.808594</v>
      </c>
      <c r="V52" s="42">
        <v>11597.772461</v>
      </c>
      <c r="W52" s="42">
        <v>9834.609375</v>
      </c>
      <c r="X52" s="42">
        <v>8095.1806640000004</v>
      </c>
      <c r="Y52" s="42">
        <v>6501.8803710000002</v>
      </c>
      <c r="Z52" s="42">
        <v>5053.2978519999997</v>
      </c>
      <c r="AA52" s="42">
        <v>3775.0910640000002</v>
      </c>
      <c r="AB52" s="42">
        <v>2700.1042480000001</v>
      </c>
      <c r="AC52" s="197">
        <f t="shared" si="0"/>
        <v>17052.761718999998</v>
      </c>
      <c r="AD52" s="42"/>
      <c r="AE52" s="198"/>
    </row>
    <row r="53" spans="6:31" x14ac:dyDescent="0.4">
      <c r="P53" s="38"/>
      <c r="Q53">
        <v>3</v>
      </c>
      <c r="R53" s="50">
        <v>7.7384599999999999</v>
      </c>
      <c r="S53" s="42">
        <v>16808.771484000001</v>
      </c>
      <c r="T53" s="58">
        <v>15013.839844</v>
      </c>
      <c r="U53" s="42">
        <v>13215.291015999999</v>
      </c>
      <c r="V53" s="42">
        <v>11420.230469</v>
      </c>
      <c r="W53" s="42">
        <v>9680.4785159999992</v>
      </c>
      <c r="X53" s="42">
        <v>7974.0668949999999</v>
      </c>
      <c r="Y53" s="42">
        <v>6399.9814450000003</v>
      </c>
      <c r="Z53" s="42">
        <v>4976.9589839999999</v>
      </c>
      <c r="AA53" s="42">
        <v>3721.670654</v>
      </c>
      <c r="AB53" s="42">
        <v>2681.54126</v>
      </c>
      <c r="AC53" s="197">
        <f t="shared" si="0"/>
        <v>16808.771484000001</v>
      </c>
      <c r="AD53" s="42"/>
      <c r="AE53" s="198"/>
    </row>
    <row r="54" spans="6:31" x14ac:dyDescent="0.4">
      <c r="P54" s="38"/>
      <c r="Q54">
        <v>4</v>
      </c>
      <c r="R54" s="50">
        <v>7.7974909999999999</v>
      </c>
      <c r="S54" s="42">
        <v>17532.5625</v>
      </c>
      <c r="T54" s="58">
        <v>15692.611328000001</v>
      </c>
      <c r="U54" s="42">
        <v>13824.318359000001</v>
      </c>
      <c r="V54" s="42">
        <v>11951.920898</v>
      </c>
      <c r="W54" s="42">
        <v>10123.640625</v>
      </c>
      <c r="X54" s="42">
        <v>8337.5537110000005</v>
      </c>
      <c r="Y54" s="42">
        <v>6643.4189450000003</v>
      </c>
      <c r="Z54" s="42">
        <v>5159.2236329999996</v>
      </c>
      <c r="AA54" s="42">
        <v>3850.7258299999999</v>
      </c>
      <c r="AB54" s="42">
        <v>2765.8896479999999</v>
      </c>
      <c r="AC54" s="197">
        <f t="shared" si="0"/>
        <v>17532.5625</v>
      </c>
      <c r="AD54" s="42"/>
      <c r="AE54" s="198"/>
    </row>
    <row r="55" spans="6:31" x14ac:dyDescent="0.4">
      <c r="P55" s="38"/>
      <c r="Q55">
        <v>5</v>
      </c>
      <c r="R55" s="50">
        <v>7.8012730000000001</v>
      </c>
      <c r="S55" s="42">
        <v>17254.107422000001</v>
      </c>
      <c r="T55" s="58">
        <v>15411.971680000001</v>
      </c>
      <c r="U55" s="42">
        <v>13514.460938</v>
      </c>
      <c r="V55" s="42">
        <v>11655.405273</v>
      </c>
      <c r="W55" s="42">
        <v>9868.2617190000001</v>
      </c>
      <c r="X55" s="42">
        <v>8142.1328119999998</v>
      </c>
      <c r="Y55" s="42">
        <v>6529.1909180000002</v>
      </c>
      <c r="Z55" s="42">
        <v>5091.861328</v>
      </c>
      <c r="AA55" s="42">
        <v>3804.2509770000001</v>
      </c>
      <c r="AB55" s="42">
        <v>2740.3220209999999</v>
      </c>
      <c r="AC55" s="197">
        <f t="shared" si="0"/>
        <v>17254.107422000001</v>
      </c>
      <c r="AD55" s="42">
        <f>AVERAGE(AC51:AC55)</f>
        <v>17216.896874999999</v>
      </c>
      <c r="AE55" s="198">
        <f>(MAX(AC51:AC55)-MIN(AC51:AC55))/AD55*100</f>
        <v>4.2039574335314089</v>
      </c>
    </row>
    <row r="56" spans="6:31" x14ac:dyDescent="0.4">
      <c r="P56" s="38">
        <v>10</v>
      </c>
      <c r="Q56">
        <v>1</v>
      </c>
      <c r="R56" s="50">
        <v>7.298311</v>
      </c>
      <c r="S56" s="42">
        <v>18440.431640999999</v>
      </c>
      <c r="T56" s="58">
        <v>16589.591797000001</v>
      </c>
      <c r="U56" s="42">
        <v>14671.203125</v>
      </c>
      <c r="V56" s="42">
        <v>12749.525390999999</v>
      </c>
      <c r="W56" s="42">
        <v>10866.624023</v>
      </c>
      <c r="X56" s="42">
        <v>9022.9101559999999</v>
      </c>
      <c r="Y56" s="42">
        <v>7296.6201170000004</v>
      </c>
      <c r="Z56" s="42">
        <v>5723.5161129999997</v>
      </c>
      <c r="AA56" s="42">
        <v>4312.5048829999996</v>
      </c>
      <c r="AB56" s="42">
        <v>3111.6789549999999</v>
      </c>
      <c r="AC56" s="197">
        <f t="shared" si="0"/>
        <v>18440.431640999999</v>
      </c>
      <c r="AD56" s="42"/>
      <c r="AE56" s="198"/>
    </row>
    <row r="57" spans="6:31" x14ac:dyDescent="0.4">
      <c r="P57" s="38"/>
      <c r="Q57">
        <v>2</v>
      </c>
      <c r="R57" s="50">
        <v>7.6367789999999998</v>
      </c>
      <c r="S57" s="42">
        <v>18889.638672000001</v>
      </c>
      <c r="T57" s="58">
        <v>16976.005859000001</v>
      </c>
      <c r="U57" s="42">
        <v>15003.577148</v>
      </c>
      <c r="V57" s="42">
        <v>13039.921875</v>
      </c>
      <c r="W57" s="42">
        <v>11128.382812</v>
      </c>
      <c r="X57" s="42">
        <v>9219.4628909999992</v>
      </c>
      <c r="Y57" s="42">
        <v>7441.75</v>
      </c>
      <c r="Z57" s="42">
        <v>5816.4575199999999</v>
      </c>
      <c r="AA57" s="42">
        <v>4366.5004879999997</v>
      </c>
      <c r="AB57" s="42">
        <v>3139.6745609999998</v>
      </c>
      <c r="AC57" s="197">
        <f t="shared" si="0"/>
        <v>18889.638672000001</v>
      </c>
      <c r="AD57" s="42"/>
      <c r="AE57" s="198"/>
    </row>
    <row r="58" spans="6:31" x14ac:dyDescent="0.4">
      <c r="P58" s="38"/>
      <c r="Q58">
        <v>3</v>
      </c>
      <c r="R58" s="50">
        <v>7.599278</v>
      </c>
      <c r="S58" s="42">
        <v>18572.947265999999</v>
      </c>
      <c r="T58" s="58">
        <v>16668.556640999999</v>
      </c>
      <c r="U58" s="42">
        <v>14710.081055000001</v>
      </c>
      <c r="V58" s="42">
        <v>12779.634765999999</v>
      </c>
      <c r="W58" s="42">
        <v>10886.559569999999</v>
      </c>
      <c r="X58" s="42">
        <v>9007.3027340000008</v>
      </c>
      <c r="Y58" s="42">
        <v>7262.794922</v>
      </c>
      <c r="Z58" s="42">
        <v>5694.6196289999998</v>
      </c>
      <c r="AA58" s="42">
        <v>4279.6166990000002</v>
      </c>
      <c r="AB58" s="42">
        <v>3093.320068</v>
      </c>
      <c r="AC58" s="197">
        <f t="shared" si="0"/>
        <v>18572.947265999999</v>
      </c>
      <c r="AD58" s="42"/>
      <c r="AE58" s="198"/>
    </row>
    <row r="59" spans="6:31" x14ac:dyDescent="0.4">
      <c r="P59" s="38"/>
      <c r="Q59">
        <v>4</v>
      </c>
      <c r="R59" s="50">
        <v>7.646604</v>
      </c>
      <c r="S59" s="42">
        <v>19052.902343999998</v>
      </c>
      <c r="T59" s="58">
        <v>17086.146484000001</v>
      </c>
      <c r="U59" s="42">
        <v>15075.842773</v>
      </c>
      <c r="V59" s="42">
        <v>13081.624023</v>
      </c>
      <c r="W59" s="42">
        <v>11146.909180000001</v>
      </c>
      <c r="X59" s="42">
        <v>9226.4482420000004</v>
      </c>
      <c r="Y59" s="42">
        <v>7428.2646480000003</v>
      </c>
      <c r="Z59" s="42">
        <v>5778.5126950000003</v>
      </c>
      <c r="AA59" s="42">
        <v>4310.5410160000001</v>
      </c>
      <c r="AB59" s="42">
        <v>3096.2763669999999</v>
      </c>
      <c r="AC59" s="197">
        <f t="shared" si="0"/>
        <v>19052.902343999998</v>
      </c>
      <c r="AD59" s="42"/>
      <c r="AE59" s="198"/>
    </row>
    <row r="60" spans="6:31" x14ac:dyDescent="0.4">
      <c r="P60" s="38"/>
      <c r="Q60">
        <v>5</v>
      </c>
      <c r="R60" s="50">
        <v>7.6549230000000001</v>
      </c>
      <c r="S60" s="42">
        <v>18231.927734000001</v>
      </c>
      <c r="T60" s="58">
        <v>16357.316406</v>
      </c>
      <c r="U60" s="42">
        <v>14433.848633</v>
      </c>
      <c r="V60" s="42">
        <v>12522.006836</v>
      </c>
      <c r="W60" s="42">
        <v>10695.208984000001</v>
      </c>
      <c r="X60" s="42">
        <v>8825.0400389999995</v>
      </c>
      <c r="Y60" s="42">
        <v>7106.0151370000003</v>
      </c>
      <c r="Z60" s="42">
        <v>5565.4379879999997</v>
      </c>
      <c r="AA60" s="42">
        <v>4177.1811520000001</v>
      </c>
      <c r="AB60" s="42">
        <v>2997.4174800000001</v>
      </c>
      <c r="AC60" s="197">
        <f t="shared" si="0"/>
        <v>18231.927734000001</v>
      </c>
      <c r="AD60" s="42">
        <f>AVERAGE(AC56:AC60)</f>
        <v>18637.5695314</v>
      </c>
      <c r="AE60" s="198">
        <f>(MAX(AC56:AC60)-MIN(AC56:AC60))/AD60*100</f>
        <v>4.4049445858101022</v>
      </c>
    </row>
    <row r="61" spans="6:31" x14ac:dyDescent="0.4">
      <c r="P61" s="38">
        <v>11</v>
      </c>
      <c r="Q61">
        <v>1</v>
      </c>
      <c r="R61" s="50">
        <v>7.138935</v>
      </c>
      <c r="S61" s="42">
        <v>19909.132812</v>
      </c>
      <c r="T61" s="58">
        <v>17955.619140999999</v>
      </c>
      <c r="U61" s="42">
        <v>15939.772461</v>
      </c>
      <c r="V61" s="42">
        <v>13953.622069999999</v>
      </c>
      <c r="W61" s="42">
        <v>11936.234375</v>
      </c>
      <c r="X61" s="42">
        <v>9967.3125</v>
      </c>
      <c r="Y61" s="42">
        <v>8099.3872069999998</v>
      </c>
      <c r="Z61" s="42">
        <v>6374.7602539999998</v>
      </c>
      <c r="AA61" s="42">
        <v>4824.8090819999998</v>
      </c>
      <c r="AB61" s="42">
        <v>3496.5998540000001</v>
      </c>
      <c r="AC61" s="197">
        <f t="shared" si="0"/>
        <v>19909.132812</v>
      </c>
      <c r="AD61" s="42"/>
      <c r="AE61" s="198"/>
    </row>
    <row r="62" spans="6:31" x14ac:dyDescent="0.4">
      <c r="P62" s="38"/>
      <c r="Q62">
        <v>2</v>
      </c>
      <c r="R62" s="50">
        <v>7.5046049999999997</v>
      </c>
      <c r="S62" s="42">
        <v>19909.509765999999</v>
      </c>
      <c r="T62" s="58">
        <v>17948.179688</v>
      </c>
      <c r="U62" s="42">
        <v>15906.633789</v>
      </c>
      <c r="V62" s="42">
        <v>13853.494140999999</v>
      </c>
      <c r="W62" s="42">
        <v>11841.929688</v>
      </c>
      <c r="X62" s="42">
        <v>9846.7539059999999</v>
      </c>
      <c r="Y62" s="42">
        <v>7976.8359380000002</v>
      </c>
      <c r="Z62" s="42">
        <v>6254.9594729999999</v>
      </c>
      <c r="AA62" s="42">
        <v>4725.8984380000002</v>
      </c>
      <c r="AB62" s="42">
        <v>3420.9663089999999</v>
      </c>
      <c r="AC62" s="197">
        <f t="shared" si="0"/>
        <v>19909.509765999999</v>
      </c>
      <c r="AD62" s="42"/>
      <c r="AE62" s="198"/>
    </row>
    <row r="63" spans="6:31" x14ac:dyDescent="0.4">
      <c r="P63" s="38"/>
      <c r="Q63">
        <v>3</v>
      </c>
      <c r="R63" s="50">
        <v>7.4653280000000004</v>
      </c>
      <c r="S63" s="42">
        <v>20022.830077999999</v>
      </c>
      <c r="T63" s="58">
        <v>18057.210938</v>
      </c>
      <c r="U63" s="42">
        <v>16008.405273</v>
      </c>
      <c r="V63" s="42">
        <v>13987.329102</v>
      </c>
      <c r="W63" s="42">
        <v>11963.170898</v>
      </c>
      <c r="X63" s="42">
        <v>9955.0878909999992</v>
      </c>
      <c r="Y63" s="42">
        <v>8053.2294920000004</v>
      </c>
      <c r="Z63" s="42">
        <v>6300.1918949999999</v>
      </c>
      <c r="AA63" s="42">
        <v>4733.8842770000001</v>
      </c>
      <c r="AB63" s="42">
        <v>3444.992432</v>
      </c>
      <c r="AC63" s="197">
        <f t="shared" si="0"/>
        <v>20022.830077999999</v>
      </c>
      <c r="AD63" s="42"/>
      <c r="AE63" s="198"/>
    </row>
    <row r="64" spans="6:31" x14ac:dyDescent="0.4">
      <c r="P64" s="38"/>
      <c r="Q64">
        <v>4</v>
      </c>
      <c r="R64" s="50">
        <v>7.5189659999999998</v>
      </c>
      <c r="S64" s="42">
        <v>19626.501952999999</v>
      </c>
      <c r="T64" s="58">
        <v>17664.263672000001</v>
      </c>
      <c r="U64" s="42">
        <v>15649.625977</v>
      </c>
      <c r="V64" s="42">
        <v>13611.712890999999</v>
      </c>
      <c r="W64" s="42">
        <v>11623.407227</v>
      </c>
      <c r="X64" s="42">
        <v>9624.8613280000009</v>
      </c>
      <c r="Y64" s="42">
        <v>7783.1181640000004</v>
      </c>
      <c r="Z64" s="42">
        <v>6101.5039059999999</v>
      </c>
      <c r="AA64" s="42">
        <v>4601.5639650000003</v>
      </c>
      <c r="AB64" s="42">
        <v>3313.7536620000001</v>
      </c>
      <c r="AC64" s="197">
        <f t="shared" si="0"/>
        <v>19626.501952999999</v>
      </c>
      <c r="AD64" s="42"/>
      <c r="AE64" s="198"/>
    </row>
    <row r="65" spans="16:31" x14ac:dyDescent="0.4">
      <c r="P65" s="38"/>
      <c r="Q65">
        <v>5</v>
      </c>
      <c r="R65" s="50">
        <v>7.5147170000000001</v>
      </c>
      <c r="S65" s="42">
        <v>19713.583984000001</v>
      </c>
      <c r="T65" s="58">
        <v>17721.892577999999</v>
      </c>
      <c r="U65" s="42">
        <v>15683.359375</v>
      </c>
      <c r="V65" s="42">
        <v>13657.734375</v>
      </c>
      <c r="W65" s="42">
        <v>11685.337890999999</v>
      </c>
      <c r="X65" s="42">
        <v>9711.6103519999997</v>
      </c>
      <c r="Y65" s="42">
        <v>7852.9907229999999</v>
      </c>
      <c r="Z65" s="42">
        <v>6185.8618159999996</v>
      </c>
      <c r="AA65" s="42">
        <v>4670.9677730000003</v>
      </c>
      <c r="AB65" s="42">
        <v>3374.3122560000002</v>
      </c>
      <c r="AC65" s="197">
        <f t="shared" si="0"/>
        <v>19713.583984000001</v>
      </c>
      <c r="AD65" s="42">
        <f>AVERAGE(AC61:AC65)</f>
        <v>19836.311718599998</v>
      </c>
      <c r="AE65" s="198">
        <f>(MAX(AC61:AC65)-MIN(AC61:AC65))/AD65*100</f>
        <v>1.9979930272439372</v>
      </c>
    </row>
    <row r="66" spans="16:31" x14ac:dyDescent="0.4">
      <c r="P66" s="38">
        <v>12</v>
      </c>
      <c r="Q66">
        <v>1</v>
      </c>
      <c r="R66" s="50">
        <v>6.96997</v>
      </c>
      <c r="S66" s="42">
        <v>21158.339843999998</v>
      </c>
      <c r="T66" s="58">
        <v>19169.091797000001</v>
      </c>
      <c r="U66" s="42">
        <v>17080.990234000001</v>
      </c>
      <c r="V66" s="42">
        <v>14998.628906</v>
      </c>
      <c r="W66" s="42">
        <v>12898.046875</v>
      </c>
      <c r="X66" s="42">
        <v>10818.124023</v>
      </c>
      <c r="Y66" s="42">
        <v>8822.8496090000008</v>
      </c>
      <c r="Z66" s="42">
        <v>6971.3354490000002</v>
      </c>
      <c r="AA66" s="42">
        <v>5320.6826170000004</v>
      </c>
      <c r="AB66" s="42">
        <v>3880.217529</v>
      </c>
      <c r="AC66" s="197">
        <f t="shared" si="0"/>
        <v>21158.339843999998</v>
      </c>
      <c r="AD66" s="42"/>
      <c r="AE66" s="198"/>
    </row>
    <row r="67" spans="16:31" x14ac:dyDescent="0.4">
      <c r="P67" s="38"/>
      <c r="Q67">
        <v>2</v>
      </c>
      <c r="R67" s="50">
        <v>7.3591499999999996</v>
      </c>
      <c r="S67" s="42">
        <v>21430.056640999999</v>
      </c>
      <c r="T67" s="58">
        <v>19379.140625</v>
      </c>
      <c r="U67" s="42">
        <v>17265.308593999998</v>
      </c>
      <c r="V67" s="42">
        <v>15148.081055000001</v>
      </c>
      <c r="W67" s="42">
        <v>12995.115234000001</v>
      </c>
      <c r="X67" s="42">
        <v>10882.915039</v>
      </c>
      <c r="Y67" s="42">
        <v>8876.4326170000004</v>
      </c>
      <c r="Z67" s="42">
        <v>7017.1147460000002</v>
      </c>
      <c r="AA67" s="42">
        <v>5327.7890619999998</v>
      </c>
      <c r="AB67" s="42">
        <v>3889.7155760000001</v>
      </c>
      <c r="AC67" s="197">
        <f t="shared" si="0"/>
        <v>21430.056640999999</v>
      </c>
      <c r="AD67" s="42"/>
      <c r="AE67" s="198"/>
    </row>
    <row r="68" spans="16:31" x14ac:dyDescent="0.4">
      <c r="P68" s="38"/>
      <c r="Q68">
        <v>3</v>
      </c>
      <c r="R68" s="50">
        <v>7.3251939999999998</v>
      </c>
      <c r="S68" s="42">
        <v>21458.542968999998</v>
      </c>
      <c r="T68" s="58">
        <v>19417.642577999999</v>
      </c>
      <c r="U68" s="42">
        <v>17299.746093999998</v>
      </c>
      <c r="V68" s="42">
        <v>15121.237305000001</v>
      </c>
      <c r="W68" s="42">
        <v>12998.699219</v>
      </c>
      <c r="X68" s="42">
        <v>10857.323242</v>
      </c>
      <c r="Y68" s="42">
        <v>8808.3671880000002</v>
      </c>
      <c r="Z68" s="42">
        <v>6982.3403319999998</v>
      </c>
      <c r="AA68" s="42">
        <v>5278.0854490000002</v>
      </c>
      <c r="AB68" s="42">
        <v>3857.0991210000002</v>
      </c>
      <c r="AC68" s="197">
        <f t="shared" si="0"/>
        <v>21458.542968999998</v>
      </c>
      <c r="AD68" s="42"/>
      <c r="AE68" s="198"/>
    </row>
    <row r="69" spans="16:31" x14ac:dyDescent="0.4">
      <c r="P69" s="38"/>
      <c r="Q69">
        <v>4</v>
      </c>
      <c r="R69" s="50">
        <v>7.3685349999999996</v>
      </c>
      <c r="S69" s="42">
        <v>21295.685547000001</v>
      </c>
      <c r="T69" s="58">
        <v>19264.751952999999</v>
      </c>
      <c r="U69" s="42">
        <v>17135.292968999998</v>
      </c>
      <c r="V69" s="42">
        <v>14992.667969</v>
      </c>
      <c r="W69" s="42">
        <v>12871.893555000001</v>
      </c>
      <c r="X69" s="42">
        <v>10743.112305000001</v>
      </c>
      <c r="Y69" s="42">
        <v>8739.8652340000008</v>
      </c>
      <c r="Z69" s="42">
        <v>6895.2646480000003</v>
      </c>
      <c r="AA69" s="42">
        <v>5228.5834960000002</v>
      </c>
      <c r="AB69" s="42">
        <v>3784.6057129999999</v>
      </c>
      <c r="AC69" s="197">
        <f t="shared" si="0"/>
        <v>21295.685547000001</v>
      </c>
      <c r="AD69" s="42"/>
      <c r="AE69" s="198"/>
    </row>
    <row r="70" spans="16:31" x14ac:dyDescent="0.4">
      <c r="P70" s="38"/>
      <c r="Q70">
        <v>5</v>
      </c>
      <c r="R70" s="50">
        <v>7.3867729999999998</v>
      </c>
      <c r="S70" s="42">
        <v>20818.5625</v>
      </c>
      <c r="T70" s="58">
        <v>18823.103515999999</v>
      </c>
      <c r="U70" s="42">
        <v>16739.378906000002</v>
      </c>
      <c r="V70" s="42">
        <v>14625.331055000001</v>
      </c>
      <c r="W70" s="42">
        <v>12528.610352</v>
      </c>
      <c r="X70" s="42">
        <v>10463.026367</v>
      </c>
      <c r="Y70" s="42">
        <v>8466.6201170000004</v>
      </c>
      <c r="Z70" s="42">
        <v>6683.703125</v>
      </c>
      <c r="AA70" s="42">
        <v>5055.251953</v>
      </c>
      <c r="AB70" s="42">
        <v>3652.474365</v>
      </c>
      <c r="AC70" s="197">
        <f t="shared" ref="AC70:AC84" si="11">S70</f>
        <v>20818.5625</v>
      </c>
      <c r="AD70" s="42">
        <f>AVERAGE(AC66:AC70)</f>
        <v>21232.237500199997</v>
      </c>
      <c r="AE70" s="198">
        <f>(MAX(AC66:AC70)-MIN(AC66:AC70))/AD70*100</f>
        <v>3.0141923054222146</v>
      </c>
    </row>
    <row r="71" spans="16:31" x14ac:dyDescent="0.4">
      <c r="P71" s="38">
        <v>13</v>
      </c>
      <c r="Q71">
        <v>1</v>
      </c>
      <c r="R71" s="50">
        <v>6.8317699999999997</v>
      </c>
      <c r="S71" s="42">
        <v>22185.173827999999</v>
      </c>
      <c r="T71" s="58">
        <v>20171.492188</v>
      </c>
      <c r="U71" s="42">
        <v>18076.720702999999</v>
      </c>
      <c r="V71" s="42">
        <v>15945.501953000001</v>
      </c>
      <c r="W71" s="42">
        <v>13782.665039</v>
      </c>
      <c r="X71" s="42">
        <v>11580.747069999999</v>
      </c>
      <c r="Y71" s="42">
        <v>9514.0791019999997</v>
      </c>
      <c r="Z71" s="42">
        <v>7559.8271480000003</v>
      </c>
      <c r="AA71" s="42">
        <v>5773.6137699999999</v>
      </c>
      <c r="AB71" s="42">
        <v>4229.6503910000001</v>
      </c>
      <c r="AC71" s="197">
        <f t="shared" si="11"/>
        <v>22185.173827999999</v>
      </c>
      <c r="AD71" s="42"/>
      <c r="AE71" s="198"/>
    </row>
    <row r="72" spans="16:31" x14ac:dyDescent="0.4">
      <c r="P72" s="38"/>
      <c r="Q72">
        <v>2</v>
      </c>
      <c r="R72" s="50">
        <v>7.2198880000000001</v>
      </c>
      <c r="S72" s="42">
        <v>22189.541015999999</v>
      </c>
      <c r="T72" s="58">
        <v>20145.603515999999</v>
      </c>
      <c r="U72" s="42">
        <v>17998.617188</v>
      </c>
      <c r="V72" s="42">
        <v>15835.426758</v>
      </c>
      <c r="W72" s="42">
        <v>13668.217773</v>
      </c>
      <c r="X72" s="42">
        <v>11493.530273</v>
      </c>
      <c r="Y72" s="42">
        <v>9388.234375</v>
      </c>
      <c r="Z72" s="42">
        <v>7461.0576170000004</v>
      </c>
      <c r="AA72" s="42">
        <v>5681.6674800000001</v>
      </c>
      <c r="AB72" s="42">
        <v>4169.0400390000004</v>
      </c>
      <c r="AC72" s="197">
        <f t="shared" si="11"/>
        <v>22189.541015999999</v>
      </c>
      <c r="AD72" s="42"/>
      <c r="AE72" s="198"/>
    </row>
    <row r="73" spans="16:31" x14ac:dyDescent="0.4">
      <c r="P73" s="38"/>
      <c r="Q73">
        <v>3</v>
      </c>
      <c r="R73" s="50">
        <v>7.1964800000000002</v>
      </c>
      <c r="S73" s="42">
        <v>22050.917968999998</v>
      </c>
      <c r="T73" s="58">
        <v>19988.660156000002</v>
      </c>
      <c r="U73" s="42">
        <v>17856.367188</v>
      </c>
      <c r="V73" s="42">
        <v>15698.785156</v>
      </c>
      <c r="W73" s="42">
        <v>13554.959961</v>
      </c>
      <c r="X73" s="42">
        <v>11382.370117</v>
      </c>
      <c r="Y73" s="42">
        <v>9287.5957030000009</v>
      </c>
      <c r="Z73" s="42">
        <v>7378.6069340000004</v>
      </c>
      <c r="AA73" s="42">
        <v>5619.8305659999996</v>
      </c>
      <c r="AB73" s="42">
        <v>4104.3676759999998</v>
      </c>
      <c r="AC73" s="197">
        <f t="shared" si="11"/>
        <v>22050.917968999998</v>
      </c>
      <c r="AD73" s="42"/>
      <c r="AE73" s="198"/>
    </row>
    <row r="74" spans="16:31" x14ac:dyDescent="0.4">
      <c r="P74" s="38"/>
      <c r="Q74">
        <v>4</v>
      </c>
      <c r="R74" s="50">
        <v>7.2542390000000001</v>
      </c>
      <c r="S74" s="42">
        <v>22177.929688</v>
      </c>
      <c r="T74" s="58">
        <v>20130.4375</v>
      </c>
      <c r="U74" s="42">
        <v>17960.810547000001</v>
      </c>
      <c r="V74" s="42">
        <v>15778.637694999999</v>
      </c>
      <c r="W74" s="42">
        <v>13608.043944999999</v>
      </c>
      <c r="X74" s="42">
        <v>11428.904296999999</v>
      </c>
      <c r="Y74" s="42">
        <v>9308.2128909999992</v>
      </c>
      <c r="Z74" s="42">
        <v>7372.3793949999999</v>
      </c>
      <c r="AA74" s="42">
        <v>5602.3798829999996</v>
      </c>
      <c r="AB74" s="42">
        <v>4103.3940430000002</v>
      </c>
      <c r="AC74" s="197">
        <f t="shared" si="11"/>
        <v>22177.929688</v>
      </c>
      <c r="AD74" s="42"/>
      <c r="AE74" s="198"/>
    </row>
    <row r="75" spans="16:31" x14ac:dyDescent="0.4">
      <c r="P75" s="38"/>
      <c r="Q75">
        <v>5</v>
      </c>
      <c r="R75" s="50">
        <v>7.2284600000000001</v>
      </c>
      <c r="S75" s="42">
        <v>21737.410156000002</v>
      </c>
      <c r="T75" s="58">
        <v>19708.486327999999</v>
      </c>
      <c r="U75" s="42">
        <v>17597.248047000001</v>
      </c>
      <c r="V75" s="42">
        <v>15447.274414</v>
      </c>
      <c r="W75" s="42">
        <v>13341.431640999999</v>
      </c>
      <c r="X75" s="42">
        <v>11183.572265999999</v>
      </c>
      <c r="Y75" s="42">
        <v>9148.0068360000005</v>
      </c>
      <c r="Z75" s="42">
        <v>7272.0883789999998</v>
      </c>
      <c r="AA75" s="42">
        <v>5520.2631840000004</v>
      </c>
      <c r="AB75" s="42">
        <v>4032.9477539999998</v>
      </c>
      <c r="AC75" s="197">
        <f t="shared" si="11"/>
        <v>21737.410156000002</v>
      </c>
      <c r="AD75" s="42">
        <f>AVERAGE(AC71:AC75)</f>
        <v>22068.1945314</v>
      </c>
      <c r="AE75" s="198">
        <f>(MAX(AC71:AC75)-MIN(AC71:AC75))/AD75*100</f>
        <v>2.0487895344436882</v>
      </c>
    </row>
    <row r="76" spans="16:31" x14ac:dyDescent="0.4">
      <c r="P76" s="38">
        <v>14</v>
      </c>
      <c r="Q76">
        <v>1</v>
      </c>
      <c r="R76" s="50">
        <v>6.7118370000000001</v>
      </c>
      <c r="S76" s="42">
        <v>23405.664062</v>
      </c>
      <c r="T76" s="58">
        <v>21352.574218999998</v>
      </c>
      <c r="U76" s="42">
        <v>19218.285156000002</v>
      </c>
      <c r="V76" s="42">
        <v>16992.367188</v>
      </c>
      <c r="W76" s="42">
        <v>14763.767578000001</v>
      </c>
      <c r="X76" s="42">
        <v>12503.134765999999</v>
      </c>
      <c r="Y76" s="42">
        <v>10306.269531</v>
      </c>
      <c r="Z76" s="42">
        <v>8230.0869139999995</v>
      </c>
      <c r="AA76" s="42">
        <v>6313.0258789999998</v>
      </c>
      <c r="AB76" s="42">
        <v>4657.8901370000003</v>
      </c>
      <c r="AC76" s="197">
        <f t="shared" si="11"/>
        <v>23405.664062</v>
      </c>
      <c r="AD76" s="42"/>
      <c r="AE76" s="198"/>
    </row>
    <row r="77" spans="16:31" x14ac:dyDescent="0.4">
      <c r="P77" s="38"/>
      <c r="Q77">
        <v>2</v>
      </c>
      <c r="R77" s="50">
        <v>7.0691899999999999</v>
      </c>
      <c r="S77" s="42">
        <v>23674.142577999999</v>
      </c>
      <c r="T77" s="58">
        <v>21557.068359000001</v>
      </c>
      <c r="U77" s="42">
        <v>19386.521484000001</v>
      </c>
      <c r="V77" s="42">
        <v>17099.980468999998</v>
      </c>
      <c r="W77" s="42">
        <v>14794.482421999999</v>
      </c>
      <c r="X77" s="42">
        <v>12498.179688</v>
      </c>
      <c r="Y77" s="42">
        <v>10300.190430000001</v>
      </c>
      <c r="Z77" s="42">
        <v>8198.1113280000009</v>
      </c>
      <c r="AA77" s="42">
        <v>6273.4208980000003</v>
      </c>
      <c r="AB77" s="42">
        <v>4598.9711909999996</v>
      </c>
      <c r="AC77" s="197">
        <f t="shared" si="11"/>
        <v>23674.142577999999</v>
      </c>
      <c r="AD77" s="42"/>
      <c r="AE77" s="198"/>
    </row>
    <row r="78" spans="16:31" x14ac:dyDescent="0.4">
      <c r="P78" s="38"/>
      <c r="Q78">
        <v>3</v>
      </c>
      <c r="R78" s="50">
        <v>7.0504569999999998</v>
      </c>
      <c r="S78" s="42">
        <v>23094.673827999999</v>
      </c>
      <c r="T78" s="58">
        <v>21039.914062</v>
      </c>
      <c r="U78" s="42">
        <v>18887.287109000001</v>
      </c>
      <c r="V78" s="42">
        <v>16694.664062</v>
      </c>
      <c r="W78" s="42">
        <v>14420.342773</v>
      </c>
      <c r="X78" s="42">
        <v>12195.380859000001</v>
      </c>
      <c r="Y78" s="42">
        <v>10017.649414</v>
      </c>
      <c r="Z78" s="42">
        <v>8001.609375</v>
      </c>
      <c r="AA78" s="42">
        <v>6118.6108400000003</v>
      </c>
      <c r="AB78" s="42">
        <v>4499.1411129999997</v>
      </c>
      <c r="AC78" s="197">
        <f t="shared" si="11"/>
        <v>23094.673827999999</v>
      </c>
      <c r="AD78" s="42"/>
      <c r="AE78" s="198"/>
    </row>
    <row r="79" spans="16:31" x14ac:dyDescent="0.4">
      <c r="P79" s="38"/>
      <c r="Q79">
        <v>4</v>
      </c>
      <c r="R79" s="50">
        <v>7.1000610000000002</v>
      </c>
      <c r="S79" s="42">
        <v>23775.851562</v>
      </c>
      <c r="T79" s="58">
        <v>21636.574218999998</v>
      </c>
      <c r="U79" s="42">
        <v>19403.212890999999</v>
      </c>
      <c r="V79" s="42">
        <v>17140.980468999998</v>
      </c>
      <c r="W79" s="42">
        <v>14835.506836</v>
      </c>
      <c r="X79" s="42">
        <v>12495.949219</v>
      </c>
      <c r="Y79" s="42">
        <v>10229.912109000001</v>
      </c>
      <c r="Z79" s="42">
        <v>8153.1694340000004</v>
      </c>
      <c r="AA79" s="42">
        <v>6260.7915039999998</v>
      </c>
      <c r="AB79" s="42">
        <v>4608.1293949999999</v>
      </c>
      <c r="AC79" s="197">
        <f t="shared" si="11"/>
        <v>23775.851562</v>
      </c>
      <c r="AD79" s="42"/>
      <c r="AE79" s="198"/>
    </row>
    <row r="80" spans="16:31" x14ac:dyDescent="0.4">
      <c r="P80" s="38"/>
      <c r="Q80">
        <v>5</v>
      </c>
      <c r="R80" s="50">
        <v>7.1067499999999999</v>
      </c>
      <c r="S80" s="42">
        <v>23570.691406000002</v>
      </c>
      <c r="T80" s="58">
        <v>21446.091797000001</v>
      </c>
      <c r="U80" s="42">
        <v>19198.509765999999</v>
      </c>
      <c r="V80" s="42">
        <v>16920.535156000002</v>
      </c>
      <c r="W80" s="42">
        <v>14641.433594</v>
      </c>
      <c r="X80" s="42">
        <v>12326.029296999999</v>
      </c>
      <c r="Y80" s="42">
        <v>10117.423828000001</v>
      </c>
      <c r="Z80" s="42">
        <v>8073.7333980000003</v>
      </c>
      <c r="AA80" s="42">
        <v>6178.9150390000004</v>
      </c>
      <c r="AB80" s="42">
        <v>4538.6430659999996</v>
      </c>
      <c r="AC80" s="197">
        <f t="shared" si="11"/>
        <v>23570.691406000002</v>
      </c>
      <c r="AD80" s="42">
        <f>AVERAGE(AC76:AC80)</f>
        <v>23504.204687199999</v>
      </c>
      <c r="AE80" s="198">
        <f>(MAX(AC76:AC80)-MIN(AC76:AC80))/AD80*100</f>
        <v>2.8981101171696269</v>
      </c>
    </row>
    <row r="81" spans="2:31" x14ac:dyDescent="0.4">
      <c r="P81" s="38">
        <v>15</v>
      </c>
      <c r="Q81">
        <v>1</v>
      </c>
      <c r="R81" s="50">
        <v>6.618004</v>
      </c>
      <c r="S81" s="42">
        <v>24010.865234000001</v>
      </c>
      <c r="T81" s="58">
        <v>21978.832031000002</v>
      </c>
      <c r="U81" s="42">
        <v>19821.234375</v>
      </c>
      <c r="V81" s="42">
        <v>17605.005859000001</v>
      </c>
      <c r="W81" s="42">
        <v>15344.657227</v>
      </c>
      <c r="X81" s="42">
        <v>13029.608398</v>
      </c>
      <c r="Y81" s="42">
        <v>10780.138671999999</v>
      </c>
      <c r="Z81" s="42">
        <v>8657.4443360000005</v>
      </c>
      <c r="AA81" s="42">
        <v>6671.8002930000002</v>
      </c>
      <c r="AB81" s="42">
        <v>4951.7954099999997</v>
      </c>
      <c r="AC81" s="197">
        <f t="shared" si="11"/>
        <v>24010.865234000001</v>
      </c>
      <c r="AD81" s="42"/>
      <c r="AE81" s="198"/>
    </row>
    <row r="82" spans="2:31" x14ac:dyDescent="0.4">
      <c r="P82" s="38"/>
      <c r="Q82">
        <v>3</v>
      </c>
      <c r="R82" s="50">
        <v>6.928159</v>
      </c>
      <c r="S82" s="42">
        <v>24215.523438</v>
      </c>
      <c r="T82" s="58">
        <v>22122.615234000001</v>
      </c>
      <c r="U82" s="42">
        <v>19917.123047000001</v>
      </c>
      <c r="V82" s="42">
        <v>17647.400390999999</v>
      </c>
      <c r="W82" s="42">
        <v>15359.057617</v>
      </c>
      <c r="X82" s="42">
        <v>13022.506836</v>
      </c>
      <c r="Y82" s="42">
        <v>10754.660156</v>
      </c>
      <c r="Z82" s="42">
        <v>8606.3261719999991</v>
      </c>
      <c r="AA82" s="42">
        <v>6604.2075199999999</v>
      </c>
      <c r="AB82" s="42">
        <v>4856.701172</v>
      </c>
      <c r="AC82" s="197">
        <f t="shared" si="11"/>
        <v>24215.523438</v>
      </c>
      <c r="AD82" s="42"/>
      <c r="AE82" s="198"/>
    </row>
    <row r="83" spans="2:31" x14ac:dyDescent="0.4">
      <c r="P83" s="38"/>
      <c r="Q83">
        <v>4</v>
      </c>
      <c r="R83" s="50">
        <v>6.9600489999999997</v>
      </c>
      <c r="S83" s="42">
        <v>24728.849609000001</v>
      </c>
      <c r="T83" s="58">
        <v>22640.072265999999</v>
      </c>
      <c r="U83" s="42">
        <v>20377.443359000001</v>
      </c>
      <c r="V83" s="42">
        <v>18059.787109000001</v>
      </c>
      <c r="W83" s="42">
        <v>15691.988281</v>
      </c>
      <c r="X83" s="42">
        <v>13264.275390999999</v>
      </c>
      <c r="Y83" s="42">
        <v>10930.383789</v>
      </c>
      <c r="Z83" s="42">
        <v>8753.9619139999995</v>
      </c>
      <c r="AA83" s="42">
        <v>6724.0908200000003</v>
      </c>
      <c r="AB83" s="42">
        <v>4937.8964839999999</v>
      </c>
      <c r="AC83" s="197">
        <f t="shared" si="11"/>
        <v>24728.849609000001</v>
      </c>
      <c r="AD83" s="42"/>
      <c r="AE83" s="198"/>
    </row>
    <row r="84" spans="2:31" x14ac:dyDescent="0.4">
      <c r="B84" s="8" t="s">
        <v>84</v>
      </c>
      <c r="I84" s="8"/>
      <c r="P84" s="38"/>
      <c r="Q84">
        <v>5</v>
      </c>
      <c r="R84" s="50">
        <v>6.9893929999999997</v>
      </c>
      <c r="S84" s="42">
        <v>24360.339843999998</v>
      </c>
      <c r="T84" s="58">
        <v>22269.458984000001</v>
      </c>
      <c r="U84" s="42">
        <v>20042.369140999999</v>
      </c>
      <c r="V84" s="42">
        <v>17756.191406000002</v>
      </c>
      <c r="W84" s="42">
        <v>15443.400390999999</v>
      </c>
      <c r="X84" s="42">
        <v>13082.966796999999</v>
      </c>
      <c r="Y84" s="42">
        <v>10793.926758</v>
      </c>
      <c r="Z84" s="42">
        <v>8624.7832030000009</v>
      </c>
      <c r="AA84" s="42">
        <v>6611.7329099999997</v>
      </c>
      <c r="AB84" s="42">
        <v>4858.6479490000002</v>
      </c>
      <c r="AC84" s="197">
        <f t="shared" si="11"/>
        <v>24360.339843999998</v>
      </c>
      <c r="AD84" s="42"/>
      <c r="AE84" s="198"/>
    </row>
    <row r="85" spans="2:31" x14ac:dyDescent="0.4">
      <c r="B85" t="s">
        <v>95</v>
      </c>
      <c r="C85" t="s">
        <v>96</v>
      </c>
      <c r="P85" s="47"/>
      <c r="Q85" s="48"/>
      <c r="R85" s="129"/>
      <c r="S85" s="129"/>
      <c r="T85" s="199"/>
      <c r="U85" s="129"/>
      <c r="V85" s="129"/>
      <c r="W85" s="129"/>
      <c r="X85" s="129"/>
      <c r="Y85" s="129"/>
      <c r="Z85" s="129"/>
      <c r="AA85" s="129"/>
      <c r="AB85" s="129"/>
      <c r="AC85" s="48"/>
      <c r="AD85" s="129">
        <f>AVERAGE(AC81:AC85)</f>
        <v>24328.89453125</v>
      </c>
      <c r="AE85" s="200">
        <f>(MAX(AC81:AC85)-MIN(AC81:AC85))/AD85*100</f>
        <v>2.9511590593553803</v>
      </c>
    </row>
    <row r="86" spans="2:31" x14ac:dyDescent="0.4">
      <c r="Q86" s="42"/>
      <c r="R86" s="42"/>
      <c r="S86" s="58"/>
      <c r="T86" s="42"/>
      <c r="U86" s="42"/>
      <c r="V86" s="42"/>
      <c r="W86" s="42"/>
      <c r="X86" s="42"/>
      <c r="Y86" s="42"/>
      <c r="Z86" s="42"/>
      <c r="AA86" s="42"/>
      <c r="AC86" s="42"/>
      <c r="AD86" s="43"/>
    </row>
    <row r="87" spans="2:31" x14ac:dyDescent="0.4">
      <c r="B87" t="s">
        <v>97</v>
      </c>
      <c r="Q87" s="42"/>
      <c r="R87" s="42"/>
      <c r="S87" s="58"/>
      <c r="T87" s="42"/>
      <c r="U87" s="42"/>
      <c r="V87" s="42"/>
      <c r="W87" s="42"/>
      <c r="X87" s="42"/>
      <c r="Y87" s="42"/>
      <c r="Z87" s="42"/>
      <c r="AA87" s="42"/>
      <c r="AC87" s="42"/>
      <c r="AD87" s="43"/>
    </row>
    <row r="88" spans="2:31" x14ac:dyDescent="0.4">
      <c r="B88">
        <f t="array" ref="B88:C92">LINEST($G$32:$G$36, $E$32:$E$36, 0, 1)</f>
        <v>7004.532814545928</v>
      </c>
      <c r="C88">
        <v>0</v>
      </c>
      <c r="Q88" s="42"/>
      <c r="R88" s="42"/>
      <c r="S88" s="58"/>
      <c r="T88" s="42"/>
      <c r="U88" s="42"/>
      <c r="V88" s="42"/>
      <c r="W88" s="42"/>
      <c r="X88" s="42"/>
      <c r="Y88" s="42"/>
      <c r="Z88" s="42"/>
      <c r="AA88" s="42"/>
      <c r="AC88" s="42"/>
      <c r="AD88" s="43"/>
    </row>
    <row r="89" spans="2:31" x14ac:dyDescent="0.4">
      <c r="B89">
        <v>101.38431951405725</v>
      </c>
      <c r="C89" t="e">
        <v>#N/A</v>
      </c>
      <c r="Q89" s="42"/>
      <c r="R89" s="42"/>
      <c r="S89" s="58"/>
      <c r="T89" s="42"/>
      <c r="U89" s="42"/>
      <c r="V89" s="42"/>
      <c r="W89" s="42"/>
      <c r="X89" s="42"/>
      <c r="Y89" s="42"/>
      <c r="Z89" s="42"/>
      <c r="AA89" s="42"/>
      <c r="AC89" s="42"/>
      <c r="AD89" s="43"/>
    </row>
    <row r="90" spans="2:31" x14ac:dyDescent="0.4">
      <c r="B90">
        <v>0.99916270318666023</v>
      </c>
      <c r="C90">
        <v>175.90758919622218</v>
      </c>
      <c r="Q90" s="42"/>
      <c r="R90" s="42"/>
      <c r="S90" s="58"/>
      <c r="T90" s="42"/>
      <c r="U90" s="42"/>
      <c r="V90" s="42"/>
      <c r="W90" s="42"/>
      <c r="X90" s="42"/>
      <c r="Y90" s="42"/>
      <c r="Z90" s="42"/>
      <c r="AA90" s="42"/>
      <c r="AC90" s="42"/>
      <c r="AD90" s="43"/>
    </row>
    <row r="91" spans="2:31" x14ac:dyDescent="0.4">
      <c r="B91">
        <v>4773.2784229817407</v>
      </c>
      <c r="C91">
        <v>4</v>
      </c>
      <c r="Q91" s="42"/>
      <c r="R91" s="42"/>
      <c r="S91" s="58"/>
      <c r="T91" s="42"/>
      <c r="U91" s="42"/>
      <c r="V91" s="42"/>
      <c r="W91" s="42"/>
      <c r="X91" s="42"/>
      <c r="Y91" s="42"/>
      <c r="Z91" s="42"/>
      <c r="AA91" s="42"/>
      <c r="AC91" s="42"/>
      <c r="AD91" s="43"/>
    </row>
    <row r="92" spans="2:31" x14ac:dyDescent="0.4">
      <c r="B92">
        <v>147701845.11442408</v>
      </c>
      <c r="C92">
        <v>123773.91974730746</v>
      </c>
      <c r="Q92" s="42"/>
      <c r="R92" s="42"/>
      <c r="S92" s="58"/>
      <c r="T92" s="42"/>
      <c r="U92" s="42"/>
      <c r="V92" s="42"/>
      <c r="W92" s="42"/>
      <c r="X92" s="42"/>
      <c r="Y92" s="42"/>
      <c r="Z92" s="42"/>
      <c r="AA92" s="42"/>
      <c r="AC92" s="42"/>
      <c r="AD92" s="43"/>
    </row>
    <row r="93" spans="2:31" x14ac:dyDescent="0.4">
      <c r="Q93" s="42"/>
      <c r="R93" s="42"/>
      <c r="S93" s="58"/>
      <c r="T93" s="42"/>
      <c r="U93" s="42"/>
      <c r="V93" s="42"/>
      <c r="W93" s="42"/>
      <c r="X93" s="42"/>
      <c r="Y93" s="42"/>
      <c r="Z93" s="42"/>
      <c r="AA93" s="42"/>
      <c r="AC93" s="42"/>
      <c r="AD93" s="43"/>
    </row>
    <row r="94" spans="2:31" x14ac:dyDescent="0.4">
      <c r="B94" t="s">
        <v>98</v>
      </c>
      <c r="Q94" s="42"/>
      <c r="R94" s="42"/>
      <c r="S94" s="58"/>
      <c r="T94" s="42"/>
      <c r="U94" s="42"/>
      <c r="V94" s="42"/>
      <c r="W94" s="42"/>
      <c r="X94" s="42"/>
      <c r="Y94" s="42"/>
      <c r="Z94" s="42"/>
      <c r="AA94" s="42"/>
      <c r="AC94" s="42"/>
      <c r="AD94" s="43"/>
    </row>
    <row r="95" spans="2:31" x14ac:dyDescent="0.4">
      <c r="B95" t="s">
        <v>99</v>
      </c>
      <c r="C95">
        <f>$B$90</f>
        <v>0.99916270318666023</v>
      </c>
      <c r="Q95" s="42"/>
      <c r="R95" s="42"/>
      <c r="S95" s="58"/>
      <c r="T95" s="42"/>
      <c r="U95" s="42"/>
      <c r="V95" s="42"/>
      <c r="W95" s="42"/>
      <c r="X95" s="42"/>
      <c r="Y95" s="42"/>
      <c r="Z95" s="42"/>
      <c r="AA95" s="42"/>
      <c r="AC95" s="42"/>
      <c r="AD95" s="43"/>
    </row>
    <row r="96" spans="2:31" x14ac:dyDescent="0.4">
      <c r="B96" t="s">
        <v>100</v>
      </c>
      <c r="C96">
        <f>$C$90</f>
        <v>175.90758919622218</v>
      </c>
      <c r="Q96" s="42"/>
      <c r="R96" s="42"/>
      <c r="S96" s="58"/>
      <c r="T96" s="42"/>
      <c r="U96" s="42"/>
      <c r="V96" s="42"/>
      <c r="W96" s="42"/>
      <c r="X96" s="42"/>
      <c r="Y96" s="42"/>
      <c r="Z96" s="42"/>
      <c r="AA96" s="42"/>
      <c r="AC96" s="42"/>
      <c r="AD96" s="43"/>
    </row>
    <row r="97" spans="2:30" x14ac:dyDescent="0.4">
      <c r="B97" t="s">
        <v>101</v>
      </c>
      <c r="C97">
        <f>1</f>
        <v>1</v>
      </c>
      <c r="Q97" s="42"/>
      <c r="R97" s="42"/>
      <c r="S97" s="58"/>
      <c r="T97" s="42"/>
      <c r="U97" s="42"/>
      <c r="V97" s="42"/>
      <c r="W97" s="42"/>
      <c r="X97" s="42"/>
      <c r="Y97" s="42"/>
      <c r="Z97" s="42"/>
      <c r="AA97" s="42"/>
      <c r="AC97" s="42"/>
      <c r="AD97" s="43"/>
    </row>
    <row r="98" spans="2:30" x14ac:dyDescent="0.4">
      <c r="B98" t="s">
        <v>102</v>
      </c>
      <c r="C98">
        <f>5</f>
        <v>5</v>
      </c>
      <c r="Q98" s="42"/>
      <c r="R98" s="42"/>
      <c r="S98" s="58"/>
      <c r="T98" s="42"/>
      <c r="U98" s="42"/>
      <c r="V98" s="42"/>
      <c r="W98" s="42"/>
      <c r="X98" s="42"/>
      <c r="Y98" s="42"/>
      <c r="Z98" s="42"/>
      <c r="AA98" s="42"/>
      <c r="AC98" s="42"/>
      <c r="AD98" s="43"/>
    </row>
    <row r="99" spans="2:30" x14ac:dyDescent="0.4">
      <c r="B99" t="s">
        <v>103</v>
      </c>
      <c r="C99">
        <f>1 - (1 - $B$90)*($C$98 - 1)/($C$98 - $C$97)</f>
        <v>0.99916270318666023</v>
      </c>
      <c r="Q99" s="42"/>
      <c r="R99" s="42"/>
      <c r="S99" s="58"/>
      <c r="T99" s="42"/>
      <c r="U99" s="42"/>
      <c r="V99" s="42"/>
      <c r="W99" s="42"/>
      <c r="X99" s="42"/>
      <c r="Y99" s="42"/>
      <c r="Z99" s="42"/>
      <c r="AA99" s="42"/>
      <c r="AC99" s="42"/>
      <c r="AD99" s="43"/>
    </row>
    <row r="100" spans="2:30" x14ac:dyDescent="0.4">
      <c r="Q100" s="42"/>
      <c r="R100" s="42"/>
      <c r="S100" s="58"/>
      <c r="T100" s="42"/>
      <c r="U100" s="42"/>
      <c r="V100" s="42"/>
      <c r="W100" s="42"/>
      <c r="X100" s="42"/>
      <c r="Y100" s="42"/>
      <c r="Z100" s="42"/>
      <c r="AA100" s="42"/>
      <c r="AC100" s="42"/>
      <c r="AD100" s="43"/>
    </row>
    <row r="101" spans="2:30" x14ac:dyDescent="0.4">
      <c r="B101" t="s">
        <v>104</v>
      </c>
      <c r="Q101" s="42"/>
      <c r="R101" s="42"/>
      <c r="S101" s="58"/>
      <c r="T101" s="42"/>
      <c r="U101" s="42"/>
      <c r="V101" s="42"/>
      <c r="W101" s="42"/>
      <c r="X101" s="42"/>
      <c r="Y101" s="42"/>
      <c r="Z101" s="42"/>
      <c r="AA101" s="42"/>
    </row>
    <row r="102" spans="2:30" x14ac:dyDescent="0.4">
      <c r="C102" t="s">
        <v>105</v>
      </c>
      <c r="D102" t="s">
        <v>106</v>
      </c>
      <c r="E102" t="s">
        <v>107</v>
      </c>
      <c r="F102" t="s">
        <v>108</v>
      </c>
      <c r="G102" t="s">
        <v>109</v>
      </c>
      <c r="Q102" s="42"/>
      <c r="R102" s="42"/>
      <c r="S102" s="58"/>
      <c r="T102" s="42"/>
      <c r="U102" s="42"/>
      <c r="V102" s="42"/>
      <c r="W102" s="42"/>
      <c r="X102" s="42"/>
      <c r="Y102" s="42"/>
      <c r="Z102" s="42"/>
      <c r="AA102" s="42"/>
    </row>
    <row r="103" spans="2:30" x14ac:dyDescent="0.4">
      <c r="B103" t="s">
        <v>84</v>
      </c>
      <c r="C103">
        <f>$C$97</f>
        <v>1</v>
      </c>
      <c r="D103">
        <f>$B$92</f>
        <v>147701845.11442408</v>
      </c>
      <c r="E103">
        <f>$B$92 / $C$103</f>
        <v>147701845.11442408</v>
      </c>
      <c r="F103">
        <f>$B$91</f>
        <v>4773.2784229817407</v>
      </c>
      <c r="G103">
        <f>FDIST($B$91, $C$103, $C$91)</f>
        <v>2.629731422244732E-7</v>
      </c>
      <c r="Q103" s="42"/>
      <c r="R103" s="42"/>
      <c r="S103" s="58"/>
      <c r="T103" s="42"/>
      <c r="U103" s="42"/>
      <c r="V103" s="42"/>
      <c r="W103" s="42"/>
      <c r="X103" s="42"/>
      <c r="Y103" s="42"/>
      <c r="Z103" s="42"/>
      <c r="AA103" s="42"/>
    </row>
    <row r="104" spans="2:30" x14ac:dyDescent="0.4">
      <c r="B104" t="s">
        <v>110</v>
      </c>
      <c r="C104">
        <f>$C$91</f>
        <v>4</v>
      </c>
      <c r="D104">
        <f>$C$92</f>
        <v>123773.91974730746</v>
      </c>
      <c r="E104">
        <f>$C$92 / $C$91</f>
        <v>30943.479936826865</v>
      </c>
      <c r="Q104" s="42"/>
      <c r="R104" s="42"/>
      <c r="S104" s="58"/>
      <c r="T104" s="42"/>
      <c r="U104" s="42"/>
      <c r="V104" s="42"/>
      <c r="W104" s="42"/>
      <c r="X104" s="42"/>
      <c r="Y104" s="42"/>
      <c r="Z104" s="42"/>
      <c r="AA104" s="42"/>
    </row>
    <row r="105" spans="2:30" x14ac:dyDescent="0.4">
      <c r="B105" t="s">
        <v>78</v>
      </c>
      <c r="C105">
        <f>$C$103 + $C$91</f>
        <v>5</v>
      </c>
      <c r="D105">
        <f>$B$92 + $C$92</f>
        <v>147825619.03417137</v>
      </c>
      <c r="Q105" s="42"/>
      <c r="R105" s="42"/>
      <c r="S105" s="58"/>
      <c r="T105" s="42"/>
      <c r="U105" s="42"/>
      <c r="V105" s="42"/>
      <c r="W105" s="42"/>
      <c r="X105" s="42"/>
      <c r="Y105" s="42"/>
      <c r="Z105" s="42"/>
      <c r="AA105" s="42"/>
    </row>
    <row r="106" spans="2:30" x14ac:dyDescent="0.4">
      <c r="Q106" s="42"/>
      <c r="R106" s="42"/>
      <c r="S106" s="58"/>
      <c r="T106" s="42"/>
      <c r="U106" s="42"/>
      <c r="V106" s="42"/>
      <c r="W106" s="42"/>
      <c r="X106" s="42"/>
      <c r="Y106" s="42"/>
      <c r="Z106" s="42"/>
      <c r="AA106" s="42"/>
    </row>
    <row r="107" spans="2:30" x14ac:dyDescent="0.4">
      <c r="B107" t="s">
        <v>111</v>
      </c>
      <c r="C107">
        <v>0.95</v>
      </c>
      <c r="Q107" s="42"/>
      <c r="R107" s="42"/>
      <c r="S107" s="58"/>
      <c r="T107" s="42"/>
      <c r="U107" s="42"/>
      <c r="V107" s="42"/>
      <c r="W107" s="42"/>
      <c r="X107" s="42"/>
      <c r="Y107" s="42"/>
      <c r="Z107" s="42"/>
      <c r="AA107" s="42"/>
    </row>
    <row r="108" spans="2:30" x14ac:dyDescent="0.4">
      <c r="Q108" s="42"/>
      <c r="R108" s="42"/>
      <c r="S108" s="58"/>
      <c r="T108" s="42"/>
      <c r="U108" s="42"/>
      <c r="V108" s="42"/>
      <c r="W108" s="42"/>
      <c r="X108" s="42"/>
      <c r="Y108" s="42"/>
      <c r="Z108" s="42"/>
      <c r="AA108" s="42"/>
    </row>
    <row r="109" spans="2:30" x14ac:dyDescent="0.4">
      <c r="C109" t="s">
        <v>112</v>
      </c>
      <c r="D109" t="s">
        <v>100</v>
      </c>
      <c r="E109" t="s">
        <v>113</v>
      </c>
      <c r="F109" t="s">
        <v>114</v>
      </c>
      <c r="G109" t="str">
        <f>_xlfn.CONCAT("Lower ", INT($C$107 * 100), "%")</f>
        <v>Lower 95%</v>
      </c>
      <c r="H109" t="str">
        <f>_xlfn.CONCAT("Upper ", INT($C$107 * 100), "%")</f>
        <v>Upper 95%</v>
      </c>
      <c r="Q109" s="42"/>
      <c r="R109" s="42"/>
      <c r="S109" s="58"/>
      <c r="T109" s="42"/>
      <c r="U109" s="42"/>
      <c r="V109" s="42"/>
      <c r="W109" s="42"/>
      <c r="X109" s="42"/>
      <c r="Y109" s="42"/>
      <c r="Z109" s="42"/>
      <c r="AA109" s="42"/>
    </row>
    <row r="110" spans="2:30" x14ac:dyDescent="0.4">
      <c r="B110" t="str">
        <f>"Intercept"</f>
        <v>Intercept</v>
      </c>
      <c r="C110">
        <f t="array" ref="C110:C111">INDEX($B$88:$C$88, 1, ROW($C$111)+1 - ROW())</f>
        <v>0</v>
      </c>
      <c r="D110" t="e">
        <f t="array" ref="D110:D111">INDEX($B$89:$C$89, 1, ROW($D$111)+1 - ROW())</f>
        <v>#N/A</v>
      </c>
      <c r="E110" t="e">
        <f t="array" ref="E110:E111">$C$110:$C$111 / $D$110:$D$111</f>
        <v>#N/A</v>
      </c>
      <c r="F110" t="e">
        <f t="array" ref="F110:F111">TDIST(ABS($E$110:$E$111), $C$91, 2 )</f>
        <v>#N/A</v>
      </c>
      <c r="G110" t="e">
        <f t="array" ref="G110:G111">$C$110:$C$111 - $D$110:$D$111 * TINV(1 - $C$107, $C$91)</f>
        <v>#N/A</v>
      </c>
      <c r="H110" t="e">
        <f t="array" ref="H110:H111">$C$110:$C$111 + $D$110:$D$111 * TINV(1 - $C$107, $C$91)</f>
        <v>#N/A</v>
      </c>
      <c r="Q110" s="42"/>
      <c r="R110" s="42"/>
      <c r="S110" s="58"/>
      <c r="T110" s="42"/>
      <c r="U110" s="42"/>
      <c r="V110" s="42"/>
      <c r="W110" s="42"/>
      <c r="X110" s="42"/>
      <c r="Y110" s="42"/>
      <c r="Z110" s="42"/>
      <c r="AA110" s="42"/>
    </row>
    <row r="111" spans="2:30" x14ac:dyDescent="0.4">
      <c r="B111" t="str">
        <f>"X1"</f>
        <v>X1</v>
      </c>
      <c r="C111" s="8">
        <v>7004.532814545928</v>
      </c>
      <c r="D111">
        <v>101.38431951405725</v>
      </c>
      <c r="E111">
        <v>69.088916788307955</v>
      </c>
      <c r="F111">
        <v>2.629731422244732E-7</v>
      </c>
      <c r="G111">
        <v>6723.0448168873145</v>
      </c>
      <c r="H111">
        <v>7286.0208122045415</v>
      </c>
      <c r="Q111" s="42"/>
      <c r="R111" s="42"/>
      <c r="S111" s="58"/>
      <c r="T111" s="42"/>
      <c r="U111" s="42"/>
      <c r="V111" s="42"/>
      <c r="W111" s="42"/>
      <c r="X111" s="42"/>
      <c r="Y111" s="42"/>
      <c r="Z111" s="42"/>
      <c r="AA111" s="42"/>
    </row>
    <row r="112" spans="2:30" x14ac:dyDescent="0.4">
      <c r="Q112" s="42"/>
      <c r="R112" s="42"/>
      <c r="S112" s="58"/>
      <c r="T112" s="42"/>
      <c r="U112" s="42"/>
      <c r="V112" s="42"/>
      <c r="W112" s="42"/>
      <c r="X112" s="42"/>
      <c r="Y112" s="42"/>
      <c r="Z112" s="42"/>
      <c r="AA112" s="42"/>
    </row>
    <row r="113" spans="2:27" x14ac:dyDescent="0.4">
      <c r="B113" t="str">
        <f>"X1"</f>
        <v>X1</v>
      </c>
      <c r="C113" t="s">
        <v>115</v>
      </c>
      <c r="D113" t="str">
        <f>"Y"</f>
        <v>Y</v>
      </c>
      <c r="E113" t="s">
        <v>110</v>
      </c>
      <c r="Q113" s="42"/>
      <c r="R113" s="42"/>
      <c r="S113" s="58"/>
      <c r="T113" s="42"/>
      <c r="U113" s="42"/>
      <c r="V113" s="42"/>
      <c r="W113" s="42"/>
      <c r="X113" s="42"/>
      <c r="Y113" s="42"/>
      <c r="Z113" s="42"/>
      <c r="AA113" s="42"/>
    </row>
    <row r="114" spans="2:27" x14ac:dyDescent="0.4">
      <c r="B114">
        <f t="array" ref="B114:B118">$A$32:$A$36</f>
        <v>0</v>
      </c>
      <c r="C114">
        <f t="array" ref="C114:C118">MMULT($B$114:$B$118, $C$111) + $C$110</f>
        <v>0</v>
      </c>
      <c r="D114">
        <f t="array" ref="D114:D118">$G$32:$G$36</f>
        <v>1</v>
      </c>
      <c r="E114">
        <f t="array" ref="E114:E118">$D$114:$D$118 - $C$114:$C$118</f>
        <v>1</v>
      </c>
    </row>
    <row r="115" spans="2:27" x14ac:dyDescent="0.4">
      <c r="B115">
        <v>10</v>
      </c>
      <c r="C115">
        <v>70045.32814545928</v>
      </c>
      <c r="D115">
        <v>2390.6996093999996</v>
      </c>
      <c r="E115">
        <v>-67654.628536059274</v>
      </c>
    </row>
    <row r="116" spans="2:27" x14ac:dyDescent="0.4">
      <c r="B116">
        <v>20</v>
      </c>
      <c r="C116">
        <v>140090.65629091856</v>
      </c>
      <c r="D116">
        <v>4695.9022462000003</v>
      </c>
      <c r="E116">
        <v>-135394.75404471855</v>
      </c>
    </row>
    <row r="117" spans="2:27" x14ac:dyDescent="0.4">
      <c r="B117">
        <v>30</v>
      </c>
      <c r="C117">
        <v>210135.98443637782</v>
      </c>
      <c r="D117">
        <v>6657.1354492</v>
      </c>
      <c r="E117">
        <v>-203478.84898717783</v>
      </c>
    </row>
    <row r="118" spans="2:27" x14ac:dyDescent="0.4">
      <c r="B118">
        <v>40</v>
      </c>
      <c r="C118">
        <v>280181.31258183712</v>
      </c>
      <c r="D118">
        <v>8702.9433594000002</v>
      </c>
      <c r="E118">
        <v>-271478.36922243715</v>
      </c>
    </row>
    <row r="122" spans="2:27" x14ac:dyDescent="0.4">
      <c r="B122" s="35" t="s">
        <v>283</v>
      </c>
      <c r="C122" s="36"/>
      <c r="D122" s="210"/>
      <c r="E122" s="85"/>
    </row>
    <row r="123" spans="2:27" x14ac:dyDescent="0.4">
      <c r="B123" s="211" t="s">
        <v>225</v>
      </c>
      <c r="C123" s="124" t="s">
        <v>286</v>
      </c>
      <c r="D123" s="124" t="s">
        <v>287</v>
      </c>
      <c r="E123" s="212" t="s">
        <v>288</v>
      </c>
    </row>
    <row r="124" spans="2:27" x14ac:dyDescent="0.4">
      <c r="B124" s="38">
        <v>2</v>
      </c>
      <c r="C124">
        <v>20210</v>
      </c>
      <c r="D124">
        <v>14180</v>
      </c>
      <c r="E124" s="45">
        <v>28820</v>
      </c>
    </row>
    <row r="125" spans="2:27" x14ac:dyDescent="0.4">
      <c r="B125" s="38">
        <v>3</v>
      </c>
      <c r="C125">
        <v>10700</v>
      </c>
      <c r="D125">
        <v>7928</v>
      </c>
      <c r="E125" s="45">
        <v>14440</v>
      </c>
    </row>
    <row r="126" spans="2:27" x14ac:dyDescent="0.4">
      <c r="B126" s="213">
        <v>4</v>
      </c>
      <c r="C126" s="132">
        <v>6300</v>
      </c>
      <c r="D126" s="132">
        <v>4553</v>
      </c>
      <c r="E126" s="214">
        <v>8713</v>
      </c>
    </row>
    <row r="127" spans="2:27" x14ac:dyDescent="0.4">
      <c r="B127" s="38">
        <v>5</v>
      </c>
      <c r="C127">
        <v>3475</v>
      </c>
      <c r="D127">
        <v>2330</v>
      </c>
      <c r="E127" s="45">
        <v>5183</v>
      </c>
    </row>
    <row r="128" spans="2:27" x14ac:dyDescent="0.4">
      <c r="B128" s="213">
        <v>6</v>
      </c>
      <c r="C128" s="132">
        <v>1631</v>
      </c>
      <c r="D128" s="132">
        <v>938.2</v>
      </c>
      <c r="E128" s="214">
        <v>2834</v>
      </c>
    </row>
    <row r="129" spans="2:5" x14ac:dyDescent="0.4">
      <c r="B129" s="38">
        <v>7</v>
      </c>
      <c r="C129">
        <v>769.8</v>
      </c>
      <c r="D129">
        <v>413.6</v>
      </c>
      <c r="E129" s="45">
        <v>1433</v>
      </c>
    </row>
    <row r="130" spans="2:5" x14ac:dyDescent="0.4">
      <c r="B130" s="38">
        <v>8</v>
      </c>
      <c r="C130">
        <v>379.1</v>
      </c>
      <c r="D130">
        <v>179.7</v>
      </c>
      <c r="E130" s="45">
        <v>799.5</v>
      </c>
    </row>
    <row r="131" spans="2:5" x14ac:dyDescent="0.4">
      <c r="B131" s="38">
        <v>9</v>
      </c>
      <c r="C131">
        <v>196.2</v>
      </c>
      <c r="D131">
        <v>76.569999999999993</v>
      </c>
      <c r="E131" s="45">
        <v>502.6</v>
      </c>
    </row>
    <row r="132" spans="2:5" x14ac:dyDescent="0.4">
      <c r="B132" s="47">
        <v>10</v>
      </c>
      <c r="C132" s="48">
        <v>88.9</v>
      </c>
      <c r="D132" s="48">
        <v>27.89</v>
      </c>
      <c r="E132" s="89">
        <v>283.39999999999998</v>
      </c>
    </row>
  </sheetData>
  <mergeCells count="1">
    <mergeCell ref="C2:L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MJ128"/>
  <sheetViews>
    <sheetView zoomScale="85" zoomScaleNormal="85" workbookViewId="0"/>
  </sheetViews>
  <sheetFormatPr defaultColWidth="11.53125" defaultRowHeight="12.75" x14ac:dyDescent="0.35"/>
  <cols>
    <col min="1" max="1" width="22.9296875" customWidth="1"/>
    <col min="2" max="2" width="17.1328125" customWidth="1"/>
  </cols>
  <sheetData>
    <row r="1" spans="1:1024" ht="67.150000000000006" customHeight="1" thickBot="1" x14ac:dyDescent="0.4">
      <c r="A1" s="134" t="s">
        <v>291</v>
      </c>
      <c r="B1" s="9"/>
      <c r="C1" s="2"/>
      <c r="D1" s="2"/>
      <c r="E1" s="2"/>
      <c r="F1" s="2"/>
      <c r="G1" s="2"/>
      <c r="H1" s="9"/>
      <c r="I1" s="9"/>
      <c r="J1" s="9"/>
      <c r="K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c r="AKO1" s="9"/>
      <c r="AKP1" s="9"/>
      <c r="AKQ1" s="9"/>
      <c r="AKR1" s="9"/>
      <c r="AKS1" s="9"/>
      <c r="AKT1" s="9"/>
      <c r="AKU1" s="9"/>
      <c r="AKV1" s="9"/>
      <c r="AKW1" s="9"/>
      <c r="AKX1" s="9"/>
      <c r="AKY1" s="9"/>
      <c r="AKZ1" s="9"/>
      <c r="ALA1" s="9"/>
      <c r="ALB1" s="9"/>
      <c r="ALC1" s="9"/>
      <c r="ALD1" s="9"/>
      <c r="ALE1" s="9"/>
      <c r="ALF1" s="9"/>
      <c r="ALG1" s="9"/>
      <c r="ALH1" s="9"/>
      <c r="ALI1" s="9"/>
      <c r="ALJ1" s="9"/>
      <c r="ALK1" s="9"/>
      <c r="ALL1" s="9"/>
      <c r="ALM1" s="9"/>
      <c r="ALN1" s="9"/>
      <c r="ALO1" s="9"/>
      <c r="ALP1" s="9"/>
      <c r="ALQ1" s="9"/>
      <c r="ALR1" s="9"/>
      <c r="ALS1" s="9"/>
      <c r="ALT1" s="9"/>
      <c r="ALU1" s="9"/>
      <c r="ALV1" s="9"/>
      <c r="ALW1" s="9"/>
      <c r="ALX1" s="9"/>
      <c r="ALY1" s="9"/>
      <c r="ALZ1" s="9"/>
      <c r="AMA1" s="9"/>
      <c r="AMB1" s="9"/>
      <c r="AMC1" s="9"/>
      <c r="AMD1" s="9"/>
      <c r="AME1" s="9"/>
      <c r="AMF1" s="9"/>
      <c r="AMG1" s="9"/>
      <c r="AMH1" s="9"/>
      <c r="AMI1" s="9"/>
      <c r="AMJ1" s="9"/>
    </row>
    <row r="2" spans="1:1024" ht="18.399999999999999" x14ac:dyDescent="0.7">
      <c r="D2" s="215" t="s">
        <v>324</v>
      </c>
      <c r="L2" s="247" t="s">
        <v>395</v>
      </c>
      <c r="M2" s="231"/>
      <c r="N2" s="231"/>
      <c r="O2" s="231"/>
      <c r="P2" s="231" t="s">
        <v>394</v>
      </c>
      <c r="Q2" s="248">
        <v>0.89</v>
      </c>
      <c r="R2" s="232" t="s">
        <v>387</v>
      </c>
    </row>
    <row r="3" spans="1:1024" ht="15.75" x14ac:dyDescent="0.5">
      <c r="A3" s="11" t="s">
        <v>116</v>
      </c>
      <c r="B3" s="10" t="s">
        <v>411</v>
      </c>
      <c r="C3" s="10"/>
      <c r="E3" s="148" t="s">
        <v>316</v>
      </c>
      <c r="F3" s="149">
        <v>1</v>
      </c>
      <c r="G3" s="150"/>
      <c r="H3" s="150"/>
      <c r="L3" s="249" t="s">
        <v>396</v>
      </c>
      <c r="M3" s="68"/>
      <c r="N3" s="68"/>
      <c r="O3" s="68"/>
      <c r="P3" s="149">
        <v>1</v>
      </c>
      <c r="Q3" s="149">
        <v>90</v>
      </c>
      <c r="R3" s="234" t="s">
        <v>53</v>
      </c>
    </row>
    <row r="4" spans="1:1024" ht="13.15" x14ac:dyDescent="0.4">
      <c r="A4" s="10" t="s">
        <v>28</v>
      </c>
      <c r="B4" s="62">
        <v>46009</v>
      </c>
      <c r="C4" s="10"/>
      <c r="E4" s="148" t="s">
        <v>326</v>
      </c>
      <c r="F4" s="150">
        <v>0.86799999999999999</v>
      </c>
      <c r="G4" s="150"/>
      <c r="H4" s="150"/>
      <c r="L4" s="235" t="s">
        <v>386</v>
      </c>
      <c r="M4" s="65" t="s">
        <v>383</v>
      </c>
      <c r="N4" s="65" t="s">
        <v>131</v>
      </c>
      <c r="O4" s="65" t="s">
        <v>384</v>
      </c>
      <c r="P4" s="65" t="s">
        <v>382</v>
      </c>
      <c r="Q4" s="65" t="s">
        <v>385</v>
      </c>
      <c r="R4" s="234"/>
    </row>
    <row r="5" spans="1:1024" ht="13.15" x14ac:dyDescent="0.4">
      <c r="A5" s="10" t="s">
        <v>29</v>
      </c>
      <c r="B5" s="64" t="s">
        <v>30</v>
      </c>
      <c r="C5" s="10"/>
      <c r="L5" s="236">
        <v>1.5</v>
      </c>
      <c r="M5" s="42">
        <v>67392.070000000007</v>
      </c>
      <c r="N5" s="42"/>
      <c r="O5" s="42">
        <v>67392.070000000007</v>
      </c>
      <c r="P5" s="42">
        <f>O5*P$3</f>
        <v>67392.070000000007</v>
      </c>
      <c r="Q5" s="42">
        <f>P5*Q$2*Q$3</f>
        <v>5398104.807000001</v>
      </c>
      <c r="R5" s="234"/>
    </row>
    <row r="6" spans="1:1024" ht="13.15" x14ac:dyDescent="0.4">
      <c r="A6" s="10" t="s">
        <v>22</v>
      </c>
      <c r="B6" s="66" t="s">
        <v>410</v>
      </c>
      <c r="C6" s="67"/>
      <c r="E6" s="68" t="s">
        <v>325</v>
      </c>
      <c r="F6" s="65" t="s">
        <v>390</v>
      </c>
      <c r="G6" s="65" t="s">
        <v>317</v>
      </c>
      <c r="H6" s="65" t="s">
        <v>318</v>
      </c>
      <c r="I6" s="65" t="s">
        <v>319</v>
      </c>
      <c r="L6" s="236">
        <v>2</v>
      </c>
      <c r="M6" s="42">
        <v>41165</v>
      </c>
      <c r="N6" s="42"/>
      <c r="O6" s="42">
        <v>41165</v>
      </c>
      <c r="P6" s="42">
        <f t="shared" ref="P6:P34" si="0">O6*P$3</f>
        <v>41165</v>
      </c>
      <c r="Q6" s="42">
        <f t="shared" ref="Q6:Q34" si="1">P6*Q$2*Q$3</f>
        <v>3297316.5</v>
      </c>
      <c r="R6" s="234"/>
    </row>
    <row r="7" spans="1:1024" ht="13.15" x14ac:dyDescent="0.4">
      <c r="A7" s="10" t="s">
        <v>24</v>
      </c>
      <c r="B7" s="69" t="s">
        <v>25</v>
      </c>
      <c r="C7" s="10"/>
      <c r="E7" s="148" t="s">
        <v>388</v>
      </c>
      <c r="F7" s="150">
        <f>$F3*$F4*100</f>
        <v>86.8</v>
      </c>
      <c r="G7" s="150">
        <f>$F3*$F4*100</f>
        <v>86.8</v>
      </c>
      <c r="H7" s="150">
        <f>$F3*$F4*100</f>
        <v>86.8</v>
      </c>
      <c r="I7" s="150">
        <f>$F3*$F4*100</f>
        <v>86.8</v>
      </c>
      <c r="L7" s="236">
        <v>3</v>
      </c>
      <c r="M7" s="42">
        <v>17975.47</v>
      </c>
      <c r="N7" s="42">
        <v>17634.099999999999</v>
      </c>
      <c r="O7" s="42">
        <v>17975.47</v>
      </c>
      <c r="P7" s="42">
        <f t="shared" si="0"/>
        <v>17975.47</v>
      </c>
      <c r="Q7" s="42">
        <f t="shared" si="1"/>
        <v>1439835.1470000001</v>
      </c>
      <c r="R7" s="234"/>
    </row>
    <row r="8" spans="1:1024" ht="13.15" x14ac:dyDescent="0.4">
      <c r="A8" s="10" t="s">
        <v>26</v>
      </c>
      <c r="B8" s="66" t="s">
        <v>410</v>
      </c>
      <c r="C8" s="10"/>
      <c r="E8" s="148" t="s">
        <v>389</v>
      </c>
      <c r="F8" s="149">
        <v>26.08</v>
      </c>
      <c r="G8" s="149">
        <v>26.08</v>
      </c>
      <c r="H8" s="149">
        <v>26.11</v>
      </c>
      <c r="I8" s="149">
        <v>26.16</v>
      </c>
      <c r="L8" s="236">
        <v>4</v>
      </c>
      <c r="M8" s="42">
        <v>10898.56</v>
      </c>
      <c r="N8" s="42">
        <v>10750.3</v>
      </c>
      <c r="O8" s="42">
        <v>10898.56</v>
      </c>
      <c r="P8" s="42">
        <f t="shared" si="0"/>
        <v>10898.56</v>
      </c>
      <c r="Q8" s="42">
        <f t="shared" si="1"/>
        <v>872974.65599999996</v>
      </c>
      <c r="R8" s="234"/>
    </row>
    <row r="9" spans="1:1024" ht="13.15" x14ac:dyDescent="0.4">
      <c r="A9" s="10" t="s">
        <v>27</v>
      </c>
      <c r="B9" s="69" t="s">
        <v>25</v>
      </c>
      <c r="C9" s="10"/>
      <c r="E9" s="151" t="s">
        <v>333</v>
      </c>
      <c r="F9" s="152">
        <f>(1/$F$3-1)*F8</f>
        <v>0</v>
      </c>
      <c r="G9" s="152">
        <f>(1/$F$3-1)*G8</f>
        <v>0</v>
      </c>
      <c r="H9" s="152">
        <f>(1/$F$3-1)*H8</f>
        <v>0</v>
      </c>
      <c r="I9" s="152">
        <f>(1/$F$3-1)*I8</f>
        <v>0</v>
      </c>
      <c r="L9" s="236">
        <v>5</v>
      </c>
      <c r="M9" s="42">
        <v>6986.32</v>
      </c>
      <c r="N9" s="42">
        <v>7121.1</v>
      </c>
      <c r="O9" s="42">
        <v>6986.32</v>
      </c>
      <c r="P9" s="42">
        <f t="shared" si="0"/>
        <v>6986.32</v>
      </c>
      <c r="Q9" s="42">
        <f t="shared" si="1"/>
        <v>559604.23199999996</v>
      </c>
      <c r="R9" s="234"/>
    </row>
    <row r="10" spans="1:1024" ht="13.15" x14ac:dyDescent="0.4">
      <c r="A10" s="67" t="s">
        <v>117</v>
      </c>
      <c r="B10" s="69" t="s">
        <v>365</v>
      </c>
      <c r="C10" s="10"/>
      <c r="E10" s="148" t="s">
        <v>334</v>
      </c>
      <c r="F10" s="240">
        <v>61</v>
      </c>
      <c r="G10" s="240">
        <v>61.18</v>
      </c>
      <c r="H10" s="240">
        <v>61.2</v>
      </c>
      <c r="I10" s="240">
        <v>61.09</v>
      </c>
      <c r="L10" s="236">
        <v>6</v>
      </c>
      <c r="M10" s="42">
        <v>4679.6499999999996</v>
      </c>
      <c r="N10" s="42">
        <v>4729.1000000000004</v>
      </c>
      <c r="O10" s="42">
        <v>4679.6499999999996</v>
      </c>
      <c r="P10" s="42">
        <f t="shared" si="0"/>
        <v>4679.6499999999996</v>
      </c>
      <c r="Q10" s="42">
        <f t="shared" si="1"/>
        <v>374839.96500000003</v>
      </c>
      <c r="R10" s="234"/>
    </row>
    <row r="11" spans="1:1024" x14ac:dyDescent="0.35">
      <c r="B11" s="70"/>
      <c r="E11" s="148" t="s">
        <v>315</v>
      </c>
      <c r="F11" s="153">
        <f>IF($F3=1, 1, F8/(F8+F10))</f>
        <v>1</v>
      </c>
      <c r="G11" s="153">
        <f>IF($F3=1, 1, G8/(G8+G10))</f>
        <v>1</v>
      </c>
      <c r="H11" s="153">
        <f>IF($F3=1, 1, H8/(H8+H10))</f>
        <v>1</v>
      </c>
      <c r="I11" s="153">
        <f>IF($F3=1, 1, I8/(I8+I10))</f>
        <v>1</v>
      </c>
      <c r="L11" s="236">
        <v>7</v>
      </c>
      <c r="M11" s="42">
        <v>3163.23</v>
      </c>
      <c r="N11" s="42">
        <v>3199.3</v>
      </c>
      <c r="O11" s="42">
        <v>3163.23</v>
      </c>
      <c r="P11" s="42">
        <f t="shared" si="0"/>
        <v>3163.23</v>
      </c>
      <c r="Q11" s="42">
        <f t="shared" si="1"/>
        <v>253374.723</v>
      </c>
      <c r="R11" s="234"/>
    </row>
    <row r="12" spans="1:1024" ht="13.9" x14ac:dyDescent="0.4">
      <c r="A12" s="10" t="s">
        <v>31</v>
      </c>
      <c r="B12" s="137">
        <v>31</v>
      </c>
      <c r="C12" s="10"/>
      <c r="L12" s="236">
        <v>8</v>
      </c>
      <c r="M12" s="42">
        <v>2175.4699999999998</v>
      </c>
      <c r="N12" s="42">
        <v>2280.6</v>
      </c>
      <c r="O12" s="42">
        <v>2175.4699999999998</v>
      </c>
      <c r="P12" s="42">
        <f t="shared" si="0"/>
        <v>2175.4699999999998</v>
      </c>
      <c r="Q12" s="42">
        <f t="shared" si="1"/>
        <v>174255.147</v>
      </c>
      <c r="R12" s="234"/>
    </row>
    <row r="13" spans="1:1024" hidden="1" x14ac:dyDescent="0.35">
      <c r="B13" s="70"/>
      <c r="L13" s="233">
        <v>9</v>
      </c>
      <c r="M13" s="42">
        <v>1512.11</v>
      </c>
      <c r="N13" s="42">
        <v>1615</v>
      </c>
      <c r="O13" s="42">
        <v>1512.11</v>
      </c>
      <c r="P13" s="42">
        <f t="shared" si="0"/>
        <v>1512.11</v>
      </c>
      <c r="Q13" s="42">
        <f t="shared" si="1"/>
        <v>121120.01099999998</v>
      </c>
      <c r="R13" s="234"/>
    </row>
    <row r="14" spans="1:1024" x14ac:dyDescent="0.35">
      <c r="A14" t="s">
        <v>118</v>
      </c>
      <c r="B14" s="70">
        <f>B12*1.5</f>
        <v>46.5</v>
      </c>
      <c r="L14" s="236">
        <v>10</v>
      </c>
      <c r="M14" s="42">
        <v>1079.78</v>
      </c>
      <c r="N14" s="42">
        <v>1130.5</v>
      </c>
      <c r="O14" s="42">
        <v>1079.78</v>
      </c>
      <c r="P14" s="42">
        <f t="shared" si="0"/>
        <v>1079.78</v>
      </c>
      <c r="Q14" s="42">
        <f t="shared" si="1"/>
        <v>86490.377999999997</v>
      </c>
      <c r="R14" s="234"/>
    </row>
    <row r="15" spans="1:1024" ht="13.5" x14ac:dyDescent="0.35">
      <c r="A15" t="s">
        <v>119</v>
      </c>
      <c r="B15" s="137">
        <v>6000</v>
      </c>
      <c r="L15" s="236">
        <v>11</v>
      </c>
      <c r="M15" s="42">
        <v>786.62</v>
      </c>
      <c r="N15" s="42">
        <v>816.2</v>
      </c>
      <c r="O15" s="42">
        <v>786.62</v>
      </c>
      <c r="P15" s="42">
        <f t="shared" si="0"/>
        <v>786.62</v>
      </c>
      <c r="Q15" s="42">
        <f t="shared" si="1"/>
        <v>63008.262000000002</v>
      </c>
      <c r="R15" s="234"/>
    </row>
    <row r="16" spans="1:1024" x14ac:dyDescent="0.35">
      <c r="A16" t="s">
        <v>120</v>
      </c>
      <c r="B16" s="71">
        <f>10^((LOG(B15)-LOG(B14))/(30-1))</f>
        <v>1.1824497666517551</v>
      </c>
      <c r="L16" s="236">
        <v>12</v>
      </c>
      <c r="M16" s="42">
        <v>586.05999999999995</v>
      </c>
      <c r="N16" s="42">
        <v>618.6</v>
      </c>
      <c r="O16" s="42">
        <v>586.05999999999995</v>
      </c>
      <c r="P16" s="42">
        <f t="shared" si="0"/>
        <v>586.05999999999995</v>
      </c>
      <c r="Q16" s="42">
        <f t="shared" si="1"/>
        <v>46943.405999999995</v>
      </c>
      <c r="R16" s="234"/>
    </row>
    <row r="17" spans="1:18" x14ac:dyDescent="0.35">
      <c r="L17" s="236">
        <v>13</v>
      </c>
      <c r="M17" s="42">
        <v>449.93</v>
      </c>
      <c r="N17" s="42">
        <v>481.9</v>
      </c>
      <c r="O17" s="42">
        <v>449.93</v>
      </c>
      <c r="P17" s="42">
        <f t="shared" si="0"/>
        <v>449.93</v>
      </c>
      <c r="Q17" s="42">
        <f t="shared" si="1"/>
        <v>36039.393000000004</v>
      </c>
      <c r="R17" s="234"/>
    </row>
    <row r="18" spans="1:18" x14ac:dyDescent="0.35">
      <c r="A18" s="68" t="s">
        <v>121</v>
      </c>
      <c r="B18" s="68" t="s">
        <v>122</v>
      </c>
      <c r="C18" s="68" t="s">
        <v>123</v>
      </c>
      <c r="D18" s="68" t="s">
        <v>124</v>
      </c>
      <c r="L18" s="236">
        <v>14</v>
      </c>
      <c r="M18" s="42">
        <v>352.62</v>
      </c>
      <c r="N18" s="42">
        <v>384.7</v>
      </c>
      <c r="O18" s="42">
        <v>352.62</v>
      </c>
      <c r="P18" s="42">
        <f t="shared" si="0"/>
        <v>352.62</v>
      </c>
      <c r="Q18" s="42">
        <f t="shared" si="1"/>
        <v>28244.861999999997</v>
      </c>
      <c r="R18" s="234"/>
    </row>
    <row r="19" spans="1:18" x14ac:dyDescent="0.35">
      <c r="A19">
        <v>4</v>
      </c>
      <c r="B19" s="43">
        <f>B12*1.5</f>
        <v>46.5</v>
      </c>
      <c r="C19" s="42">
        <f t="shared" ref="C19:C48" si="2">INT($B19+0.5)</f>
        <v>47</v>
      </c>
      <c r="D19" s="42">
        <f t="shared" ref="D19:D47" si="3">D20*B$16</f>
        <v>6000.0000000000146</v>
      </c>
      <c r="E19" s="68" t="s">
        <v>125</v>
      </c>
      <c r="L19" s="236">
        <v>15</v>
      </c>
      <c r="M19" s="42">
        <v>282.04000000000002</v>
      </c>
      <c r="N19" s="42">
        <v>314.60000000000002</v>
      </c>
      <c r="O19" s="42">
        <v>282.04000000000002</v>
      </c>
      <c r="P19" s="42">
        <f t="shared" si="0"/>
        <v>282.04000000000002</v>
      </c>
      <c r="Q19" s="42">
        <f t="shared" si="1"/>
        <v>22591.404000000002</v>
      </c>
      <c r="R19" s="234"/>
    </row>
    <row r="20" spans="1:18" x14ac:dyDescent="0.35">
      <c r="A20">
        <v>5</v>
      </c>
      <c r="B20" s="43">
        <f t="shared" ref="B20:B48" si="4">B19*B$16</f>
        <v>54.983914149306607</v>
      </c>
      <c r="C20" s="42">
        <f t="shared" si="2"/>
        <v>55</v>
      </c>
      <c r="D20" s="42">
        <f t="shared" si="3"/>
        <v>5074.2113273781742</v>
      </c>
      <c r="L20" s="236">
        <v>16</v>
      </c>
      <c r="M20" s="42">
        <v>229.42</v>
      </c>
      <c r="N20" s="42">
        <v>261.8</v>
      </c>
      <c r="O20" s="42">
        <v>229.42</v>
      </c>
      <c r="P20" s="42">
        <f t="shared" si="0"/>
        <v>229.42</v>
      </c>
      <c r="Q20" s="42">
        <f t="shared" si="1"/>
        <v>18376.541999999998</v>
      </c>
      <c r="R20" s="234"/>
    </row>
    <row r="21" spans="1:18" x14ac:dyDescent="0.35">
      <c r="A21">
        <v>6</v>
      </c>
      <c r="B21" s="43">
        <f t="shared" si="4"/>
        <v>65.01571645544773</v>
      </c>
      <c r="C21" s="42">
        <f t="shared" si="2"/>
        <v>65</v>
      </c>
      <c r="D21" s="42">
        <f t="shared" si="3"/>
        <v>4291.2700991488182</v>
      </c>
      <c r="L21" s="236">
        <v>17</v>
      </c>
      <c r="M21" s="42">
        <v>186.1</v>
      </c>
      <c r="N21" s="42">
        <v>221.2</v>
      </c>
      <c r="O21" s="42">
        <v>186.1</v>
      </c>
      <c r="P21" s="42">
        <f t="shared" si="0"/>
        <v>186.1</v>
      </c>
      <c r="Q21" s="42">
        <f t="shared" si="1"/>
        <v>14906.609999999999</v>
      </c>
      <c r="R21" s="234"/>
    </row>
    <row r="22" spans="1:18" x14ac:dyDescent="0.35">
      <c r="A22">
        <v>7</v>
      </c>
      <c r="B22" s="43">
        <f t="shared" si="4"/>
        <v>76.877818751440842</v>
      </c>
      <c r="C22" s="42">
        <f t="shared" si="2"/>
        <v>77</v>
      </c>
      <c r="D22" s="42">
        <f t="shared" si="3"/>
        <v>3629.1352243233573</v>
      </c>
      <c r="L22" s="236">
        <v>18</v>
      </c>
      <c r="M22" s="42">
        <v>153.87</v>
      </c>
      <c r="N22" s="42">
        <v>188.7</v>
      </c>
      <c r="O22" s="42">
        <v>153.87</v>
      </c>
      <c r="P22" s="42">
        <f t="shared" si="0"/>
        <v>153.87</v>
      </c>
      <c r="Q22" s="42">
        <f t="shared" si="1"/>
        <v>12324.986999999999</v>
      </c>
      <c r="R22" s="234"/>
    </row>
    <row r="23" spans="1:18" x14ac:dyDescent="0.35">
      <c r="A23">
        <v>8</v>
      </c>
      <c r="B23" s="43">
        <f t="shared" si="4"/>
        <v>90.904158843337143</v>
      </c>
      <c r="C23" s="42">
        <f t="shared" si="2"/>
        <v>91</v>
      </c>
      <c r="D23" s="42">
        <f t="shared" si="3"/>
        <v>3069.1665106414443</v>
      </c>
      <c r="L23" s="236">
        <v>19</v>
      </c>
      <c r="M23" s="42">
        <v>128.62</v>
      </c>
      <c r="N23" s="42">
        <v>161</v>
      </c>
      <c r="O23" s="42">
        <v>128.62</v>
      </c>
      <c r="P23" s="42">
        <f t="shared" si="0"/>
        <v>128.62</v>
      </c>
      <c r="Q23" s="42">
        <f t="shared" si="1"/>
        <v>10302.462</v>
      </c>
      <c r="R23" s="234"/>
    </row>
    <row r="24" spans="1:18" x14ac:dyDescent="0.35">
      <c r="A24">
        <v>9</v>
      </c>
      <c r="B24" s="43">
        <f t="shared" si="4"/>
        <v>107.48960141197809</v>
      </c>
      <c r="C24" s="42">
        <f t="shared" si="2"/>
        <v>107</v>
      </c>
      <c r="D24" s="42">
        <f t="shared" si="3"/>
        <v>2595.5999123177544</v>
      </c>
      <c r="L24" s="236">
        <v>20</v>
      </c>
      <c r="M24" s="42">
        <v>107.35</v>
      </c>
      <c r="N24" s="42">
        <v>136.4</v>
      </c>
      <c r="O24" s="42">
        <v>107.35</v>
      </c>
      <c r="P24" s="42">
        <f t="shared" si="0"/>
        <v>107.35</v>
      </c>
      <c r="Q24" s="42">
        <f t="shared" si="1"/>
        <v>8598.7350000000006</v>
      </c>
      <c r="R24" s="234"/>
    </row>
    <row r="25" spans="1:18" x14ac:dyDescent="0.35">
      <c r="A25">
        <v>10</v>
      </c>
      <c r="B25" s="43">
        <f t="shared" si="4"/>
        <v>127.10105410708364</v>
      </c>
      <c r="C25" s="42">
        <f t="shared" si="2"/>
        <v>127</v>
      </c>
      <c r="D25" s="42">
        <f t="shared" si="3"/>
        <v>2195.1037460707521</v>
      </c>
      <c r="E25" s="43"/>
      <c r="F25" s="43"/>
      <c r="L25" s="236">
        <v>21</v>
      </c>
      <c r="M25" s="42">
        <v>88.64</v>
      </c>
      <c r="N25" s="42">
        <v>114.4</v>
      </c>
      <c r="O25" s="42">
        <v>88.64</v>
      </c>
      <c r="P25" s="42">
        <f t="shared" si="0"/>
        <v>88.64</v>
      </c>
      <c r="Q25" s="42">
        <f t="shared" si="1"/>
        <v>7100.0640000000003</v>
      </c>
      <c r="R25" s="234"/>
    </row>
    <row r="26" spans="1:18" x14ac:dyDescent="0.35">
      <c r="A26">
        <v>11</v>
      </c>
      <c r="B26" s="43">
        <f t="shared" ref="B26:B38" si="5">B25*B$16</f>
        <v>150.29061177011314</v>
      </c>
      <c r="C26" s="42">
        <f t="shared" si="2"/>
        <v>150</v>
      </c>
      <c r="D26" s="42">
        <f t="shared" si="3"/>
        <v>1856.403382180408</v>
      </c>
      <c r="E26" s="43"/>
      <c r="F26" s="43"/>
      <c r="L26" s="236">
        <v>22</v>
      </c>
      <c r="M26" s="42">
        <v>75.56</v>
      </c>
      <c r="N26" s="42">
        <v>95.3</v>
      </c>
      <c r="O26" s="42">
        <v>75.56</v>
      </c>
      <c r="P26" s="42">
        <f t="shared" si="0"/>
        <v>75.56</v>
      </c>
      <c r="Q26" s="42">
        <f t="shared" si="1"/>
        <v>6052.3560000000007</v>
      </c>
      <c r="R26" s="234"/>
    </row>
    <row r="27" spans="1:18" x14ac:dyDescent="0.35">
      <c r="A27">
        <v>12</v>
      </c>
      <c r="B27" s="43">
        <f t="shared" si="5"/>
        <v>177.7110988175198</v>
      </c>
      <c r="C27" s="42">
        <f t="shared" si="2"/>
        <v>178</v>
      </c>
      <c r="D27" s="42">
        <f t="shared" si="3"/>
        <v>1569.9638450071595</v>
      </c>
      <c r="E27" s="43"/>
      <c r="F27" s="43"/>
      <c r="L27" s="236">
        <v>23</v>
      </c>
      <c r="M27" s="42">
        <v>61.94</v>
      </c>
      <c r="N27" s="42">
        <v>79</v>
      </c>
      <c r="O27" s="42">
        <v>61.94</v>
      </c>
      <c r="P27" s="42">
        <f t="shared" si="0"/>
        <v>61.94</v>
      </c>
      <c r="Q27" s="42">
        <f t="shared" si="1"/>
        <v>4961.3939999999993</v>
      </c>
      <c r="R27" s="234"/>
    </row>
    <row r="28" spans="1:18" x14ac:dyDescent="0.35">
      <c r="A28">
        <v>13</v>
      </c>
      <c r="B28" s="43">
        <f t="shared" si="5"/>
        <v>210.13444732820327</v>
      </c>
      <c r="C28" s="42">
        <f t="shared" si="2"/>
        <v>210</v>
      </c>
      <c r="D28" s="42">
        <f t="shared" si="3"/>
        <v>1327.7213876515837</v>
      </c>
      <c r="E28" s="43"/>
      <c r="F28" s="43"/>
      <c r="L28" s="236">
        <v>24</v>
      </c>
      <c r="M28" s="42">
        <v>50.86</v>
      </c>
      <c r="N28" s="42">
        <v>65.3</v>
      </c>
      <c r="O28" s="42">
        <v>50.86</v>
      </c>
      <c r="P28" s="42">
        <f t="shared" si="0"/>
        <v>50.86</v>
      </c>
      <c r="Q28" s="42">
        <f t="shared" si="1"/>
        <v>4073.886</v>
      </c>
      <c r="R28" s="234"/>
    </row>
    <row r="29" spans="1:18" x14ac:dyDescent="0.35">
      <c r="A29">
        <v>14</v>
      </c>
      <c r="B29" s="43">
        <f t="shared" si="5"/>
        <v>248.47342820872947</v>
      </c>
      <c r="C29" s="42">
        <f t="shared" si="2"/>
        <v>248</v>
      </c>
      <c r="D29" s="42">
        <f t="shared" si="3"/>
        <v>1122.8564841373195</v>
      </c>
      <c r="E29" s="43"/>
      <c r="F29" s="43"/>
      <c r="L29" s="236">
        <v>25</v>
      </c>
      <c r="M29" s="42">
        <v>41.61</v>
      </c>
      <c r="N29" s="42">
        <v>53.8</v>
      </c>
      <c r="O29" s="42">
        <v>41.61</v>
      </c>
      <c r="P29" s="42">
        <f t="shared" si="0"/>
        <v>41.61</v>
      </c>
      <c r="Q29" s="42">
        <f t="shared" si="1"/>
        <v>3332.9609999999998</v>
      </c>
      <c r="R29" s="234"/>
    </row>
    <row r="30" spans="1:18" x14ac:dyDescent="0.35">
      <c r="A30">
        <v>15</v>
      </c>
      <c r="B30" s="43">
        <f t="shared" si="5"/>
        <v>293.80734720457377</v>
      </c>
      <c r="C30" s="42">
        <f t="shared" si="2"/>
        <v>294</v>
      </c>
      <c r="D30" s="42">
        <f t="shared" si="3"/>
        <v>949.60184847160065</v>
      </c>
      <c r="E30" s="43"/>
      <c r="F30" s="43"/>
      <c r="L30" s="236">
        <v>26</v>
      </c>
      <c r="M30" s="42">
        <v>33.44</v>
      </c>
      <c r="N30" s="42">
        <v>44.6</v>
      </c>
      <c r="O30" s="42">
        <v>33.44</v>
      </c>
      <c r="P30" s="42">
        <f t="shared" si="0"/>
        <v>33.44</v>
      </c>
      <c r="Q30" s="42">
        <f t="shared" si="1"/>
        <v>2678.5439999999999</v>
      </c>
      <c r="R30" s="234"/>
    </row>
    <row r="31" spans="1:18" x14ac:dyDescent="0.35">
      <c r="A31">
        <v>16</v>
      </c>
      <c r="B31" s="43">
        <f t="shared" si="5"/>
        <v>347.41242914261943</v>
      </c>
      <c r="C31" s="42">
        <f t="shared" si="2"/>
        <v>347</v>
      </c>
      <c r="D31" s="42">
        <f t="shared" si="3"/>
        <v>803.08007600230621</v>
      </c>
      <c r="E31" s="43"/>
      <c r="F31" s="43"/>
      <c r="L31" s="236">
        <v>27</v>
      </c>
      <c r="M31" s="42">
        <v>26.08</v>
      </c>
      <c r="N31" s="42">
        <v>37</v>
      </c>
      <c r="O31" s="42">
        <v>26.08</v>
      </c>
      <c r="P31" s="42">
        <f t="shared" si="0"/>
        <v>26.08</v>
      </c>
      <c r="Q31" s="42">
        <f t="shared" si="1"/>
        <v>2089.0079999999998</v>
      </c>
      <c r="R31" s="234"/>
    </row>
    <row r="32" spans="1:18" x14ac:dyDescent="0.35">
      <c r="A32">
        <v>17</v>
      </c>
      <c r="B32" s="43">
        <f t="shared" si="5"/>
        <v>410.79774577160975</v>
      </c>
      <c r="C32" s="42">
        <f t="shared" si="2"/>
        <v>411</v>
      </c>
      <c r="D32" s="42">
        <f t="shared" si="3"/>
        <v>679.1663364071029</v>
      </c>
      <c r="E32" s="43"/>
      <c r="F32" s="43"/>
      <c r="L32" s="236">
        <v>28</v>
      </c>
      <c r="M32" s="42">
        <v>20.41</v>
      </c>
      <c r="N32" s="42">
        <v>30.7</v>
      </c>
      <c r="O32" s="42">
        <v>20.41</v>
      </c>
      <c r="P32" s="42">
        <f t="shared" si="0"/>
        <v>20.41</v>
      </c>
      <c r="Q32" s="42">
        <f t="shared" si="1"/>
        <v>1634.8409999999999</v>
      </c>
      <c r="R32" s="234"/>
    </row>
    <row r="33" spans="1:18" x14ac:dyDescent="0.35">
      <c r="A33">
        <v>18</v>
      </c>
      <c r="B33" s="43">
        <f t="shared" si="5"/>
        <v>485.74769862870693</v>
      </c>
      <c r="C33" s="42">
        <f t="shared" si="2"/>
        <v>486</v>
      </c>
      <c r="D33" s="42">
        <f t="shared" si="3"/>
        <v>574.37225289514151</v>
      </c>
      <c r="E33" s="43"/>
      <c r="F33" s="43"/>
      <c r="L33" s="236">
        <v>29</v>
      </c>
      <c r="M33" s="42">
        <v>16.39</v>
      </c>
      <c r="N33" s="42">
        <v>25.2</v>
      </c>
      <c r="O33" s="42">
        <v>16.39</v>
      </c>
      <c r="P33" s="42">
        <f t="shared" si="0"/>
        <v>16.39</v>
      </c>
      <c r="Q33" s="42">
        <f t="shared" si="1"/>
        <v>1312.8390000000002</v>
      </c>
      <c r="R33" s="234"/>
    </row>
    <row r="34" spans="1:18" ht="13.15" thickBot="1" x14ac:dyDescent="0.4">
      <c r="A34">
        <v>19</v>
      </c>
      <c r="B34" s="43">
        <f t="shared" si="5"/>
        <v>574.37225289514151</v>
      </c>
      <c r="C34" s="42">
        <f t="shared" si="2"/>
        <v>574</v>
      </c>
      <c r="D34" s="42">
        <f t="shared" si="3"/>
        <v>485.74769862870693</v>
      </c>
      <c r="E34" s="43"/>
      <c r="F34" s="43"/>
      <c r="L34" s="237">
        <v>30</v>
      </c>
      <c r="M34" s="238">
        <v>13.94</v>
      </c>
      <c r="N34" s="238">
        <v>20.100000000000001</v>
      </c>
      <c r="O34" s="238">
        <v>13.94</v>
      </c>
      <c r="P34" s="238">
        <f t="shared" si="0"/>
        <v>13.94</v>
      </c>
      <c r="Q34" s="238">
        <f t="shared" si="1"/>
        <v>1116.5939999999998</v>
      </c>
      <c r="R34" s="239"/>
    </row>
    <row r="35" spans="1:18" x14ac:dyDescent="0.35">
      <c r="A35">
        <v>20</v>
      </c>
      <c r="B35" s="43">
        <f t="shared" si="5"/>
        <v>679.1663364071029</v>
      </c>
      <c r="C35" s="42">
        <f t="shared" si="2"/>
        <v>679</v>
      </c>
      <c r="D35" s="42">
        <f t="shared" si="3"/>
        <v>410.79774577160975</v>
      </c>
      <c r="E35" s="43"/>
      <c r="F35" s="43"/>
    </row>
    <row r="36" spans="1:18" x14ac:dyDescent="0.35">
      <c r="A36">
        <v>21</v>
      </c>
      <c r="B36" s="43">
        <f t="shared" si="5"/>
        <v>803.08007600230621</v>
      </c>
      <c r="C36" s="42">
        <f t="shared" si="2"/>
        <v>803</v>
      </c>
      <c r="D36" s="42">
        <f t="shared" si="3"/>
        <v>347.41242914261943</v>
      </c>
      <c r="E36" s="43"/>
      <c r="F36" s="43"/>
    </row>
    <row r="37" spans="1:18" x14ac:dyDescent="0.35">
      <c r="A37">
        <v>22</v>
      </c>
      <c r="B37" s="43">
        <f t="shared" si="5"/>
        <v>949.60184847160065</v>
      </c>
      <c r="C37" s="42">
        <f t="shared" si="2"/>
        <v>950</v>
      </c>
      <c r="D37" s="42">
        <f t="shared" si="3"/>
        <v>293.80734720457377</v>
      </c>
      <c r="E37" s="43"/>
      <c r="F37" s="43"/>
    </row>
    <row r="38" spans="1:18" x14ac:dyDescent="0.35">
      <c r="A38">
        <v>23</v>
      </c>
      <c r="B38" s="43">
        <f t="shared" si="5"/>
        <v>1122.8564841373195</v>
      </c>
      <c r="C38" s="42">
        <f t="shared" si="2"/>
        <v>1123</v>
      </c>
      <c r="D38" s="42">
        <f t="shared" si="3"/>
        <v>248.47342820872947</v>
      </c>
      <c r="E38" s="43"/>
      <c r="F38" s="43"/>
    </row>
    <row r="39" spans="1:18" x14ac:dyDescent="0.35">
      <c r="A39">
        <v>24</v>
      </c>
      <c r="B39" s="43">
        <f t="shared" si="4"/>
        <v>1327.7213876515837</v>
      </c>
      <c r="C39" s="42">
        <f t="shared" si="2"/>
        <v>1328</v>
      </c>
      <c r="D39" s="42">
        <f t="shared" si="3"/>
        <v>210.13444732820327</v>
      </c>
    </row>
    <row r="40" spans="1:18" x14ac:dyDescent="0.35">
      <c r="A40">
        <v>25</v>
      </c>
      <c r="B40" s="43">
        <f t="shared" si="4"/>
        <v>1569.9638450071595</v>
      </c>
      <c r="C40" s="42">
        <f t="shared" si="2"/>
        <v>1570</v>
      </c>
      <c r="D40" s="42">
        <f t="shared" si="3"/>
        <v>177.7110988175198</v>
      </c>
    </row>
    <row r="41" spans="1:18" x14ac:dyDescent="0.35">
      <c r="A41">
        <v>26</v>
      </c>
      <c r="B41" s="43">
        <f t="shared" si="4"/>
        <v>1856.403382180408</v>
      </c>
      <c r="C41" s="42">
        <f t="shared" si="2"/>
        <v>1856</v>
      </c>
      <c r="D41" s="42">
        <f t="shared" si="3"/>
        <v>150.29061177011314</v>
      </c>
    </row>
    <row r="42" spans="1:18" x14ac:dyDescent="0.35">
      <c r="A42">
        <v>27</v>
      </c>
      <c r="B42" s="43">
        <f t="shared" si="4"/>
        <v>2195.1037460707521</v>
      </c>
      <c r="C42" s="42">
        <f t="shared" si="2"/>
        <v>2195</v>
      </c>
      <c r="D42" s="42">
        <f t="shared" si="3"/>
        <v>127.10105410708364</v>
      </c>
    </row>
    <row r="43" spans="1:18" x14ac:dyDescent="0.35">
      <c r="A43">
        <v>28</v>
      </c>
      <c r="B43" s="43">
        <f t="shared" si="4"/>
        <v>2595.5999123177544</v>
      </c>
      <c r="C43" s="42">
        <f t="shared" si="2"/>
        <v>2596</v>
      </c>
      <c r="D43" s="42">
        <f t="shared" si="3"/>
        <v>107.48960141197809</v>
      </c>
    </row>
    <row r="44" spans="1:18" x14ac:dyDescent="0.35">
      <c r="A44">
        <v>29</v>
      </c>
      <c r="B44" s="43">
        <f t="shared" si="4"/>
        <v>3069.1665106414443</v>
      </c>
      <c r="C44" s="42">
        <f t="shared" si="2"/>
        <v>3069</v>
      </c>
      <c r="D44" s="42">
        <f t="shared" si="3"/>
        <v>90.904158843337143</v>
      </c>
    </row>
    <row r="45" spans="1:18" x14ac:dyDescent="0.35">
      <c r="A45">
        <v>30</v>
      </c>
      <c r="B45" s="43">
        <f t="shared" si="4"/>
        <v>3629.1352243233573</v>
      </c>
      <c r="C45" s="42">
        <f t="shared" si="2"/>
        <v>3629</v>
      </c>
      <c r="D45" s="42">
        <f t="shared" si="3"/>
        <v>76.877818751440842</v>
      </c>
    </row>
    <row r="46" spans="1:18" x14ac:dyDescent="0.35">
      <c r="A46">
        <v>38</v>
      </c>
      <c r="B46" s="43">
        <f t="shared" si="4"/>
        <v>4291.2700991488182</v>
      </c>
      <c r="C46" s="42">
        <f t="shared" si="2"/>
        <v>4291</v>
      </c>
      <c r="D46" s="42">
        <f t="shared" si="3"/>
        <v>65.01571645544773</v>
      </c>
    </row>
    <row r="47" spans="1:18" x14ac:dyDescent="0.35">
      <c r="A47">
        <v>50</v>
      </c>
      <c r="B47" s="43">
        <f t="shared" si="4"/>
        <v>5074.2113273781742</v>
      </c>
      <c r="C47" s="42">
        <f t="shared" si="2"/>
        <v>5074</v>
      </c>
      <c r="D47" s="42">
        <f t="shared" si="3"/>
        <v>54.983914149306607</v>
      </c>
    </row>
    <row r="48" spans="1:18" x14ac:dyDescent="0.35">
      <c r="A48">
        <v>70</v>
      </c>
      <c r="B48" s="43">
        <f t="shared" si="4"/>
        <v>6000.0000000000146</v>
      </c>
      <c r="C48" s="42">
        <f t="shared" si="2"/>
        <v>6000</v>
      </c>
      <c r="D48" s="42">
        <f>$B$12*1.5</f>
        <v>46.5</v>
      </c>
      <c r="E48" s="68" t="s">
        <v>126</v>
      </c>
    </row>
    <row r="49" spans="1:31" x14ac:dyDescent="0.35">
      <c r="C49" s="68"/>
      <c r="E49" s="43"/>
      <c r="F49" s="42"/>
      <c r="G49" s="42"/>
    </row>
    <row r="50" spans="1:31" ht="13.15" x14ac:dyDescent="0.4">
      <c r="B50" s="65" t="s">
        <v>378</v>
      </c>
      <c r="E50" s="42"/>
    </row>
    <row r="51" spans="1:31" x14ac:dyDescent="0.35">
      <c r="A51" s="68" t="s">
        <v>203</v>
      </c>
      <c r="B51" s="42">
        <v>4</v>
      </c>
      <c r="C51" s="42">
        <v>5</v>
      </c>
      <c r="D51" s="42">
        <v>6</v>
      </c>
      <c r="E51" s="42">
        <v>7</v>
      </c>
      <c r="F51" s="42">
        <v>8</v>
      </c>
      <c r="G51" s="42">
        <v>9</v>
      </c>
      <c r="H51" s="42">
        <v>10</v>
      </c>
      <c r="I51" s="42">
        <v>11</v>
      </c>
      <c r="J51" s="42">
        <v>12</v>
      </c>
      <c r="K51" s="42">
        <v>13</v>
      </c>
      <c r="L51" s="42">
        <v>14</v>
      </c>
      <c r="M51" s="42">
        <v>15</v>
      </c>
      <c r="N51" s="42">
        <v>16</v>
      </c>
      <c r="O51" s="42">
        <v>17</v>
      </c>
      <c r="P51" s="42">
        <v>18</v>
      </c>
      <c r="Q51" s="42">
        <v>19</v>
      </c>
      <c r="R51" s="42">
        <v>20</v>
      </c>
      <c r="S51" s="42">
        <v>21</v>
      </c>
      <c r="T51" s="42">
        <v>22</v>
      </c>
      <c r="U51" s="42">
        <v>23</v>
      </c>
      <c r="V51" s="42">
        <v>24</v>
      </c>
      <c r="W51" s="42">
        <v>25</v>
      </c>
      <c r="X51" s="42">
        <v>26</v>
      </c>
      <c r="Y51" s="42">
        <v>27</v>
      </c>
      <c r="Z51" s="42">
        <v>28</v>
      </c>
      <c r="AA51" s="42">
        <v>29</v>
      </c>
      <c r="AB51" s="42">
        <v>30</v>
      </c>
      <c r="AC51" s="42">
        <v>38</v>
      </c>
      <c r="AD51" s="42">
        <v>50</v>
      </c>
      <c r="AE51" s="42">
        <v>70</v>
      </c>
    </row>
    <row r="52" spans="1:31" x14ac:dyDescent="0.35">
      <c r="A52" s="68" t="s">
        <v>327</v>
      </c>
      <c r="B52" s="42">
        <f>INT($B19+0.5)</f>
        <v>47</v>
      </c>
      <c r="C52" s="42">
        <f>INT($B20+0.5)</f>
        <v>55</v>
      </c>
      <c r="D52" s="42">
        <f>INT($B21+0.5)</f>
        <v>65</v>
      </c>
      <c r="E52" s="42">
        <f>INT($B22+0.5)</f>
        <v>77</v>
      </c>
      <c r="F52" s="42">
        <f>INT($B23+0.5)</f>
        <v>91</v>
      </c>
      <c r="G52" s="42">
        <f>INT($B24+0.5)</f>
        <v>107</v>
      </c>
      <c r="H52" s="42">
        <f>INT($B25+0.5)</f>
        <v>127</v>
      </c>
      <c r="I52" s="42">
        <f>INT($B26+0.5)</f>
        <v>150</v>
      </c>
      <c r="J52" s="42">
        <f>INT($B27+0.5)</f>
        <v>178</v>
      </c>
      <c r="K52" s="42">
        <f>INT($B28+0.5)</f>
        <v>210</v>
      </c>
      <c r="L52" s="42">
        <f>INT($B29+0.5)</f>
        <v>248</v>
      </c>
      <c r="M52" s="42">
        <f>INT($B30+0.5)</f>
        <v>294</v>
      </c>
      <c r="N52" s="42">
        <f>INT($B31+0.5)</f>
        <v>347</v>
      </c>
      <c r="O52" s="42">
        <f>INT($B32+0.5)</f>
        <v>411</v>
      </c>
      <c r="P52" s="42">
        <f>INT($B33+0.5)</f>
        <v>486</v>
      </c>
      <c r="Q52" s="42">
        <f>INT($B34+0.5)</f>
        <v>574</v>
      </c>
      <c r="R52" s="42">
        <f>INT($B35+0.5)</f>
        <v>679</v>
      </c>
      <c r="S52" s="42">
        <f>INT($B36+0.5)</f>
        <v>803</v>
      </c>
      <c r="T52" s="42">
        <f>INT($B37+0.5)</f>
        <v>950</v>
      </c>
      <c r="U52" s="42">
        <f>INT($B38+0.5)</f>
        <v>1123</v>
      </c>
      <c r="V52" s="42">
        <f>INT($B39+0.5)</f>
        <v>1328</v>
      </c>
      <c r="W52" s="42">
        <f>INT($B40+0.5)</f>
        <v>1570</v>
      </c>
      <c r="X52" s="42">
        <f>INT($B41+0.5)</f>
        <v>1856</v>
      </c>
      <c r="Y52" s="42">
        <f>INT($B42+0.5)</f>
        <v>2195</v>
      </c>
      <c r="Z52" s="42">
        <f>INT($B43+0.5)</f>
        <v>2596</v>
      </c>
      <c r="AA52" s="42">
        <f>INT($B44+0.5)</f>
        <v>3069</v>
      </c>
      <c r="AB52" s="42">
        <f>INT($B45+0.5)</f>
        <v>3629</v>
      </c>
      <c r="AC52" s="42">
        <f>INT($B46+0.5)</f>
        <v>4291</v>
      </c>
      <c r="AD52" s="42">
        <f>INT($B47+0.5)</f>
        <v>5074</v>
      </c>
      <c r="AE52" s="42">
        <f>INT($B48+0.5)</f>
        <v>6000</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32"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W100"/>
  <sheetViews>
    <sheetView tabSelected="1" zoomScale="85" zoomScaleNormal="85" workbookViewId="0"/>
  </sheetViews>
  <sheetFormatPr defaultColWidth="11.53125" defaultRowHeight="12.75" x14ac:dyDescent="0.35"/>
  <cols>
    <col min="12" max="12" width="12.3984375" customWidth="1"/>
  </cols>
  <sheetData>
    <row r="1" spans="1:49" x14ac:dyDescent="0.35">
      <c r="A1" t="s">
        <v>127</v>
      </c>
    </row>
    <row r="2" spans="1:49" ht="40.15" x14ac:dyDescent="0.4">
      <c r="A2" s="260" t="s">
        <v>267</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v>46009</v>
      </c>
      <c r="O4" s="75"/>
    </row>
    <row r="5" spans="1:49" ht="13.15" x14ac:dyDescent="0.4">
      <c r="A5" s="8" t="s">
        <v>116</v>
      </c>
      <c r="B5" s="76" t="s">
        <v>411</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380</v>
      </c>
      <c r="M7" s="65" t="s">
        <v>138</v>
      </c>
      <c r="P7" s="65"/>
    </row>
    <row r="8" spans="1:49" ht="13.15" x14ac:dyDescent="0.4">
      <c r="A8" s="68" t="s">
        <v>139</v>
      </c>
      <c r="B8" s="46">
        <f>B52</f>
        <v>7.8113840000000003</v>
      </c>
      <c r="C8" s="46">
        <f>C52</f>
        <v>8.4850410000000007</v>
      </c>
      <c r="D8" s="46">
        <f>D52</f>
        <v>8.487304</v>
      </c>
      <c r="E8" s="46">
        <f>E52</f>
        <v>8.4974600000000002</v>
      </c>
      <c r="F8" s="46">
        <f>F52</f>
        <v>8.4989059999999998</v>
      </c>
      <c r="G8" s="78">
        <f>AVERAGE(B$8:F$8)*5</f>
        <v>41.780095000000003</v>
      </c>
      <c r="I8" s="79"/>
      <c r="K8" s="79"/>
    </row>
    <row r="9" spans="1:49" ht="13.15" x14ac:dyDescent="0.4">
      <c r="A9" s="68" t="s">
        <v>140</v>
      </c>
      <c r="B9" s="42">
        <f>B53</f>
        <v>12748.444336</v>
      </c>
      <c r="C9" s="42">
        <f t="shared" ref="C9:F9" si="0">C53</f>
        <v>12757.982421999999</v>
      </c>
      <c r="D9" s="42">
        <f t="shared" si="0"/>
        <v>12023.959961</v>
      </c>
      <c r="E9" s="42">
        <f t="shared" si="0"/>
        <v>12393.349609000001</v>
      </c>
      <c r="F9" s="42">
        <f t="shared" si="0"/>
        <v>12082.966796999999</v>
      </c>
      <c r="G9" s="80">
        <f t="shared" ref="G9:G38" si="1">AVERAGE(B9:F9)</f>
        <v>12401.340625000001</v>
      </c>
      <c r="H9" s="81">
        <f t="shared" ref="H9:H38" si="2">G9*G$8</f>
        <v>518129.18943985942</v>
      </c>
      <c r="I9" s="79">
        <f t="shared" ref="I9:I38" si="3">STDEVP(B9:F9)/AVERAGE(B9:F9)</f>
        <v>2.5282226180954145E-2</v>
      </c>
      <c r="J9" s="79">
        <f t="shared" ref="J9:J38" si="4">IF(H9&gt;$A$43, $C$43, IF(H9&gt;$A$44, $C$44, IF(H9&gt;$A$45,$C$45,IF(H9&gt;$A$46,$C$46, IF(H9&gt;$A$47,$C$47,IF(H9&gt;$A$48,$C$48,$C$49))))))/100</f>
        <v>0.11</v>
      </c>
      <c r="K9" s="79">
        <f t="shared" ref="K9:K38" si="5">(MAX(B9:F9)-MIN(B9:F9))/G9</f>
        <v>5.9188960548368023E-2</v>
      </c>
      <c r="L9" s="42">
        <f>G9/'Clause 6'!$G$11</f>
        <v>12401.340625000001</v>
      </c>
      <c r="M9">
        <f t="shared" ref="M9:M38" si="6">COUNTA(B9:F9)</f>
        <v>5</v>
      </c>
      <c r="P9" s="42"/>
    </row>
    <row r="10" spans="1:49" ht="13.15" x14ac:dyDescent="0.4">
      <c r="A10" s="68" t="s">
        <v>141</v>
      </c>
      <c r="B10" s="42">
        <f t="shared" ref="B10:F10" si="7">B54</f>
        <v>11296.333008</v>
      </c>
      <c r="C10" s="42">
        <f t="shared" si="7"/>
        <v>11251.212890999999</v>
      </c>
      <c r="D10" s="42">
        <f t="shared" si="7"/>
        <v>10640.127930000001</v>
      </c>
      <c r="E10" s="42">
        <f t="shared" si="7"/>
        <v>10945.741211</v>
      </c>
      <c r="F10" s="42">
        <f t="shared" si="7"/>
        <v>10661.842773</v>
      </c>
      <c r="G10" s="80">
        <f t="shared" si="1"/>
        <v>10959.051562600001</v>
      </c>
      <c r="H10" s="81">
        <f t="shared" si="2"/>
        <v>457870.21539532655</v>
      </c>
      <c r="I10" s="79">
        <f t="shared" si="3"/>
        <v>2.5462806924735296E-2</v>
      </c>
      <c r="J10" s="79">
        <f t="shared" si="4"/>
        <v>0.11</v>
      </c>
      <c r="K10" s="79">
        <f t="shared" si="5"/>
        <v>5.9877907705027385E-2</v>
      </c>
      <c r="L10" s="42">
        <f>G10/'Clause 6'!$G$11</f>
        <v>10959.051562600001</v>
      </c>
      <c r="M10">
        <f t="shared" si="6"/>
        <v>5</v>
      </c>
      <c r="P10" s="42"/>
    </row>
    <row r="11" spans="1:49" ht="13.15" x14ac:dyDescent="0.4">
      <c r="A11" s="68" t="s">
        <v>142</v>
      </c>
      <c r="B11" s="42">
        <f t="shared" ref="B11:F11" si="8">B55</f>
        <v>9922.4414059999999</v>
      </c>
      <c r="C11" s="42">
        <f t="shared" si="8"/>
        <v>9850.6308590000008</v>
      </c>
      <c r="D11" s="42">
        <f t="shared" si="8"/>
        <v>9313.2050780000009</v>
      </c>
      <c r="E11" s="42">
        <f t="shared" si="8"/>
        <v>9592.7480469999991</v>
      </c>
      <c r="F11" s="42">
        <f t="shared" si="8"/>
        <v>9323.3173829999996</v>
      </c>
      <c r="G11" s="80">
        <f t="shared" si="1"/>
        <v>9600.4685546000001</v>
      </c>
      <c r="H11" s="81">
        <f t="shared" si="2"/>
        <v>401108.48825570074</v>
      </c>
      <c r="I11" s="79">
        <f t="shared" si="3"/>
        <v>2.6582247295754358E-2</v>
      </c>
      <c r="J11" s="79">
        <f t="shared" si="4"/>
        <v>0.11</v>
      </c>
      <c r="K11" s="79">
        <f t="shared" si="5"/>
        <v>6.3459020206684341E-2</v>
      </c>
      <c r="L11" s="42">
        <f>G11/'Clause 6'!$G$11</f>
        <v>9600.4685546000001</v>
      </c>
      <c r="M11">
        <f t="shared" si="6"/>
        <v>5</v>
      </c>
      <c r="P11" s="42"/>
    </row>
    <row r="12" spans="1:49" ht="13.15" x14ac:dyDescent="0.4">
      <c r="A12" s="68" t="s">
        <v>143</v>
      </c>
      <c r="B12" s="42">
        <f t="shared" ref="B12:F12" si="9">B56</f>
        <v>8671.9589840000008</v>
      </c>
      <c r="C12" s="42">
        <f t="shared" si="9"/>
        <v>8575.4453119999998</v>
      </c>
      <c r="D12" s="42">
        <f t="shared" si="9"/>
        <v>8127.3159180000002</v>
      </c>
      <c r="E12" s="42">
        <f t="shared" si="9"/>
        <v>8358.9677730000003</v>
      </c>
      <c r="F12" s="42">
        <f t="shared" si="9"/>
        <v>8116.9267579999996</v>
      </c>
      <c r="G12" s="80">
        <f t="shared" si="1"/>
        <v>8370.1229490000005</v>
      </c>
      <c r="H12" s="81">
        <f t="shared" si="2"/>
        <v>349704.53197090019</v>
      </c>
      <c r="I12" s="79">
        <f t="shared" si="3"/>
        <v>2.7057317584417987E-2</v>
      </c>
      <c r="J12" s="79">
        <f t="shared" si="4"/>
        <v>0.11</v>
      </c>
      <c r="K12" s="79">
        <f t="shared" si="5"/>
        <v>6.6311119846371225E-2</v>
      </c>
      <c r="L12" s="42">
        <f>G12/'Clause 6'!$G$11</f>
        <v>8370.1229490000005</v>
      </c>
      <c r="M12">
        <f t="shared" si="6"/>
        <v>5</v>
      </c>
      <c r="P12" s="42"/>
    </row>
    <row r="13" spans="1:49" ht="13.15" x14ac:dyDescent="0.4">
      <c r="A13" s="68" t="s">
        <v>144</v>
      </c>
      <c r="B13" s="42">
        <f t="shared" ref="B13:F13" si="10">B57</f>
        <v>7569.9770509999998</v>
      </c>
      <c r="C13" s="42">
        <f t="shared" si="10"/>
        <v>7458.7739259999998</v>
      </c>
      <c r="D13" s="42">
        <f t="shared" si="10"/>
        <v>7061.8422849999997</v>
      </c>
      <c r="E13" s="42">
        <f t="shared" si="10"/>
        <v>7278.4101559999999</v>
      </c>
      <c r="F13" s="42">
        <f t="shared" si="10"/>
        <v>7044.4360349999997</v>
      </c>
      <c r="G13" s="80">
        <f t="shared" si="1"/>
        <v>7282.6878906000002</v>
      </c>
      <c r="H13" s="81">
        <f t="shared" si="2"/>
        <v>304271.39192461764</v>
      </c>
      <c r="I13" s="79">
        <f t="shared" si="3"/>
        <v>2.8743582857902194E-2</v>
      </c>
      <c r="J13" s="79">
        <f t="shared" si="4"/>
        <v>0.11</v>
      </c>
      <c r="K13" s="79">
        <f t="shared" si="5"/>
        <v>7.2163056263654088E-2</v>
      </c>
      <c r="L13" s="42">
        <f>G13/'Clause 6'!$G$11</f>
        <v>7282.6878906000002</v>
      </c>
      <c r="M13">
        <f t="shared" si="6"/>
        <v>5</v>
      </c>
      <c r="P13" s="42"/>
    </row>
    <row r="14" spans="1:49" ht="13.15" x14ac:dyDescent="0.4">
      <c r="A14" s="68" t="s">
        <v>145</v>
      </c>
      <c r="B14" s="42">
        <f t="shared" ref="B14:F14" si="11">B58</f>
        <v>6586.9248049999997</v>
      </c>
      <c r="C14" s="42">
        <f t="shared" si="11"/>
        <v>6473.6284180000002</v>
      </c>
      <c r="D14" s="42">
        <f t="shared" si="11"/>
        <v>6130.3330079999996</v>
      </c>
      <c r="E14" s="42">
        <f t="shared" si="11"/>
        <v>6320.7119140000004</v>
      </c>
      <c r="F14" s="42">
        <f t="shared" si="11"/>
        <v>6114.1987300000001</v>
      </c>
      <c r="G14" s="80">
        <f t="shared" si="1"/>
        <v>6325.1593749999993</v>
      </c>
      <c r="H14" s="81">
        <f t="shared" si="2"/>
        <v>264265.75957764062</v>
      </c>
      <c r="I14" s="79">
        <f t="shared" si="3"/>
        <v>2.9411956220666263E-2</v>
      </c>
      <c r="J14" s="79">
        <f t="shared" si="4"/>
        <v>0.11</v>
      </c>
      <c r="K14" s="79">
        <f t="shared" si="5"/>
        <v>7.4737417189586569E-2</v>
      </c>
      <c r="L14" s="42">
        <f>G14/'Clause 6'!$G$11</f>
        <v>6325.1593749999993</v>
      </c>
      <c r="M14">
        <f t="shared" si="6"/>
        <v>5</v>
      </c>
      <c r="P14" s="42"/>
    </row>
    <row r="15" spans="1:49" ht="13.15" x14ac:dyDescent="0.4">
      <c r="A15" s="68" t="s">
        <v>146</v>
      </c>
      <c r="B15" s="42">
        <f t="shared" ref="B15:F15" si="12">B59</f>
        <v>5658.7919920000004</v>
      </c>
      <c r="C15" s="42">
        <f t="shared" si="12"/>
        <v>5542.578125</v>
      </c>
      <c r="D15" s="42">
        <f t="shared" si="12"/>
        <v>5241.3583980000003</v>
      </c>
      <c r="E15" s="42">
        <f t="shared" si="12"/>
        <v>5390.3164059999999</v>
      </c>
      <c r="F15" s="42">
        <f t="shared" si="12"/>
        <v>5217.0244140000004</v>
      </c>
      <c r="G15" s="80">
        <f t="shared" si="1"/>
        <v>5410.0138669999997</v>
      </c>
      <c r="H15" s="81">
        <f t="shared" si="2"/>
        <v>226030.89331457738</v>
      </c>
      <c r="I15" s="79">
        <f t="shared" si="3"/>
        <v>3.1536241277677492E-2</v>
      </c>
      <c r="J15" s="79">
        <f t="shared" si="4"/>
        <v>0.11</v>
      </c>
      <c r="K15" s="79">
        <f t="shared" si="5"/>
        <v>8.1657383670436345E-2</v>
      </c>
      <c r="L15" s="42">
        <f>G15/'Clause 6'!$G$11</f>
        <v>5410.0138669999997</v>
      </c>
      <c r="M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2">
        <f t="shared" ref="B16:F16" si="13">B60</f>
        <v>4823.6010740000002</v>
      </c>
      <c r="C16" s="42">
        <f t="shared" si="13"/>
        <v>4705.1040039999998</v>
      </c>
      <c r="D16" s="42">
        <f t="shared" si="13"/>
        <v>4447.1132809999999</v>
      </c>
      <c r="E16" s="42">
        <f t="shared" si="13"/>
        <v>4590.4301759999998</v>
      </c>
      <c r="F16" s="42">
        <f t="shared" si="13"/>
        <v>4430.5703119999998</v>
      </c>
      <c r="G16" s="80">
        <f t="shared" si="1"/>
        <v>4599.3637693999999</v>
      </c>
      <c r="H16" s="81">
        <f t="shared" si="2"/>
        <v>192161.85522509011</v>
      </c>
      <c r="I16" s="79">
        <f t="shared" si="3"/>
        <v>3.2716624533865923E-2</v>
      </c>
      <c r="J16" s="79">
        <f t="shared" si="4"/>
        <v>0.11</v>
      </c>
      <c r="K16" s="79">
        <f t="shared" si="5"/>
        <v>8.545328912987292E-2</v>
      </c>
      <c r="L16" s="42">
        <f>G16/'Clause 6'!$G$11</f>
        <v>4599.3637693999999</v>
      </c>
      <c r="M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2">
        <f t="shared" ref="B17:F17" si="14">B61</f>
        <v>4052.2907709999999</v>
      </c>
      <c r="C17" s="42">
        <f t="shared" si="14"/>
        <v>3942.4677729999999</v>
      </c>
      <c r="D17" s="42">
        <f t="shared" si="14"/>
        <v>3703.1784670000002</v>
      </c>
      <c r="E17" s="42">
        <f t="shared" si="14"/>
        <v>3827.2612300000001</v>
      </c>
      <c r="F17" s="42">
        <f t="shared" si="14"/>
        <v>3675.7670899999998</v>
      </c>
      <c r="G17" s="80">
        <f t="shared" si="1"/>
        <v>3840.1930662</v>
      </c>
      <c r="H17" s="81">
        <f t="shared" si="2"/>
        <v>160443.63112417731</v>
      </c>
      <c r="I17" s="79">
        <f t="shared" si="3"/>
        <v>3.7087482347580511E-2</v>
      </c>
      <c r="J17" s="79">
        <f t="shared" si="4"/>
        <v>0.11</v>
      </c>
      <c r="K17" s="79">
        <f t="shared" si="5"/>
        <v>9.8048112297797294E-2</v>
      </c>
      <c r="L17" s="42">
        <f>G17/'Clause 6'!$G$11</f>
        <v>3840.1930662</v>
      </c>
      <c r="M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2">
        <f t="shared" ref="B18:F18" si="15">B62</f>
        <v>3367.008789</v>
      </c>
      <c r="C18" s="42">
        <f t="shared" si="15"/>
        <v>3259.1477049999999</v>
      </c>
      <c r="D18" s="42">
        <f t="shared" si="15"/>
        <v>3081.5439449999999</v>
      </c>
      <c r="E18" s="42">
        <f t="shared" si="15"/>
        <v>3162.474365</v>
      </c>
      <c r="F18" s="42">
        <f t="shared" si="15"/>
        <v>3043.8034670000002</v>
      </c>
      <c r="G18" s="80">
        <f t="shared" si="1"/>
        <v>3182.7956542000002</v>
      </c>
      <c r="H18" s="81">
        <f t="shared" si="2"/>
        <v>132977.50479806316</v>
      </c>
      <c r="I18" s="79">
        <f t="shared" si="3"/>
        <v>3.7108339181905411E-2</v>
      </c>
      <c r="J18" s="79">
        <f t="shared" si="4"/>
        <v>0.11</v>
      </c>
      <c r="K18" s="79">
        <f t="shared" si="5"/>
        <v>0.10154761948776063</v>
      </c>
      <c r="L18" s="42">
        <f>G18/'Clause 6'!$G$11</f>
        <v>3182.7956542000002</v>
      </c>
      <c r="M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2">
        <f t="shared" ref="B19:F19" si="16">B63</f>
        <v>2748.0405270000001</v>
      </c>
      <c r="C19" s="42">
        <f t="shared" si="16"/>
        <v>2656.9111330000001</v>
      </c>
      <c r="D19" s="42">
        <f t="shared" si="16"/>
        <v>2502.679443</v>
      </c>
      <c r="E19" s="42">
        <f t="shared" si="16"/>
        <v>2571.0034179999998</v>
      </c>
      <c r="F19" s="42">
        <f t="shared" si="16"/>
        <v>2473.4948730000001</v>
      </c>
      <c r="G19" s="80">
        <f t="shared" si="1"/>
        <v>2590.4258787999997</v>
      </c>
      <c r="H19" s="81">
        <f t="shared" si="2"/>
        <v>108228.23930672248</v>
      </c>
      <c r="I19" s="79">
        <f t="shared" si="3"/>
        <v>3.899247794854941E-2</v>
      </c>
      <c r="J19" s="79">
        <f t="shared" si="4"/>
        <v>0.11</v>
      </c>
      <c r="K19" s="79">
        <f t="shared" si="5"/>
        <v>0.10598475572950257</v>
      </c>
      <c r="L19" s="42">
        <f>G19/'Clause 6'!$G$11</f>
        <v>2590.4258787999997</v>
      </c>
      <c r="M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2">
        <f t="shared" ref="B20:F20" si="17">B64</f>
        <v>2193.0812989999999</v>
      </c>
      <c r="C20" s="42">
        <f t="shared" si="17"/>
        <v>2112.6591800000001</v>
      </c>
      <c r="D20" s="42">
        <f t="shared" si="17"/>
        <v>1992.976807</v>
      </c>
      <c r="E20" s="42">
        <f t="shared" si="17"/>
        <v>2039.6682129999999</v>
      </c>
      <c r="F20" s="42"/>
      <c r="G20" s="80">
        <f t="shared" si="1"/>
        <v>2084.59637475</v>
      </c>
      <c r="H20" s="81">
        <f t="shared" si="2"/>
        <v>87094.634573710602</v>
      </c>
      <c r="I20" s="79">
        <f t="shared" si="3"/>
        <v>3.6351372803970973E-2</v>
      </c>
      <c r="J20" s="79">
        <f t="shared" si="4"/>
        <v>0.11</v>
      </c>
      <c r="K20" s="79">
        <f t="shared" si="5"/>
        <v>9.5991960085797384E-2</v>
      </c>
      <c r="L20" s="42">
        <f>G20/'Clause 6'!$G$11</f>
        <v>2084.59637475</v>
      </c>
      <c r="M20">
        <f t="shared" si="6"/>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2">
        <f t="shared" ref="B21:F21" si="18">B65</f>
        <v>1726.4545900000001</v>
      </c>
      <c r="C21" s="42">
        <f t="shared" si="18"/>
        <v>1663.1623540000001</v>
      </c>
      <c r="D21" s="42">
        <f t="shared" si="18"/>
        <v>1566.221802</v>
      </c>
      <c r="E21" s="42">
        <f t="shared" si="18"/>
        <v>1610.1281739999999</v>
      </c>
      <c r="F21" s="42"/>
      <c r="G21" s="80">
        <f t="shared" si="1"/>
        <v>1641.4917300000002</v>
      </c>
      <c r="H21" s="81">
        <f t="shared" si="2"/>
        <v>68581.680421114361</v>
      </c>
      <c r="I21" s="79">
        <f t="shared" si="3"/>
        <v>3.6472757552892372E-2</v>
      </c>
      <c r="J21" s="79">
        <f t="shared" si="4"/>
        <v>0.11</v>
      </c>
      <c r="K21" s="79">
        <f t="shared" si="5"/>
        <v>9.7614130532354251E-2</v>
      </c>
      <c r="L21" s="42">
        <f>G21/'Clause 6'!$G$11</f>
        <v>1641.4917300000002</v>
      </c>
      <c r="M21">
        <f t="shared" si="6"/>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2">
        <f t="shared" ref="B22:F22" si="19">B66</f>
        <v>1346.1123050000001</v>
      </c>
      <c r="C22" s="42">
        <f t="shared" si="19"/>
        <v>1285.7923579999999</v>
      </c>
      <c r="D22" s="42">
        <f t="shared" si="19"/>
        <v>1210.9853519999999</v>
      </c>
      <c r="E22" s="42">
        <f t="shared" si="19"/>
        <v>1246.7254640000001</v>
      </c>
      <c r="F22" s="42"/>
      <c r="G22" s="80">
        <f t="shared" si="1"/>
        <v>1272.40386975</v>
      </c>
      <c r="H22" s="81">
        <f t="shared" si="2"/>
        <v>53161.154556522633</v>
      </c>
      <c r="I22" s="79">
        <f t="shared" si="3"/>
        <v>3.9381662751899561E-2</v>
      </c>
      <c r="J22" s="79">
        <f t="shared" si="4"/>
        <v>0.11</v>
      </c>
      <c r="K22" s="79">
        <f t="shared" si="5"/>
        <v>0.10619816255867701</v>
      </c>
      <c r="L22" s="42">
        <f>G22/'Clause 6'!$G$11</f>
        <v>1272.40386975</v>
      </c>
      <c r="M22">
        <f t="shared" si="6"/>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2">
        <f t="shared" ref="B23:F23" si="20">B67</f>
        <v>1032.8515620000001</v>
      </c>
      <c r="C23" s="42">
        <f t="shared" si="20"/>
        <v>978.30999799999995</v>
      </c>
      <c r="D23" s="42">
        <f t="shared" si="20"/>
        <v>925.97131300000001</v>
      </c>
      <c r="E23" s="42">
        <f t="shared" si="20"/>
        <v>954.40283199999999</v>
      </c>
      <c r="F23" s="42"/>
      <c r="G23" s="80">
        <f t="shared" si="1"/>
        <v>972.88392625000006</v>
      </c>
      <c r="H23" s="81">
        <f t="shared" si="2"/>
        <v>40647.182862697999</v>
      </c>
      <c r="I23" s="79">
        <f t="shared" si="3"/>
        <v>4.0362473144075692E-2</v>
      </c>
      <c r="J23" s="79">
        <f t="shared" si="4"/>
        <v>0.11</v>
      </c>
      <c r="K23" s="79">
        <f t="shared" si="5"/>
        <v>0.10985919914616335</v>
      </c>
      <c r="L23" s="42">
        <f>G23/'Clause 6'!$G$11</f>
        <v>972.88392625000006</v>
      </c>
      <c r="M23">
        <f t="shared" si="6"/>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2">
        <f t="shared" ref="B24:F24" si="21">B68</f>
        <v>797.80993699999999</v>
      </c>
      <c r="C24" s="42">
        <f t="shared" si="21"/>
        <v>751.08654799999999</v>
      </c>
      <c r="D24" s="42">
        <f t="shared" si="21"/>
        <v>709.76605199999995</v>
      </c>
      <c r="E24" s="42">
        <f t="shared" si="21"/>
        <v>727.98223900000005</v>
      </c>
      <c r="F24" s="42">
        <f t="shared" si="21"/>
        <v>665.37976100000003</v>
      </c>
      <c r="G24" s="80">
        <f t="shared" si="1"/>
        <v>730.40490740000007</v>
      </c>
      <c r="H24" s="81">
        <f t="shared" si="2"/>
        <v>30516.386419638209</v>
      </c>
      <c r="I24" s="79">
        <f t="shared" si="3"/>
        <v>6.0088738366929823E-2</v>
      </c>
      <c r="J24" s="79">
        <f t="shared" si="4"/>
        <v>0.11</v>
      </c>
      <c r="K24" s="79">
        <f t="shared" si="5"/>
        <v>0.18131063285350532</v>
      </c>
      <c r="L24" s="42">
        <f>G24/'Clause 6'!$G$11</f>
        <v>730.40490740000007</v>
      </c>
      <c r="M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2">
        <f t="shared" ref="B25:F25" si="22">B69</f>
        <v>610.519226</v>
      </c>
      <c r="C25" s="42">
        <f t="shared" si="22"/>
        <v>568.64782700000001</v>
      </c>
      <c r="D25" s="42">
        <f t="shared" si="22"/>
        <v>537.74438499999997</v>
      </c>
      <c r="E25" s="42">
        <f t="shared" si="22"/>
        <v>552.87109399999997</v>
      </c>
      <c r="F25" s="42">
        <f t="shared" si="22"/>
        <v>502.77056900000002</v>
      </c>
      <c r="G25" s="80">
        <f t="shared" si="1"/>
        <v>554.51062020000006</v>
      </c>
      <c r="H25" s="81">
        <f t="shared" si="2"/>
        <v>23167.506390464921</v>
      </c>
      <c r="I25" s="79">
        <f t="shared" si="3"/>
        <v>6.4002135227368542E-2</v>
      </c>
      <c r="J25" s="79">
        <f t="shared" si="4"/>
        <v>0.11</v>
      </c>
      <c r="K25" s="79">
        <f t="shared" si="5"/>
        <v>0.19431306286097344</v>
      </c>
      <c r="L25" s="42">
        <f>G25/'Clause 6'!$G$11</f>
        <v>554.51062020000006</v>
      </c>
      <c r="M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2">
        <f t="shared" ref="B26:F26" si="23">B70</f>
        <v>471.87539700000002</v>
      </c>
      <c r="C26" s="42">
        <f t="shared" si="23"/>
        <v>432.17236300000002</v>
      </c>
      <c r="D26" s="42">
        <f t="shared" si="23"/>
        <v>413.67672700000003</v>
      </c>
      <c r="E26" s="42">
        <f t="shared" si="23"/>
        <v>428.12792999999999</v>
      </c>
      <c r="F26" s="42">
        <f t="shared" si="23"/>
        <v>375.930725</v>
      </c>
      <c r="G26" s="80">
        <f t="shared" si="1"/>
        <v>424.35662840000003</v>
      </c>
      <c r="H26" s="81">
        <f t="shared" si="2"/>
        <v>17729.660248431701</v>
      </c>
      <c r="I26" s="79">
        <f t="shared" si="3"/>
        <v>7.2956454206185586E-2</v>
      </c>
      <c r="J26" s="79">
        <f t="shared" si="4"/>
        <v>0.11</v>
      </c>
      <c r="K26" s="79">
        <f t="shared" si="5"/>
        <v>0.22609443467809401</v>
      </c>
      <c r="L26" s="42">
        <f>G26/'Clause 6'!$G$11</f>
        <v>424.35662840000003</v>
      </c>
      <c r="M26">
        <f t="shared" si="6"/>
        <v>5</v>
      </c>
      <c r="P26" s="42"/>
    </row>
    <row r="27" spans="1:49" ht="13.15" x14ac:dyDescent="0.4">
      <c r="A27" s="68" t="s">
        <v>158</v>
      </c>
      <c r="B27" s="42">
        <f t="shared" ref="B27:F27" si="24">B71</f>
        <v>362.67581200000001</v>
      </c>
      <c r="C27" s="42">
        <f t="shared" si="24"/>
        <v>338.124481</v>
      </c>
      <c r="D27" s="42">
        <f t="shared" si="24"/>
        <v>318.94699100000003</v>
      </c>
      <c r="E27" s="42">
        <f t="shared" si="24"/>
        <v>328.56875600000001</v>
      </c>
      <c r="F27" s="42">
        <f t="shared" si="24"/>
        <v>283.33056599999998</v>
      </c>
      <c r="G27" s="80">
        <f t="shared" si="1"/>
        <v>326.32932120000004</v>
      </c>
      <c r="H27" s="81">
        <f t="shared" si="2"/>
        <v>13634.070041021516</v>
      </c>
      <c r="I27" s="79">
        <f t="shared" si="3"/>
        <v>7.9539640305891515E-2</v>
      </c>
      <c r="J27" s="79">
        <f t="shared" si="4"/>
        <v>0.11</v>
      </c>
      <c r="K27" s="79">
        <f t="shared" si="5"/>
        <v>0.24314470335741323</v>
      </c>
      <c r="L27" s="42">
        <f>G27/'Clause 6'!$G$11</f>
        <v>326.32932120000004</v>
      </c>
      <c r="M27">
        <f t="shared" si="6"/>
        <v>5</v>
      </c>
      <c r="P27" s="42"/>
    </row>
    <row r="28" spans="1:49" ht="13.15" x14ac:dyDescent="0.4">
      <c r="A28" s="68" t="s">
        <v>159</v>
      </c>
      <c r="B28" s="42">
        <f t="shared" ref="B28:F28" si="25">B72</f>
        <v>277.287598</v>
      </c>
      <c r="C28" s="42">
        <f t="shared" si="25"/>
        <v>260.81195100000002</v>
      </c>
      <c r="D28" s="42">
        <f t="shared" si="25"/>
        <v>240.123367</v>
      </c>
      <c r="E28" s="42">
        <f t="shared" si="25"/>
        <v>252.192993</v>
      </c>
      <c r="F28" s="42">
        <f t="shared" si="25"/>
        <v>213.43924000000001</v>
      </c>
      <c r="G28" s="80">
        <f t="shared" si="1"/>
        <v>248.77102980000001</v>
      </c>
      <c r="H28" s="81">
        <f t="shared" si="2"/>
        <v>10393.677258291833</v>
      </c>
      <c r="I28" s="79">
        <f t="shared" si="3"/>
        <v>8.6083073164871154E-2</v>
      </c>
      <c r="J28" s="79">
        <f t="shared" si="4"/>
        <v>0.11</v>
      </c>
      <c r="K28" s="79">
        <f t="shared" si="5"/>
        <v>0.25665511796663387</v>
      </c>
      <c r="L28" s="42">
        <f>G28/'Clause 6'!$G$11</f>
        <v>248.77102980000001</v>
      </c>
      <c r="M28">
        <f t="shared" si="6"/>
        <v>5</v>
      </c>
      <c r="P28" s="42"/>
    </row>
    <row r="29" spans="1:49" ht="13.15" x14ac:dyDescent="0.4">
      <c r="A29" s="68" t="s">
        <v>160</v>
      </c>
      <c r="B29" s="42">
        <f t="shared" ref="B29:F29" si="26">B73</f>
        <v>211.998276</v>
      </c>
      <c r="C29" s="42">
        <f t="shared" si="26"/>
        <v>201.649002</v>
      </c>
      <c r="D29" s="42">
        <f t="shared" si="26"/>
        <v>181.447495</v>
      </c>
      <c r="E29" s="42">
        <f t="shared" si="26"/>
        <v>192.99884</v>
      </c>
      <c r="F29" s="42">
        <f t="shared" si="26"/>
        <v>157.43202199999999</v>
      </c>
      <c r="G29" s="80">
        <f t="shared" si="1"/>
        <v>189.10512699999998</v>
      </c>
      <c r="H29" s="81">
        <f t="shared" si="2"/>
        <v>7900.8301710470651</v>
      </c>
      <c r="I29" s="79">
        <f t="shared" si="3"/>
        <v>9.916864005134178E-2</v>
      </c>
      <c r="J29" s="79">
        <f t="shared" si="4"/>
        <v>0.113</v>
      </c>
      <c r="K29" s="79">
        <f t="shared" si="5"/>
        <v>0.28854983926480227</v>
      </c>
      <c r="L29" s="42">
        <f>G29/'Clause 6'!$G$11</f>
        <v>189.10512699999998</v>
      </c>
      <c r="M29">
        <f t="shared" si="6"/>
        <v>5</v>
      </c>
      <c r="P29" s="42"/>
    </row>
    <row r="30" spans="1:49" ht="13.15" x14ac:dyDescent="0.4">
      <c r="A30" s="68" t="s">
        <v>161</v>
      </c>
      <c r="B30" s="42">
        <f t="shared" ref="B30:F30" si="27">B74</f>
        <v>154.39004499999999</v>
      </c>
      <c r="C30" s="42">
        <f t="shared" si="27"/>
        <v>156.98216199999999</v>
      </c>
      <c r="D30" s="42">
        <f t="shared" si="27"/>
        <v>137.97079500000001</v>
      </c>
      <c r="E30" s="42">
        <f t="shared" si="27"/>
        <v>146.04364000000001</v>
      </c>
      <c r="F30" s="42">
        <f t="shared" si="27"/>
        <v>117.42688</v>
      </c>
      <c r="G30" s="80">
        <f t="shared" si="1"/>
        <v>142.5627044</v>
      </c>
      <c r="H30" s="81">
        <f t="shared" si="2"/>
        <v>5956.2833332889186</v>
      </c>
      <c r="I30" s="79">
        <f t="shared" si="3"/>
        <v>9.9833197949531341E-2</v>
      </c>
      <c r="J30" s="79">
        <f t="shared" si="4"/>
        <v>0.113</v>
      </c>
      <c r="K30" s="79">
        <f t="shared" si="5"/>
        <v>0.27745883586086062</v>
      </c>
      <c r="L30" s="42">
        <f>G30/'Clause 6'!$G$11</f>
        <v>142.5627044</v>
      </c>
      <c r="M30">
        <f t="shared" si="6"/>
        <v>5</v>
      </c>
      <c r="P30" s="42"/>
    </row>
    <row r="31" spans="1:49" ht="13.15" x14ac:dyDescent="0.4">
      <c r="A31" s="68" t="s">
        <v>162</v>
      </c>
      <c r="B31" s="42">
        <f t="shared" ref="B31:F31" si="28">B75</f>
        <v>116.752678</v>
      </c>
      <c r="C31" s="42">
        <f t="shared" si="28"/>
        <v>118.915161</v>
      </c>
      <c r="D31" s="42">
        <f t="shared" si="28"/>
        <v>107.925911</v>
      </c>
      <c r="E31" s="42">
        <f t="shared" si="28"/>
        <v>109.915192</v>
      </c>
      <c r="F31" s="42">
        <f t="shared" si="28"/>
        <v>87.893660999999994</v>
      </c>
      <c r="G31" s="80">
        <f t="shared" si="1"/>
        <v>108.2805206</v>
      </c>
      <c r="H31" s="81">
        <f t="shared" si="2"/>
        <v>4523.9704373174573</v>
      </c>
      <c r="I31" s="79">
        <f t="shared" si="3"/>
        <v>0.10144473570460699</v>
      </c>
      <c r="J31" s="79">
        <f t="shared" si="4"/>
        <v>0.11900000000000001</v>
      </c>
      <c r="K31" s="79">
        <f t="shared" si="5"/>
        <v>0.28649197314627617</v>
      </c>
      <c r="L31" s="42">
        <f>G31/'Clause 6'!$G$11</f>
        <v>108.2805206</v>
      </c>
      <c r="M31">
        <f t="shared" si="6"/>
        <v>5</v>
      </c>
      <c r="P31" s="42"/>
    </row>
    <row r="32" spans="1:49" ht="13.15" x14ac:dyDescent="0.4">
      <c r="A32" s="68" t="s">
        <v>163</v>
      </c>
      <c r="B32" s="42">
        <f t="shared" ref="B32:F32" si="29">B76</f>
        <v>84.492064999999997</v>
      </c>
      <c r="C32" s="42">
        <f t="shared" si="29"/>
        <v>89.922966000000002</v>
      </c>
      <c r="D32" s="42">
        <f t="shared" si="29"/>
        <v>78.470153999999994</v>
      </c>
      <c r="E32" s="42">
        <f t="shared" si="29"/>
        <v>79.788544000000002</v>
      </c>
      <c r="F32" s="42">
        <f t="shared" si="29"/>
        <v>64.008240000000001</v>
      </c>
      <c r="G32" s="80">
        <f t="shared" si="1"/>
        <v>79.336393799999996</v>
      </c>
      <c r="H32" s="81">
        <f t="shared" si="2"/>
        <v>3314.6820699214109</v>
      </c>
      <c r="I32" s="79">
        <f t="shared" si="3"/>
        <v>0.10909511583649507</v>
      </c>
      <c r="J32" s="79">
        <f t="shared" si="4"/>
        <v>0.11900000000000001</v>
      </c>
      <c r="K32" s="79">
        <f t="shared" si="5"/>
        <v>0.32664360905196582</v>
      </c>
      <c r="L32" s="42">
        <f>G32/'Clause 6'!$G$11</f>
        <v>79.336393799999996</v>
      </c>
      <c r="M32">
        <f t="shared" si="6"/>
        <v>5</v>
      </c>
      <c r="P32" s="42"/>
    </row>
    <row r="33" spans="1:16" ht="13.15" x14ac:dyDescent="0.4">
      <c r="A33" s="68" t="s">
        <v>164</v>
      </c>
      <c r="B33" s="42">
        <f t="shared" ref="B33:F33" si="30">B77</f>
        <v>61.064720000000001</v>
      </c>
      <c r="C33" s="42">
        <f t="shared" si="30"/>
        <v>69.298430999999994</v>
      </c>
      <c r="D33" s="42">
        <f t="shared" si="30"/>
        <v>60.678871000000001</v>
      </c>
      <c r="E33" s="42">
        <f t="shared" si="30"/>
        <v>56.016734999999997</v>
      </c>
      <c r="F33" s="42">
        <f t="shared" si="30"/>
        <v>47.064880000000002</v>
      </c>
      <c r="G33" s="80">
        <f t="shared" si="1"/>
        <v>58.824727399999993</v>
      </c>
      <c r="H33" s="81">
        <f t="shared" si="2"/>
        <v>2457.7026991211028</v>
      </c>
      <c r="I33" s="79">
        <f t="shared" si="3"/>
        <v>0.12360343283891964</v>
      </c>
      <c r="J33" s="79">
        <f t="shared" si="4"/>
        <v>0.11900000000000001</v>
      </c>
      <c r="K33" s="79">
        <f t="shared" si="5"/>
        <v>0.37796266948786567</v>
      </c>
      <c r="L33" s="42">
        <f>G33/'Clause 6'!$G$11</f>
        <v>58.824727399999993</v>
      </c>
      <c r="M33">
        <f t="shared" si="6"/>
        <v>5</v>
      </c>
      <c r="P33" s="42"/>
    </row>
    <row r="34" spans="1:16" ht="13.15" x14ac:dyDescent="0.4">
      <c r="A34" s="68" t="s">
        <v>165</v>
      </c>
      <c r="B34" s="42">
        <f t="shared" ref="B34:F34" si="31">B78</f>
        <v>46.086582</v>
      </c>
      <c r="C34" s="42">
        <f t="shared" si="31"/>
        <v>51.266697000000001</v>
      </c>
      <c r="D34" s="42">
        <f t="shared" si="31"/>
        <v>42.769767999999999</v>
      </c>
      <c r="E34" s="42">
        <f t="shared" si="31"/>
        <v>41.306457999999999</v>
      </c>
      <c r="F34" s="42">
        <f t="shared" si="31"/>
        <v>32.121780000000001</v>
      </c>
      <c r="G34" s="80">
        <f t="shared" si="1"/>
        <v>42.710256999999999</v>
      </c>
      <c r="H34" s="81">
        <f t="shared" si="2"/>
        <v>1784.4385949344151</v>
      </c>
      <c r="I34" s="79">
        <f t="shared" si="3"/>
        <v>0.14759927768561243</v>
      </c>
      <c r="J34" s="79">
        <f t="shared" si="4"/>
        <v>0.13400000000000001</v>
      </c>
      <c r="K34" s="79">
        <f t="shared" si="5"/>
        <v>0.44825103721572079</v>
      </c>
      <c r="L34" s="42">
        <f>G34/'Clause 6'!$G$11</f>
        <v>42.710256999999999</v>
      </c>
      <c r="M34">
        <f t="shared" si="6"/>
        <v>5</v>
      </c>
      <c r="P34" s="42"/>
    </row>
    <row r="35" spans="1:16" ht="13.15" x14ac:dyDescent="0.4">
      <c r="A35" s="68" t="s">
        <v>166</v>
      </c>
      <c r="B35" s="42">
        <f t="shared" ref="B35:F35" si="32">B79</f>
        <v>35.973137000000001</v>
      </c>
      <c r="C35" s="42">
        <f t="shared" si="32"/>
        <v>37.006306000000002</v>
      </c>
      <c r="D35" s="42">
        <f t="shared" si="32"/>
        <v>30.751816000000002</v>
      </c>
      <c r="E35" s="42">
        <f t="shared" si="32"/>
        <v>28.832144</v>
      </c>
      <c r="F35" s="42">
        <f t="shared" si="32"/>
        <v>20.943871999999999</v>
      </c>
      <c r="G35" s="80">
        <f t="shared" si="1"/>
        <v>30.701454999999999</v>
      </c>
      <c r="H35" s="81">
        <f t="shared" si="2"/>
        <v>1282.709706538225</v>
      </c>
      <c r="I35" s="79">
        <f t="shared" si="3"/>
        <v>0.18781732166121251</v>
      </c>
      <c r="J35" s="79">
        <f t="shared" si="4"/>
        <v>0.13400000000000001</v>
      </c>
      <c r="K35" s="79">
        <f t="shared" si="5"/>
        <v>0.5231815234815419</v>
      </c>
      <c r="L35" s="42">
        <f>G35/'Clause 6'!$G$11</f>
        <v>30.701454999999999</v>
      </c>
      <c r="M35">
        <f t="shared" si="6"/>
        <v>5</v>
      </c>
      <c r="P35" s="42"/>
    </row>
    <row r="36" spans="1:16" ht="13.15" x14ac:dyDescent="0.4">
      <c r="A36" s="68" t="s">
        <v>167</v>
      </c>
      <c r="B36" s="42">
        <f t="shared" ref="B36:F36" si="33">B80</f>
        <v>25.731674000000002</v>
      </c>
      <c r="C36" s="42">
        <f t="shared" si="33"/>
        <v>25.927983999999999</v>
      </c>
      <c r="D36" s="42">
        <f t="shared" si="33"/>
        <v>21.090326000000001</v>
      </c>
      <c r="E36" s="42">
        <f t="shared" si="33"/>
        <v>19.652930999999999</v>
      </c>
      <c r="F36" s="42">
        <f t="shared" si="33"/>
        <v>14.707775</v>
      </c>
      <c r="G36" s="80">
        <f t="shared" si="1"/>
        <v>21.422137999999997</v>
      </c>
      <c r="H36" s="81">
        <f t="shared" si="2"/>
        <v>895.01896074310991</v>
      </c>
      <c r="I36" s="79">
        <f t="shared" si="3"/>
        <v>0.1949415794356589</v>
      </c>
      <c r="J36" s="79">
        <f t="shared" si="4"/>
        <v>0.156</v>
      </c>
      <c r="K36" s="79">
        <f t="shared" si="5"/>
        <v>0.52376700215450023</v>
      </c>
      <c r="L36" s="42">
        <f>G36/'Clause 6'!$G$11</f>
        <v>21.422137999999997</v>
      </c>
      <c r="M36">
        <f t="shared" si="6"/>
        <v>5</v>
      </c>
      <c r="P36" s="42"/>
    </row>
    <row r="37" spans="1:16" ht="13.15" x14ac:dyDescent="0.4">
      <c r="A37" s="68" t="s">
        <v>168</v>
      </c>
      <c r="B37" s="42">
        <f t="shared" ref="B37:F37" si="34">B81</f>
        <v>17.282468999999999</v>
      </c>
      <c r="C37" s="42">
        <f t="shared" si="34"/>
        <v>17.796026000000001</v>
      </c>
      <c r="D37" s="42">
        <f t="shared" si="34"/>
        <v>13.903119999999999</v>
      </c>
      <c r="E37" s="42">
        <f t="shared" si="34"/>
        <v>13.76882</v>
      </c>
      <c r="F37" s="42">
        <f t="shared" si="34"/>
        <v>9.6483000000000008</v>
      </c>
      <c r="G37" s="80">
        <f t="shared" si="1"/>
        <v>14.479747</v>
      </c>
      <c r="H37" s="81">
        <f t="shared" si="2"/>
        <v>604.96520523596507</v>
      </c>
      <c r="I37" s="79">
        <f t="shared" si="3"/>
        <v>0.20260895460121825</v>
      </c>
      <c r="J37" s="79">
        <f t="shared" si="4"/>
        <v>0.156</v>
      </c>
      <c r="K37" s="79">
        <f t="shared" si="5"/>
        <v>0.5626980913409606</v>
      </c>
      <c r="L37" s="42">
        <f>G37/'Clause 6'!$G$11</f>
        <v>14.479747</v>
      </c>
      <c r="M37">
        <f t="shared" si="6"/>
        <v>5</v>
      </c>
    </row>
    <row r="38" spans="1:16" ht="13.15" x14ac:dyDescent="0.4">
      <c r="A38" s="68" t="s">
        <v>169</v>
      </c>
      <c r="B38" s="42">
        <f t="shared" ref="B38:F38" si="35">B82</f>
        <v>11.521646</v>
      </c>
      <c r="C38" s="42">
        <f t="shared" si="35"/>
        <v>11.314030000000001</v>
      </c>
      <c r="D38" s="42">
        <f t="shared" si="35"/>
        <v>9.8971359999999997</v>
      </c>
      <c r="E38" s="42">
        <f t="shared" si="35"/>
        <v>10.826764000000001</v>
      </c>
      <c r="F38" s="42">
        <f t="shared" si="35"/>
        <v>6.4714210000000003</v>
      </c>
      <c r="G38" s="80">
        <f t="shared" si="1"/>
        <v>10.006199399999998</v>
      </c>
      <c r="H38" s="81">
        <f t="shared" si="2"/>
        <v>418.05996152094292</v>
      </c>
      <c r="I38" s="79">
        <f t="shared" si="3"/>
        <v>0.18528674444433132</v>
      </c>
      <c r="J38" s="79">
        <f t="shared" si="4"/>
        <v>0.193</v>
      </c>
      <c r="K38" s="79">
        <f t="shared" si="5"/>
        <v>0.50470961032417572</v>
      </c>
      <c r="L38" s="42">
        <f>G38/'Clause 6'!$G$11</f>
        <v>10.006199399999998</v>
      </c>
      <c r="M38">
        <f t="shared" si="6"/>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ht="13.15" x14ac:dyDescent="0.4">
      <c r="B51" s="65" t="s">
        <v>40</v>
      </c>
      <c r="C51" s="65" t="s">
        <v>41</v>
      </c>
      <c r="D51" s="65" t="s">
        <v>43</v>
      </c>
      <c r="E51" s="65" t="s">
        <v>44</v>
      </c>
      <c r="F51" s="65" t="s">
        <v>46</v>
      </c>
      <c r="G51" s="65" t="s">
        <v>40</v>
      </c>
      <c r="H51" s="65" t="s">
        <v>41</v>
      </c>
      <c r="I51" s="65" t="s">
        <v>43</v>
      </c>
      <c r="J51" s="65" t="s">
        <v>44</v>
      </c>
      <c r="K51" s="65" t="s">
        <v>46</v>
      </c>
      <c r="L51" s="65" t="s">
        <v>40</v>
      </c>
      <c r="M51" s="65" t="s">
        <v>41</v>
      </c>
      <c r="N51" s="65" t="s">
        <v>43</v>
      </c>
      <c r="O51" s="65" t="s">
        <v>44</v>
      </c>
      <c r="P51" s="65" t="s">
        <v>46</v>
      </c>
    </row>
    <row r="52" spans="1:16" ht="13.15" x14ac:dyDescent="0.4">
      <c r="A52" s="65" t="s">
        <v>181</v>
      </c>
      <c r="B52">
        <v>7.8113840000000003</v>
      </c>
      <c r="C52">
        <v>8.4850410000000007</v>
      </c>
      <c r="D52">
        <v>8.487304</v>
      </c>
      <c r="E52">
        <v>8.4974600000000002</v>
      </c>
      <c r="F52">
        <v>8.4989059999999998</v>
      </c>
      <c r="G52">
        <v>7.8113840000000003</v>
      </c>
      <c r="H52">
        <v>8.4850410000000007</v>
      </c>
      <c r="I52">
        <v>8.487304</v>
      </c>
      <c r="J52">
        <v>8.4974600000000002</v>
      </c>
      <c r="K52">
        <v>8.4989059999999998</v>
      </c>
      <c r="L52">
        <v>7.8113840000000003</v>
      </c>
      <c r="M52">
        <v>8.4850410000000007</v>
      </c>
      <c r="N52">
        <v>8.487304</v>
      </c>
      <c r="O52">
        <v>8.4974600000000002</v>
      </c>
      <c r="P52">
        <v>8.4989059999999998</v>
      </c>
    </row>
    <row r="53" spans="1:16" ht="13.15" x14ac:dyDescent="0.4">
      <c r="A53" s="8">
        <v>4</v>
      </c>
      <c r="B53">
        <v>12748.444336</v>
      </c>
      <c r="C53">
        <v>12757.982421999999</v>
      </c>
      <c r="D53">
        <v>12023.959961</v>
      </c>
      <c r="E53">
        <v>12393.349609000001</v>
      </c>
      <c r="F53">
        <v>12082.966796999999</v>
      </c>
      <c r="G53">
        <v>12748.444336</v>
      </c>
      <c r="H53">
        <v>12757.982421999999</v>
      </c>
      <c r="I53">
        <v>12023.959961</v>
      </c>
      <c r="J53">
        <v>12393.349609000001</v>
      </c>
      <c r="K53">
        <v>12082.966796999999</v>
      </c>
      <c r="L53">
        <v>12748.444336</v>
      </c>
      <c r="M53">
        <v>12757.982421999999</v>
      </c>
      <c r="N53">
        <v>12023.959961</v>
      </c>
      <c r="O53">
        <v>12393.349609000001</v>
      </c>
      <c r="P53">
        <v>12082.966796999999</v>
      </c>
    </row>
    <row r="54" spans="1:16" ht="13.15" x14ac:dyDescent="0.4">
      <c r="A54" s="8">
        <v>5</v>
      </c>
      <c r="B54">
        <v>11296.333008</v>
      </c>
      <c r="C54">
        <v>11251.212890999999</v>
      </c>
      <c r="D54">
        <v>10640.127930000001</v>
      </c>
      <c r="E54">
        <v>10945.741211</v>
      </c>
      <c r="F54">
        <v>10661.842773</v>
      </c>
      <c r="G54">
        <v>11296.333008</v>
      </c>
      <c r="H54">
        <v>11251.212890999999</v>
      </c>
      <c r="I54">
        <v>10640.127930000001</v>
      </c>
      <c r="J54">
        <v>10945.741211</v>
      </c>
      <c r="K54">
        <v>10661.842773</v>
      </c>
      <c r="L54">
        <v>11296.333008</v>
      </c>
      <c r="M54">
        <v>11251.212890999999</v>
      </c>
      <c r="N54">
        <v>10640.127930000001</v>
      </c>
      <c r="O54">
        <v>10945.741211</v>
      </c>
      <c r="P54">
        <v>10661.842773</v>
      </c>
    </row>
    <row r="55" spans="1:16" ht="13.15" x14ac:dyDescent="0.4">
      <c r="A55" s="8">
        <v>6</v>
      </c>
      <c r="B55">
        <v>9922.4414059999999</v>
      </c>
      <c r="C55">
        <v>9850.6308590000008</v>
      </c>
      <c r="D55">
        <v>9313.2050780000009</v>
      </c>
      <c r="E55">
        <v>9592.7480469999991</v>
      </c>
      <c r="F55">
        <v>9323.3173829999996</v>
      </c>
      <c r="G55">
        <v>9922.4414059999999</v>
      </c>
      <c r="H55">
        <v>9850.6308590000008</v>
      </c>
      <c r="I55">
        <v>9313.2050780000009</v>
      </c>
      <c r="J55">
        <v>9592.7480469999991</v>
      </c>
      <c r="K55">
        <v>9323.3173829999996</v>
      </c>
      <c r="L55">
        <v>9922.4414059999999</v>
      </c>
      <c r="M55">
        <v>9850.6308590000008</v>
      </c>
      <c r="N55">
        <v>9313.2050780000009</v>
      </c>
      <c r="O55">
        <v>9592.7480469999991</v>
      </c>
      <c r="P55">
        <v>9323.3173829999996</v>
      </c>
    </row>
    <row r="56" spans="1:16" ht="13.15" x14ac:dyDescent="0.4">
      <c r="A56" s="8">
        <v>7</v>
      </c>
      <c r="B56">
        <v>8671.9589840000008</v>
      </c>
      <c r="C56">
        <v>8575.4453119999998</v>
      </c>
      <c r="D56">
        <v>8127.3159180000002</v>
      </c>
      <c r="E56">
        <v>8358.9677730000003</v>
      </c>
      <c r="F56">
        <v>8116.9267579999996</v>
      </c>
      <c r="G56">
        <v>8671.9589840000008</v>
      </c>
      <c r="H56">
        <v>8575.4453119999998</v>
      </c>
      <c r="I56">
        <v>8127.3159180000002</v>
      </c>
      <c r="J56">
        <v>8358.9677730000003</v>
      </c>
      <c r="K56">
        <v>8116.9267579999996</v>
      </c>
      <c r="L56">
        <v>8671.9589840000008</v>
      </c>
      <c r="M56">
        <v>8575.4453119999998</v>
      </c>
      <c r="N56">
        <v>8127.3159180000002</v>
      </c>
      <c r="O56">
        <v>8358.9677730000003</v>
      </c>
      <c r="P56">
        <v>8116.9267579999996</v>
      </c>
    </row>
    <row r="57" spans="1:16" ht="13.15" x14ac:dyDescent="0.4">
      <c r="A57" s="8">
        <v>8</v>
      </c>
      <c r="B57">
        <v>7569.9770509999998</v>
      </c>
      <c r="C57">
        <v>7458.7739259999998</v>
      </c>
      <c r="D57">
        <v>7061.8422849999997</v>
      </c>
      <c r="E57">
        <v>7278.4101559999999</v>
      </c>
      <c r="F57">
        <v>7044.4360349999997</v>
      </c>
      <c r="G57">
        <v>7569.9770509999998</v>
      </c>
      <c r="H57">
        <v>7458.7739259999998</v>
      </c>
      <c r="I57">
        <v>7061.8422849999997</v>
      </c>
      <c r="J57">
        <v>7278.4101559999999</v>
      </c>
      <c r="K57">
        <v>7044.4360349999997</v>
      </c>
      <c r="L57">
        <v>7569.9770509999998</v>
      </c>
      <c r="M57">
        <v>7458.7739259999998</v>
      </c>
      <c r="N57">
        <v>7061.8422849999997</v>
      </c>
      <c r="O57">
        <v>7278.4101559999999</v>
      </c>
      <c r="P57">
        <v>7044.4360349999997</v>
      </c>
    </row>
    <row r="58" spans="1:16" ht="13.15" x14ac:dyDescent="0.4">
      <c r="A58" s="8">
        <v>9</v>
      </c>
      <c r="B58">
        <v>6586.9248049999997</v>
      </c>
      <c r="C58">
        <v>6473.6284180000002</v>
      </c>
      <c r="D58">
        <v>6130.3330079999996</v>
      </c>
      <c r="E58">
        <v>6320.7119140000004</v>
      </c>
      <c r="F58">
        <v>6114.1987300000001</v>
      </c>
      <c r="G58">
        <v>6586.9248049999997</v>
      </c>
      <c r="H58">
        <v>6473.6284180000002</v>
      </c>
      <c r="I58">
        <v>6130.3330079999996</v>
      </c>
      <c r="J58">
        <v>6320.7119140000004</v>
      </c>
      <c r="K58">
        <v>6114.1987300000001</v>
      </c>
      <c r="L58">
        <v>6586.9248049999997</v>
      </c>
      <c r="M58">
        <v>6473.6284180000002</v>
      </c>
      <c r="N58">
        <v>6130.3330079999996</v>
      </c>
      <c r="O58">
        <v>6320.7119140000004</v>
      </c>
      <c r="P58">
        <v>6114.1987300000001</v>
      </c>
    </row>
    <row r="59" spans="1:16" ht="13.15" x14ac:dyDescent="0.4">
      <c r="A59" s="8">
        <v>10</v>
      </c>
      <c r="B59">
        <v>5658.7919920000004</v>
      </c>
      <c r="C59">
        <v>5542.578125</v>
      </c>
      <c r="D59">
        <v>5241.3583980000003</v>
      </c>
      <c r="E59">
        <v>5390.3164059999999</v>
      </c>
      <c r="F59">
        <v>5217.0244140000004</v>
      </c>
      <c r="G59">
        <v>5658.7919920000004</v>
      </c>
      <c r="H59">
        <v>5542.578125</v>
      </c>
      <c r="I59">
        <v>5241.3583980000003</v>
      </c>
      <c r="J59">
        <v>5390.3164059999999</v>
      </c>
      <c r="K59">
        <v>5217.0244140000004</v>
      </c>
      <c r="L59">
        <v>5658.7919920000004</v>
      </c>
      <c r="M59">
        <v>5542.578125</v>
      </c>
      <c r="N59">
        <v>5241.3583980000003</v>
      </c>
      <c r="O59">
        <v>5390.3164059999999</v>
      </c>
      <c r="P59">
        <v>5217.0244140000004</v>
      </c>
    </row>
    <row r="60" spans="1:16" ht="13.15" x14ac:dyDescent="0.4">
      <c r="A60" s="8">
        <v>11</v>
      </c>
      <c r="B60">
        <v>4823.6010740000002</v>
      </c>
      <c r="C60">
        <v>4705.1040039999998</v>
      </c>
      <c r="D60">
        <v>4447.1132809999999</v>
      </c>
      <c r="E60">
        <v>4590.4301759999998</v>
      </c>
      <c r="F60">
        <v>4430.5703119999998</v>
      </c>
      <c r="G60">
        <v>4823.6010740000002</v>
      </c>
      <c r="H60">
        <v>4705.1040039999998</v>
      </c>
      <c r="I60">
        <v>4447.1132809999999</v>
      </c>
      <c r="J60">
        <v>4590.4301759999998</v>
      </c>
      <c r="K60">
        <v>4430.5703119999998</v>
      </c>
      <c r="L60">
        <v>4823.6010740000002</v>
      </c>
      <c r="M60">
        <v>4705.1040039999998</v>
      </c>
      <c r="N60">
        <v>4447.1132809999999</v>
      </c>
      <c r="O60">
        <v>4590.4301759999998</v>
      </c>
      <c r="P60">
        <v>4430.5703119999998</v>
      </c>
    </row>
    <row r="61" spans="1:16" ht="13.15" x14ac:dyDescent="0.4">
      <c r="A61" s="8">
        <v>12</v>
      </c>
      <c r="B61">
        <v>4052.2907709999999</v>
      </c>
      <c r="C61">
        <v>3942.4677729999999</v>
      </c>
      <c r="D61">
        <v>3703.1784670000002</v>
      </c>
      <c r="E61">
        <v>3827.2612300000001</v>
      </c>
      <c r="F61">
        <v>3675.7670899999998</v>
      </c>
      <c r="G61">
        <v>4052.2907709999999</v>
      </c>
      <c r="H61">
        <v>3942.4677729999999</v>
      </c>
      <c r="I61">
        <v>3703.1784670000002</v>
      </c>
      <c r="J61">
        <v>3827.2612300000001</v>
      </c>
      <c r="K61">
        <v>3675.7670899999998</v>
      </c>
      <c r="L61">
        <v>4052.2907709999999</v>
      </c>
      <c r="M61">
        <v>3942.4677729999999</v>
      </c>
      <c r="N61">
        <v>3703.1784670000002</v>
      </c>
      <c r="O61">
        <v>3827.2612300000001</v>
      </c>
      <c r="P61">
        <v>3675.7670899999998</v>
      </c>
    </row>
    <row r="62" spans="1:16" ht="13.15" x14ac:dyDescent="0.4">
      <c r="A62" s="8">
        <v>13</v>
      </c>
      <c r="B62">
        <v>3367.008789</v>
      </c>
      <c r="C62">
        <v>3259.1477049999999</v>
      </c>
      <c r="D62">
        <v>3081.5439449999999</v>
      </c>
      <c r="E62">
        <v>3162.474365</v>
      </c>
      <c r="F62">
        <v>3043.8034670000002</v>
      </c>
      <c r="G62">
        <v>3367.008789</v>
      </c>
      <c r="H62">
        <v>3259.1477049999999</v>
      </c>
      <c r="I62">
        <v>3081.5439449999999</v>
      </c>
      <c r="J62">
        <v>3162.474365</v>
      </c>
      <c r="K62">
        <v>3043.8034670000002</v>
      </c>
      <c r="L62">
        <v>3367.008789</v>
      </c>
      <c r="M62">
        <v>3259.1477049999999</v>
      </c>
      <c r="N62">
        <v>3081.5439449999999</v>
      </c>
      <c r="O62">
        <v>3162.474365</v>
      </c>
      <c r="P62">
        <v>3043.8034670000002</v>
      </c>
    </row>
    <row r="63" spans="1:16" ht="13.15" x14ac:dyDescent="0.4">
      <c r="A63" s="8">
        <v>14</v>
      </c>
      <c r="B63">
        <v>2748.0405270000001</v>
      </c>
      <c r="C63">
        <v>2656.9111330000001</v>
      </c>
      <c r="D63">
        <v>2502.679443</v>
      </c>
      <c r="E63">
        <v>2571.0034179999998</v>
      </c>
      <c r="F63">
        <v>2473.4948730000001</v>
      </c>
      <c r="G63">
        <v>2748.0405270000001</v>
      </c>
      <c r="H63">
        <v>2656.9111330000001</v>
      </c>
      <c r="I63">
        <v>2502.679443</v>
      </c>
      <c r="J63">
        <v>2571.0034179999998</v>
      </c>
      <c r="K63">
        <v>2473.4948730000001</v>
      </c>
      <c r="L63">
        <v>2748.0405270000001</v>
      </c>
      <c r="M63">
        <v>2656.9111330000001</v>
      </c>
      <c r="N63">
        <v>2502.679443</v>
      </c>
      <c r="O63">
        <v>2571.0034179999998</v>
      </c>
      <c r="P63">
        <v>2473.4948730000001</v>
      </c>
    </row>
    <row r="64" spans="1:16" ht="13.15" x14ac:dyDescent="0.4">
      <c r="A64" s="8">
        <v>15</v>
      </c>
      <c r="B64">
        <v>2193.0812989999999</v>
      </c>
      <c r="C64">
        <v>2112.6591800000001</v>
      </c>
      <c r="D64">
        <v>1992.976807</v>
      </c>
      <c r="E64">
        <v>2039.6682129999999</v>
      </c>
      <c r="F64">
        <v>1945.3092039999999</v>
      </c>
      <c r="G64">
        <v>2193.0812989999999</v>
      </c>
      <c r="H64">
        <v>2112.6591800000001</v>
      </c>
      <c r="I64">
        <v>1992.976807</v>
      </c>
      <c r="J64">
        <v>2039.6682129999999</v>
      </c>
      <c r="K64">
        <v>1945.3092039999999</v>
      </c>
      <c r="L64">
        <v>2193.0812989999999</v>
      </c>
      <c r="M64">
        <v>2112.6591800000001</v>
      </c>
      <c r="N64">
        <v>1992.976807</v>
      </c>
      <c r="O64">
        <v>2039.6682129999999</v>
      </c>
      <c r="P64">
        <v>1945.3092039999999</v>
      </c>
    </row>
    <row r="65" spans="1:16" ht="13.15" x14ac:dyDescent="0.4">
      <c r="A65" s="8">
        <v>16</v>
      </c>
      <c r="B65">
        <v>1726.4545900000001</v>
      </c>
      <c r="C65">
        <v>1663.1623540000001</v>
      </c>
      <c r="D65">
        <v>1566.221802</v>
      </c>
      <c r="E65">
        <v>1610.1281739999999</v>
      </c>
      <c r="F65">
        <v>1525.2551269999999</v>
      </c>
      <c r="G65">
        <v>1726.4545900000001</v>
      </c>
      <c r="H65">
        <v>1663.1623540000001</v>
      </c>
      <c r="I65">
        <v>1566.221802</v>
      </c>
      <c r="J65">
        <v>1610.1281739999999</v>
      </c>
      <c r="K65">
        <v>1525.2551269999999</v>
      </c>
      <c r="L65">
        <v>1726.4545900000001</v>
      </c>
      <c r="M65">
        <v>1663.1623540000001</v>
      </c>
      <c r="N65">
        <v>1566.221802</v>
      </c>
      <c r="O65">
        <v>1610.1281739999999</v>
      </c>
      <c r="P65">
        <v>1525.2551269999999</v>
      </c>
    </row>
    <row r="66" spans="1:16" ht="13.15" x14ac:dyDescent="0.4">
      <c r="A66" s="8">
        <v>17</v>
      </c>
      <c r="B66">
        <v>1346.1123050000001</v>
      </c>
      <c r="C66">
        <v>1285.7923579999999</v>
      </c>
      <c r="D66">
        <v>1210.9853519999999</v>
      </c>
      <c r="E66">
        <v>1246.7254640000001</v>
      </c>
      <c r="F66">
        <v>1162.9731449999999</v>
      </c>
      <c r="G66">
        <v>1346.1123050000001</v>
      </c>
      <c r="H66">
        <v>1285.7923579999999</v>
      </c>
      <c r="I66">
        <v>1210.9853519999999</v>
      </c>
      <c r="J66">
        <v>1246.7254640000001</v>
      </c>
      <c r="K66">
        <v>1162.9731449999999</v>
      </c>
      <c r="L66">
        <v>1346.1123050000001</v>
      </c>
      <c r="M66">
        <v>1285.7923579999999</v>
      </c>
      <c r="N66">
        <v>1210.9853519999999</v>
      </c>
      <c r="O66">
        <v>1246.7254640000001</v>
      </c>
      <c r="P66">
        <v>1162.9731449999999</v>
      </c>
    </row>
    <row r="67" spans="1:16" ht="13.15" x14ac:dyDescent="0.4">
      <c r="A67" s="8">
        <v>18</v>
      </c>
      <c r="B67">
        <v>1032.8515620000001</v>
      </c>
      <c r="C67">
        <v>978.30999799999995</v>
      </c>
      <c r="D67">
        <v>925.97131300000001</v>
      </c>
      <c r="E67">
        <v>954.40283199999999</v>
      </c>
      <c r="F67">
        <v>880.58392300000003</v>
      </c>
      <c r="G67">
        <v>1032.8515620000001</v>
      </c>
      <c r="H67">
        <v>978.30999799999995</v>
      </c>
      <c r="I67">
        <v>925.97131300000001</v>
      </c>
      <c r="J67">
        <v>954.40283199999999</v>
      </c>
      <c r="K67">
        <v>880.58392300000003</v>
      </c>
      <c r="L67">
        <v>1032.8515620000001</v>
      </c>
      <c r="M67">
        <v>978.30999799999995</v>
      </c>
      <c r="N67">
        <v>925.97131300000001</v>
      </c>
      <c r="O67">
        <v>954.40283199999999</v>
      </c>
      <c r="P67">
        <v>880.58392300000003</v>
      </c>
    </row>
    <row r="68" spans="1:16" ht="13.15" x14ac:dyDescent="0.4">
      <c r="A68" s="8">
        <v>19</v>
      </c>
      <c r="B68">
        <v>797.80993699999999</v>
      </c>
      <c r="C68">
        <v>751.08654799999999</v>
      </c>
      <c r="D68">
        <v>709.76605199999995</v>
      </c>
      <c r="E68">
        <v>727.98223900000005</v>
      </c>
      <c r="F68">
        <v>665.37976100000003</v>
      </c>
      <c r="G68">
        <v>797.80993699999999</v>
      </c>
      <c r="H68">
        <v>751.08654799999999</v>
      </c>
      <c r="I68">
        <v>709.76605199999995</v>
      </c>
      <c r="J68">
        <v>727.98223900000005</v>
      </c>
      <c r="K68">
        <v>665.37976100000003</v>
      </c>
      <c r="L68">
        <v>797.80993699999999</v>
      </c>
      <c r="M68">
        <v>751.08654799999999</v>
      </c>
      <c r="N68">
        <v>709.76605199999995</v>
      </c>
      <c r="O68">
        <v>727.98223900000005</v>
      </c>
      <c r="P68">
        <v>665.37976100000003</v>
      </c>
    </row>
    <row r="69" spans="1:16" ht="13.15" x14ac:dyDescent="0.4">
      <c r="A69" s="8">
        <v>20</v>
      </c>
      <c r="B69">
        <v>610.519226</v>
      </c>
      <c r="C69">
        <v>568.64782700000001</v>
      </c>
      <c r="D69">
        <v>537.74438499999997</v>
      </c>
      <c r="E69">
        <v>552.87109399999997</v>
      </c>
      <c r="F69">
        <v>502.77056900000002</v>
      </c>
      <c r="G69">
        <v>610.519226</v>
      </c>
      <c r="H69">
        <v>568.64782700000001</v>
      </c>
      <c r="I69">
        <v>537.74438499999997</v>
      </c>
      <c r="J69">
        <v>552.87109399999997</v>
      </c>
      <c r="K69">
        <v>502.77056900000002</v>
      </c>
      <c r="L69">
        <v>610.519226</v>
      </c>
      <c r="M69">
        <v>568.64782700000001</v>
      </c>
      <c r="N69">
        <v>537.74438499999997</v>
      </c>
      <c r="O69">
        <v>552.87109399999997</v>
      </c>
      <c r="P69">
        <v>502.77056900000002</v>
      </c>
    </row>
    <row r="70" spans="1:16" ht="13.15" x14ac:dyDescent="0.4">
      <c r="A70" s="8">
        <v>21</v>
      </c>
      <c r="B70">
        <v>471.87539700000002</v>
      </c>
      <c r="C70">
        <v>432.17236300000002</v>
      </c>
      <c r="D70">
        <v>413.67672700000003</v>
      </c>
      <c r="E70">
        <v>428.12792999999999</v>
      </c>
      <c r="F70">
        <v>375.930725</v>
      </c>
      <c r="G70">
        <v>471.87539700000002</v>
      </c>
      <c r="H70">
        <v>432.17236300000002</v>
      </c>
      <c r="I70">
        <v>413.67672700000003</v>
      </c>
      <c r="J70">
        <v>428.12792999999999</v>
      </c>
      <c r="K70">
        <v>375.930725</v>
      </c>
      <c r="L70">
        <v>471.87539700000002</v>
      </c>
      <c r="M70">
        <v>432.17236300000002</v>
      </c>
      <c r="N70">
        <v>413.67672700000003</v>
      </c>
      <c r="O70">
        <v>428.12792999999999</v>
      </c>
      <c r="P70">
        <v>375.930725</v>
      </c>
    </row>
    <row r="71" spans="1:16" ht="13.15" x14ac:dyDescent="0.4">
      <c r="A71" s="8">
        <v>22</v>
      </c>
      <c r="B71">
        <v>362.67581200000001</v>
      </c>
      <c r="C71">
        <v>338.124481</v>
      </c>
      <c r="D71">
        <v>318.94699100000003</v>
      </c>
      <c r="E71">
        <v>328.56875600000001</v>
      </c>
      <c r="F71">
        <v>283.33056599999998</v>
      </c>
      <c r="G71">
        <v>362.67581200000001</v>
      </c>
      <c r="H71">
        <v>338.124481</v>
      </c>
      <c r="I71">
        <v>318.94699100000003</v>
      </c>
      <c r="J71">
        <v>328.56875600000001</v>
      </c>
      <c r="K71">
        <v>283.33056599999998</v>
      </c>
      <c r="L71">
        <v>362.67581200000001</v>
      </c>
      <c r="M71">
        <v>338.124481</v>
      </c>
      <c r="N71">
        <v>318.94699100000003</v>
      </c>
      <c r="O71">
        <v>328.56875600000001</v>
      </c>
      <c r="P71">
        <v>283.33056599999998</v>
      </c>
    </row>
    <row r="72" spans="1:16" ht="13.15" x14ac:dyDescent="0.4">
      <c r="A72" s="8">
        <v>23</v>
      </c>
      <c r="B72">
        <v>277.287598</v>
      </c>
      <c r="C72">
        <v>260.81195100000002</v>
      </c>
      <c r="D72">
        <v>240.123367</v>
      </c>
      <c r="E72">
        <v>252.192993</v>
      </c>
      <c r="F72">
        <v>213.43924000000001</v>
      </c>
      <c r="G72">
        <v>277.287598</v>
      </c>
      <c r="H72">
        <v>260.81195100000002</v>
      </c>
      <c r="I72">
        <v>240.123367</v>
      </c>
      <c r="J72">
        <v>252.192993</v>
      </c>
      <c r="K72">
        <v>213.43924000000001</v>
      </c>
      <c r="L72">
        <v>277.287598</v>
      </c>
      <c r="M72">
        <v>260.81195100000002</v>
      </c>
      <c r="N72">
        <v>240.123367</v>
      </c>
      <c r="O72">
        <v>252.192993</v>
      </c>
      <c r="P72">
        <v>213.43924000000001</v>
      </c>
    </row>
    <row r="73" spans="1:16" ht="13.15" x14ac:dyDescent="0.4">
      <c r="A73" s="8">
        <v>24</v>
      </c>
      <c r="B73">
        <v>211.998276</v>
      </c>
      <c r="C73">
        <v>201.649002</v>
      </c>
      <c r="D73">
        <v>181.447495</v>
      </c>
      <c r="E73">
        <v>192.99884</v>
      </c>
      <c r="F73">
        <v>157.43202199999999</v>
      </c>
      <c r="G73">
        <v>211.998276</v>
      </c>
      <c r="H73">
        <v>201.649002</v>
      </c>
      <c r="I73">
        <v>181.447495</v>
      </c>
      <c r="J73">
        <v>192.99884</v>
      </c>
      <c r="K73">
        <v>157.43202199999999</v>
      </c>
      <c r="L73">
        <v>211.998276</v>
      </c>
      <c r="M73">
        <v>201.649002</v>
      </c>
      <c r="N73">
        <v>181.447495</v>
      </c>
      <c r="O73">
        <v>192.99884</v>
      </c>
      <c r="P73">
        <v>157.43202199999999</v>
      </c>
    </row>
    <row r="74" spans="1:16" ht="13.15" x14ac:dyDescent="0.4">
      <c r="A74" s="8">
        <v>25</v>
      </c>
      <c r="B74">
        <v>154.39004499999999</v>
      </c>
      <c r="C74">
        <v>156.98216199999999</v>
      </c>
      <c r="D74">
        <v>137.97079500000001</v>
      </c>
      <c r="E74">
        <v>146.04364000000001</v>
      </c>
      <c r="F74">
        <v>117.42688</v>
      </c>
      <c r="G74">
        <v>154.39004499999999</v>
      </c>
      <c r="H74">
        <v>156.98216199999999</v>
      </c>
      <c r="I74">
        <v>137.97079500000001</v>
      </c>
      <c r="J74">
        <v>146.04364000000001</v>
      </c>
      <c r="K74">
        <v>117.42688</v>
      </c>
      <c r="L74">
        <v>154.39004499999999</v>
      </c>
      <c r="M74">
        <v>156.98216199999999</v>
      </c>
      <c r="N74">
        <v>137.97079500000001</v>
      </c>
      <c r="O74">
        <v>146.04364000000001</v>
      </c>
      <c r="P74">
        <v>117.42688</v>
      </c>
    </row>
    <row r="75" spans="1:16" ht="13.15" x14ac:dyDescent="0.4">
      <c r="A75" s="8">
        <v>26</v>
      </c>
      <c r="B75">
        <v>116.752678</v>
      </c>
      <c r="C75">
        <v>118.915161</v>
      </c>
      <c r="D75">
        <v>107.925911</v>
      </c>
      <c r="E75">
        <v>109.915192</v>
      </c>
      <c r="F75">
        <v>87.893660999999994</v>
      </c>
      <c r="G75">
        <v>116.752678</v>
      </c>
      <c r="H75">
        <v>118.915161</v>
      </c>
      <c r="I75">
        <v>107.925911</v>
      </c>
      <c r="J75">
        <v>109.915192</v>
      </c>
      <c r="K75">
        <v>87.893660999999994</v>
      </c>
      <c r="L75">
        <v>116.752678</v>
      </c>
      <c r="M75">
        <v>118.915161</v>
      </c>
      <c r="N75">
        <v>107.925911</v>
      </c>
      <c r="O75">
        <v>109.915192</v>
      </c>
      <c r="P75">
        <v>87.893660999999994</v>
      </c>
    </row>
    <row r="76" spans="1:16" ht="13.15" x14ac:dyDescent="0.4">
      <c r="A76" s="8">
        <v>27</v>
      </c>
      <c r="B76">
        <v>84.492064999999997</v>
      </c>
      <c r="C76">
        <v>89.922966000000002</v>
      </c>
      <c r="D76">
        <v>78.470153999999994</v>
      </c>
      <c r="E76">
        <v>79.788544000000002</v>
      </c>
      <c r="F76">
        <v>64.008240000000001</v>
      </c>
      <c r="G76">
        <v>84.492064999999997</v>
      </c>
      <c r="H76">
        <v>89.922966000000002</v>
      </c>
      <c r="I76">
        <v>78.470153999999994</v>
      </c>
      <c r="J76">
        <v>79.788544000000002</v>
      </c>
      <c r="K76">
        <v>64.008240000000001</v>
      </c>
      <c r="L76">
        <v>84.492064999999997</v>
      </c>
      <c r="M76">
        <v>89.922966000000002</v>
      </c>
      <c r="N76">
        <v>78.470153999999994</v>
      </c>
      <c r="O76">
        <v>79.788544000000002</v>
      </c>
      <c r="P76">
        <v>64.008240000000001</v>
      </c>
    </row>
    <row r="77" spans="1:16" ht="13.15" x14ac:dyDescent="0.4">
      <c r="A77" s="8">
        <v>28</v>
      </c>
      <c r="B77">
        <v>61.064720000000001</v>
      </c>
      <c r="C77">
        <v>69.298430999999994</v>
      </c>
      <c r="D77">
        <v>60.678871000000001</v>
      </c>
      <c r="E77">
        <v>56.016734999999997</v>
      </c>
      <c r="F77">
        <v>47.064880000000002</v>
      </c>
      <c r="G77">
        <v>61.064720000000001</v>
      </c>
      <c r="H77">
        <v>69.298430999999994</v>
      </c>
      <c r="I77">
        <v>60.678871000000001</v>
      </c>
      <c r="J77">
        <v>56.016734999999997</v>
      </c>
      <c r="K77">
        <v>47.064880000000002</v>
      </c>
      <c r="L77">
        <v>61.064720000000001</v>
      </c>
      <c r="M77">
        <v>69.298430999999994</v>
      </c>
      <c r="N77">
        <v>60.678871000000001</v>
      </c>
      <c r="O77">
        <v>56.016734999999997</v>
      </c>
      <c r="P77">
        <v>47.064880000000002</v>
      </c>
    </row>
    <row r="78" spans="1:16" ht="13.15" x14ac:dyDescent="0.4">
      <c r="A78" s="8">
        <v>29</v>
      </c>
      <c r="B78">
        <v>46.086582</v>
      </c>
      <c r="C78">
        <v>51.266697000000001</v>
      </c>
      <c r="D78">
        <v>42.769767999999999</v>
      </c>
      <c r="E78">
        <v>41.306457999999999</v>
      </c>
      <c r="F78">
        <v>32.121780000000001</v>
      </c>
      <c r="G78">
        <v>46.086582</v>
      </c>
      <c r="H78">
        <v>51.266697000000001</v>
      </c>
      <c r="I78">
        <v>42.769767999999999</v>
      </c>
      <c r="J78">
        <v>41.306457999999999</v>
      </c>
      <c r="K78">
        <v>32.121780000000001</v>
      </c>
      <c r="L78">
        <v>46.086582</v>
      </c>
      <c r="M78">
        <v>51.266697000000001</v>
      </c>
      <c r="N78">
        <v>42.769767999999999</v>
      </c>
      <c r="O78">
        <v>41.306457999999999</v>
      </c>
      <c r="P78">
        <v>32.121780000000001</v>
      </c>
    </row>
    <row r="79" spans="1:16" ht="13.15" x14ac:dyDescent="0.4">
      <c r="A79" s="8">
        <v>30</v>
      </c>
      <c r="B79">
        <v>35.973137000000001</v>
      </c>
      <c r="C79">
        <v>37.006306000000002</v>
      </c>
      <c r="D79">
        <v>30.751816000000002</v>
      </c>
      <c r="E79">
        <v>28.832144</v>
      </c>
      <c r="F79">
        <v>20.943871999999999</v>
      </c>
      <c r="G79">
        <v>35.973137000000001</v>
      </c>
      <c r="H79">
        <v>37.006306000000002</v>
      </c>
      <c r="I79">
        <v>30.751816000000002</v>
      </c>
      <c r="J79">
        <v>28.832144</v>
      </c>
      <c r="K79">
        <v>20.943871999999999</v>
      </c>
      <c r="L79">
        <v>35.973137000000001</v>
      </c>
      <c r="M79">
        <v>37.006306000000002</v>
      </c>
      <c r="N79">
        <v>30.751816000000002</v>
      </c>
      <c r="O79">
        <v>28.832144</v>
      </c>
      <c r="P79">
        <v>20.943871999999999</v>
      </c>
    </row>
    <row r="80" spans="1:16" ht="13.15" x14ac:dyDescent="0.4">
      <c r="A80" s="8">
        <v>38</v>
      </c>
      <c r="B80">
        <v>25.731674000000002</v>
      </c>
      <c r="C80">
        <v>25.927983999999999</v>
      </c>
      <c r="D80">
        <v>21.090326000000001</v>
      </c>
      <c r="E80">
        <v>19.652930999999999</v>
      </c>
      <c r="F80">
        <v>14.707775</v>
      </c>
      <c r="G80">
        <v>25.731674000000002</v>
      </c>
      <c r="H80">
        <v>25.927983999999999</v>
      </c>
      <c r="I80">
        <v>21.090326000000001</v>
      </c>
      <c r="J80">
        <v>19.652930999999999</v>
      </c>
      <c r="K80">
        <v>14.707775</v>
      </c>
      <c r="L80">
        <v>25.731674000000002</v>
      </c>
      <c r="M80">
        <v>25.927983999999999</v>
      </c>
      <c r="N80">
        <v>21.090326000000001</v>
      </c>
      <c r="O80">
        <v>19.652930999999999</v>
      </c>
      <c r="P80">
        <v>14.707775</v>
      </c>
    </row>
    <row r="81" spans="1:32" ht="13.15" x14ac:dyDescent="0.4">
      <c r="A81" s="8">
        <v>50</v>
      </c>
      <c r="B81">
        <v>17.282468999999999</v>
      </c>
      <c r="C81">
        <v>17.796026000000001</v>
      </c>
      <c r="D81">
        <v>13.903119999999999</v>
      </c>
      <c r="E81">
        <v>13.76882</v>
      </c>
      <c r="F81">
        <v>9.6483000000000008</v>
      </c>
      <c r="G81">
        <v>17.282468999999999</v>
      </c>
      <c r="H81">
        <v>17.796026000000001</v>
      </c>
      <c r="I81">
        <v>13.903119999999999</v>
      </c>
      <c r="J81">
        <v>13.76882</v>
      </c>
      <c r="K81">
        <v>9.6483000000000008</v>
      </c>
      <c r="L81">
        <v>17.282468999999999</v>
      </c>
      <c r="M81">
        <v>17.796026000000001</v>
      </c>
      <c r="N81">
        <v>13.903119999999999</v>
      </c>
      <c r="O81">
        <v>13.76882</v>
      </c>
      <c r="P81">
        <v>9.6483000000000008</v>
      </c>
    </row>
    <row r="82" spans="1:32" ht="13.15" x14ac:dyDescent="0.4">
      <c r="A82" s="8">
        <v>70</v>
      </c>
      <c r="B82">
        <v>11.521646</v>
      </c>
      <c r="C82">
        <v>11.314030000000001</v>
      </c>
      <c r="D82">
        <v>9.8971359999999997</v>
      </c>
      <c r="E82">
        <v>10.826764000000001</v>
      </c>
      <c r="F82">
        <v>6.4714210000000003</v>
      </c>
      <c r="G82">
        <v>11.521646</v>
      </c>
      <c r="H82">
        <v>11.314030000000001</v>
      </c>
      <c r="I82">
        <v>9.8971359999999997</v>
      </c>
      <c r="J82">
        <v>10.826764000000001</v>
      </c>
      <c r="K82">
        <v>6.4714210000000003</v>
      </c>
      <c r="L82">
        <v>11.521646</v>
      </c>
      <c r="M82">
        <v>11.314030000000001</v>
      </c>
      <c r="N82">
        <v>9.8971359999999997</v>
      </c>
      <c r="O82">
        <v>10.826764000000001</v>
      </c>
      <c r="P82">
        <v>6.4714210000000003</v>
      </c>
    </row>
    <row r="85" spans="1:32" x14ac:dyDescent="0.35">
      <c r="B85" t="s">
        <v>412</v>
      </c>
    </row>
    <row r="86" spans="1:32" x14ac:dyDescent="0.35">
      <c r="A86">
        <v>1</v>
      </c>
      <c r="B86">
        <v>7.8113840000000003</v>
      </c>
      <c r="C86">
        <v>12748.444336</v>
      </c>
      <c r="D86">
        <v>11296.333008</v>
      </c>
      <c r="E86">
        <v>9922.4414059999999</v>
      </c>
      <c r="F86">
        <v>8671.9589840000008</v>
      </c>
      <c r="G86">
        <v>7569.9770509999998</v>
      </c>
      <c r="H86">
        <v>6586.9248049999997</v>
      </c>
      <c r="I86">
        <v>5658.7919920000004</v>
      </c>
      <c r="J86">
        <v>4823.6010740000002</v>
      </c>
      <c r="K86">
        <v>4052.2907709999999</v>
      </c>
      <c r="L86">
        <v>3367.008789</v>
      </c>
      <c r="M86">
        <v>2748.0405270000001</v>
      </c>
      <c r="N86">
        <v>2193.0812989999999</v>
      </c>
      <c r="O86">
        <v>1726.4545900000001</v>
      </c>
      <c r="P86">
        <v>1346.1123050000001</v>
      </c>
      <c r="Q86">
        <v>1032.8515620000001</v>
      </c>
      <c r="R86">
        <v>797.80993699999999</v>
      </c>
      <c r="S86">
        <v>610.519226</v>
      </c>
      <c r="T86">
        <v>471.87539700000002</v>
      </c>
      <c r="U86">
        <v>362.67581200000001</v>
      </c>
      <c r="V86">
        <v>277.287598</v>
      </c>
      <c r="W86">
        <v>211.998276</v>
      </c>
      <c r="X86">
        <v>154.39004499999999</v>
      </c>
      <c r="Y86">
        <v>116.752678</v>
      </c>
      <c r="Z86">
        <v>84.492064999999997</v>
      </c>
      <c r="AA86">
        <v>61.064720000000001</v>
      </c>
      <c r="AB86">
        <v>46.086582</v>
      </c>
      <c r="AC86">
        <v>35.973137000000001</v>
      </c>
      <c r="AD86">
        <v>25.731674000000002</v>
      </c>
      <c r="AE86">
        <v>17.282468999999999</v>
      </c>
      <c r="AF86">
        <v>11.521646</v>
      </c>
    </row>
    <row r="87" spans="1:32" x14ac:dyDescent="0.35">
      <c r="A87">
        <v>2</v>
      </c>
      <c r="B87">
        <v>8.4850410000000007</v>
      </c>
      <c r="C87">
        <v>12757.982421999999</v>
      </c>
      <c r="D87">
        <v>11251.212890999999</v>
      </c>
      <c r="E87">
        <v>9850.6308590000008</v>
      </c>
      <c r="F87">
        <v>8575.4453119999998</v>
      </c>
      <c r="G87">
        <v>7458.7739259999998</v>
      </c>
      <c r="H87">
        <v>6473.6284180000002</v>
      </c>
      <c r="I87">
        <v>5542.578125</v>
      </c>
      <c r="J87">
        <v>4705.1040039999998</v>
      </c>
      <c r="K87">
        <v>3942.4677729999999</v>
      </c>
      <c r="L87">
        <v>3259.1477049999999</v>
      </c>
      <c r="M87">
        <v>2656.9111330000001</v>
      </c>
      <c r="N87">
        <v>2112.6591800000001</v>
      </c>
      <c r="O87">
        <v>1663.1623540000001</v>
      </c>
      <c r="P87">
        <v>1285.7923579999999</v>
      </c>
      <c r="Q87">
        <v>978.30999799999995</v>
      </c>
      <c r="R87">
        <v>751.08654799999999</v>
      </c>
      <c r="S87">
        <v>568.64782700000001</v>
      </c>
      <c r="T87">
        <v>432.17236300000002</v>
      </c>
      <c r="U87">
        <v>338.124481</v>
      </c>
      <c r="V87">
        <v>260.81195100000002</v>
      </c>
      <c r="W87">
        <v>201.649002</v>
      </c>
      <c r="X87">
        <v>156.98216199999999</v>
      </c>
      <c r="Y87">
        <v>118.915161</v>
      </c>
      <c r="Z87">
        <v>89.922966000000002</v>
      </c>
      <c r="AA87">
        <v>69.298430999999994</v>
      </c>
      <c r="AB87">
        <v>51.266697000000001</v>
      </c>
      <c r="AC87">
        <v>37.006306000000002</v>
      </c>
      <c r="AD87">
        <v>25.927983999999999</v>
      </c>
      <c r="AE87">
        <v>17.796026000000001</v>
      </c>
      <c r="AF87">
        <v>11.314030000000001</v>
      </c>
    </row>
    <row r="88" spans="1:32" x14ac:dyDescent="0.35">
      <c r="A88">
        <v>3</v>
      </c>
      <c r="B88">
        <v>8.487304</v>
      </c>
      <c r="C88">
        <v>12023.959961</v>
      </c>
      <c r="D88">
        <v>10640.127930000001</v>
      </c>
      <c r="E88">
        <v>9313.2050780000009</v>
      </c>
      <c r="F88">
        <v>8127.3159180000002</v>
      </c>
      <c r="G88">
        <v>7061.8422849999997</v>
      </c>
      <c r="H88">
        <v>6130.3330079999996</v>
      </c>
      <c r="I88">
        <v>5241.3583980000003</v>
      </c>
      <c r="J88">
        <v>4447.1132809999999</v>
      </c>
      <c r="K88">
        <v>3703.1784670000002</v>
      </c>
      <c r="L88">
        <v>3081.5439449999999</v>
      </c>
      <c r="M88">
        <v>2502.679443</v>
      </c>
      <c r="N88">
        <v>1992.976807</v>
      </c>
      <c r="O88">
        <v>1566.221802</v>
      </c>
      <c r="P88">
        <v>1210.9853519999999</v>
      </c>
      <c r="Q88">
        <v>925.97131300000001</v>
      </c>
      <c r="R88">
        <v>709.76605199999995</v>
      </c>
      <c r="S88">
        <v>537.74438499999997</v>
      </c>
      <c r="T88">
        <v>413.67672700000003</v>
      </c>
      <c r="U88">
        <v>318.94699100000003</v>
      </c>
      <c r="V88">
        <v>240.123367</v>
      </c>
      <c r="W88">
        <v>181.447495</v>
      </c>
      <c r="X88">
        <v>137.97079500000001</v>
      </c>
      <c r="Y88">
        <v>107.925911</v>
      </c>
      <c r="Z88">
        <v>78.470153999999994</v>
      </c>
      <c r="AA88">
        <v>60.678871000000001</v>
      </c>
      <c r="AB88">
        <v>42.769767999999999</v>
      </c>
      <c r="AC88">
        <v>30.751816000000002</v>
      </c>
      <c r="AD88">
        <v>21.090326000000001</v>
      </c>
      <c r="AE88">
        <v>13.903119999999999</v>
      </c>
      <c r="AF88">
        <v>9.8971359999999997</v>
      </c>
    </row>
    <row r="89" spans="1:32" x14ac:dyDescent="0.35">
      <c r="A89">
        <v>4</v>
      </c>
      <c r="B89">
        <v>8.4974600000000002</v>
      </c>
      <c r="C89">
        <v>12393.349609000001</v>
      </c>
      <c r="D89">
        <v>10945.741211</v>
      </c>
      <c r="E89">
        <v>9592.7480469999991</v>
      </c>
      <c r="F89">
        <v>8358.9677730000003</v>
      </c>
      <c r="G89">
        <v>7278.4101559999999</v>
      </c>
      <c r="H89">
        <v>6320.7119140000004</v>
      </c>
      <c r="I89">
        <v>5390.3164059999999</v>
      </c>
      <c r="J89">
        <v>4590.4301759999998</v>
      </c>
      <c r="K89">
        <v>3827.2612300000001</v>
      </c>
      <c r="L89">
        <v>3162.474365</v>
      </c>
      <c r="M89">
        <v>2571.0034179999998</v>
      </c>
      <c r="N89">
        <v>2039.6682129999999</v>
      </c>
      <c r="O89">
        <v>1610.1281739999999</v>
      </c>
      <c r="P89">
        <v>1246.7254640000001</v>
      </c>
      <c r="Q89">
        <v>954.40283199999999</v>
      </c>
      <c r="R89">
        <v>727.98223900000005</v>
      </c>
      <c r="S89">
        <v>552.87109399999997</v>
      </c>
      <c r="T89">
        <v>428.12792999999999</v>
      </c>
      <c r="U89">
        <v>328.56875600000001</v>
      </c>
      <c r="V89">
        <v>252.192993</v>
      </c>
      <c r="W89">
        <v>192.99884</v>
      </c>
      <c r="X89">
        <v>146.04364000000001</v>
      </c>
      <c r="Y89">
        <v>109.915192</v>
      </c>
      <c r="Z89">
        <v>79.788544000000002</v>
      </c>
      <c r="AA89">
        <v>56.016734999999997</v>
      </c>
      <c r="AB89">
        <v>41.306457999999999</v>
      </c>
      <c r="AC89">
        <v>28.832144</v>
      </c>
      <c r="AD89">
        <v>19.652930999999999</v>
      </c>
      <c r="AE89">
        <v>13.76882</v>
      </c>
      <c r="AF89">
        <v>10.826764000000001</v>
      </c>
    </row>
    <row r="90" spans="1:32" x14ac:dyDescent="0.35">
      <c r="A90">
        <v>5</v>
      </c>
      <c r="B90">
        <v>8.4989059999999998</v>
      </c>
      <c r="C90">
        <v>12082.966796999999</v>
      </c>
      <c r="D90">
        <v>10661.842773</v>
      </c>
      <c r="E90">
        <v>9323.3173829999996</v>
      </c>
      <c r="F90">
        <v>8116.9267579999996</v>
      </c>
      <c r="G90">
        <v>7044.4360349999997</v>
      </c>
      <c r="H90">
        <v>6114.1987300000001</v>
      </c>
      <c r="I90">
        <v>5217.0244140000004</v>
      </c>
      <c r="J90">
        <v>4430.5703119999998</v>
      </c>
      <c r="K90">
        <v>3675.7670899999998</v>
      </c>
      <c r="L90">
        <v>3043.8034670000002</v>
      </c>
      <c r="M90">
        <v>2473.4948730000001</v>
      </c>
      <c r="N90">
        <v>1945.3092039999999</v>
      </c>
      <c r="O90">
        <v>1525.2551269999999</v>
      </c>
      <c r="P90">
        <v>1162.9731449999999</v>
      </c>
      <c r="Q90">
        <v>880.58392300000003</v>
      </c>
      <c r="R90">
        <v>665.37976100000003</v>
      </c>
      <c r="S90">
        <v>502.77056900000002</v>
      </c>
      <c r="T90">
        <v>375.930725</v>
      </c>
      <c r="U90">
        <v>283.33056599999998</v>
      </c>
      <c r="V90">
        <v>213.43924000000001</v>
      </c>
      <c r="W90">
        <v>157.43202199999999</v>
      </c>
      <c r="X90">
        <v>117.42688</v>
      </c>
      <c r="Y90">
        <v>87.893660999999994</v>
      </c>
      <c r="Z90">
        <v>64.008240000000001</v>
      </c>
      <c r="AA90">
        <v>47.064880000000002</v>
      </c>
      <c r="AB90">
        <v>32.121780000000001</v>
      </c>
      <c r="AC90">
        <v>20.943871999999999</v>
      </c>
      <c r="AD90">
        <v>14.707775</v>
      </c>
      <c r="AE90">
        <v>9.6483000000000008</v>
      </c>
      <c r="AF90">
        <v>6.4714210000000003</v>
      </c>
    </row>
    <row r="91" spans="1:32" x14ac:dyDescent="0.35">
      <c r="A91">
        <v>1</v>
      </c>
    </row>
    <row r="92" spans="1:32" x14ac:dyDescent="0.35">
      <c r="A92">
        <v>2</v>
      </c>
    </row>
    <row r="93" spans="1:32" x14ac:dyDescent="0.35">
      <c r="A93">
        <v>3</v>
      </c>
    </row>
    <row r="94" spans="1:32" x14ac:dyDescent="0.35">
      <c r="A94">
        <v>4</v>
      </c>
    </row>
    <row r="95" spans="1:32" x14ac:dyDescent="0.35">
      <c r="A95">
        <v>5</v>
      </c>
    </row>
    <row r="96" spans="1:32" x14ac:dyDescent="0.35">
      <c r="A96">
        <v>1</v>
      </c>
    </row>
    <row r="97" spans="1:1" x14ac:dyDescent="0.35">
      <c r="A97">
        <v>2</v>
      </c>
    </row>
    <row r="98" spans="1:1" x14ac:dyDescent="0.35">
      <c r="A98">
        <v>3</v>
      </c>
    </row>
    <row r="99" spans="1:1" x14ac:dyDescent="0.35">
      <c r="A99">
        <v>4</v>
      </c>
    </row>
    <row r="100" spans="1:1" x14ac:dyDescent="0.35">
      <c r="A100">
        <v>5</v>
      </c>
    </row>
  </sheetData>
  <mergeCells count="1">
    <mergeCell ref="A2:E2"/>
  </mergeCells>
  <conditionalFormatting sqref="H9:H40">
    <cfRule type="cellIs" dxfId="31" priority="2" operator="greaterThan">
      <formula>1000</formula>
    </cfRule>
  </conditionalFormatting>
  <conditionalFormatting sqref="K9:K40">
    <cfRule type="cellIs" dxfId="30"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W128"/>
  <sheetViews>
    <sheetView topLeftCell="A19" zoomScale="70" zoomScaleNormal="70" workbookViewId="0">
      <selection activeCell="A51" sqref="A51:P82"/>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75" t="s">
        <v>182</v>
      </c>
      <c r="O2" s="75"/>
    </row>
    <row r="3" spans="1:49" ht="13.15" x14ac:dyDescent="0.4">
      <c r="A3" t="str">
        <f>'6 - B1'!$A$3</f>
        <v>Serial #</v>
      </c>
      <c r="B3" s="73" t="str">
        <f>'6 - B1'!$B$3</f>
        <v>11171-00009</v>
      </c>
    </row>
    <row r="4" spans="1:49" ht="19.149999999999999" customHeight="1" x14ac:dyDescent="1.05">
      <c r="A4" s="8" t="str">
        <f>'6 - B1'!$A$4</f>
        <v>Date</v>
      </c>
      <c r="B4" s="74">
        <f>'6 - B1'!$B$4</f>
        <v>46009</v>
      </c>
      <c r="O4" s="75"/>
    </row>
    <row r="5" spans="1:49" ht="13.15" x14ac:dyDescent="0.4">
      <c r="A5" s="8" t="str">
        <f>'6 - B1'!$A$5</f>
        <v>RM</v>
      </c>
      <c r="B5" s="90" t="str">
        <f>'6 - B1'!$B$5</f>
        <v>37D</v>
      </c>
      <c r="O5" s="29"/>
    </row>
    <row r="6" spans="1:49" ht="13.15" x14ac:dyDescent="0.4">
      <c r="B6" s="8"/>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380</v>
      </c>
      <c r="M7" s="65" t="s">
        <v>138</v>
      </c>
      <c r="O7" s="65"/>
    </row>
    <row r="8" spans="1:49" ht="13.15" x14ac:dyDescent="0.4">
      <c r="A8" s="68" t="s">
        <v>139</v>
      </c>
      <c r="B8" s="46">
        <f>G52</f>
        <v>7.8113840000000003</v>
      </c>
      <c r="C8" s="46">
        <f>H52</f>
        <v>8.4850410000000007</v>
      </c>
      <c r="D8" s="46">
        <f>I52</f>
        <v>8.487304</v>
      </c>
      <c r="E8" s="46">
        <f>J52</f>
        <v>8.4974600000000002</v>
      </c>
      <c r="F8" s="46">
        <f>K52</f>
        <v>8.4989059999999998</v>
      </c>
      <c r="G8" s="78">
        <f>AVERAGE(B$8:F$8)*5</f>
        <v>41.780095000000003</v>
      </c>
      <c r="I8" s="79"/>
      <c r="K8" s="79"/>
    </row>
    <row r="9" spans="1:49" ht="13.15" x14ac:dyDescent="0.4">
      <c r="A9" s="68" t="s">
        <v>140</v>
      </c>
      <c r="B9" s="42">
        <f>G53</f>
        <v>12748.444336</v>
      </c>
      <c r="C9" s="42">
        <f t="shared" ref="C9:F9" si="0">H53</f>
        <v>12757.982421999999</v>
      </c>
      <c r="D9" s="42">
        <f t="shared" si="0"/>
        <v>12023.959961</v>
      </c>
      <c r="E9" s="42">
        <f t="shared" si="0"/>
        <v>12393.349609000001</v>
      </c>
      <c r="F9" s="42">
        <f t="shared" si="0"/>
        <v>12082.966796999999</v>
      </c>
      <c r="G9" s="80">
        <f t="shared" ref="G9:G38" si="1">AVERAGE(B9:F9)</f>
        <v>12401.340625000001</v>
      </c>
      <c r="H9" s="81">
        <f t="shared" ref="H9:H38" si="2">G9*G$8</f>
        <v>518129.18943985942</v>
      </c>
      <c r="I9" s="79">
        <f t="shared" ref="I9:I38" si="3">STDEVP(B9:F9)/AVERAGE(B9:F9)</f>
        <v>2.5282226180954145E-2</v>
      </c>
      <c r="J9" s="79">
        <f t="shared" ref="J9:J38" si="4">IF(H9&gt;$A$43, $C$43, IF(H9&gt;$A$44, $C$44, IF(H9&gt;$A$45,$C$45,IF(H9&gt;$A$46,$C$46, IF(H9&gt;$A$47,$C$47,IF(H9&gt;$A$48,$C$48,$C$49))))))/100</f>
        <v>0.11</v>
      </c>
      <c r="K9" s="79">
        <f t="shared" ref="K9:K38" si="5">(MAX(B9:F9)-MIN(B9:F9))/G9</f>
        <v>5.9188960548368023E-2</v>
      </c>
      <c r="L9" s="42">
        <f>G9/'Clause 6'!$H$11</f>
        <v>12401.340625000001</v>
      </c>
      <c r="M9">
        <f t="shared" ref="M9:M38" si="6">COUNTA(B9:F9)</f>
        <v>5</v>
      </c>
      <c r="O9" s="42"/>
    </row>
    <row r="10" spans="1:49" ht="13.15" x14ac:dyDescent="0.4">
      <c r="A10" s="68" t="s">
        <v>141</v>
      </c>
      <c r="B10" s="42">
        <f t="shared" ref="B10:F10" si="7">G54</f>
        <v>11296.333008</v>
      </c>
      <c r="C10" s="42">
        <f t="shared" si="7"/>
        <v>11251.212890999999</v>
      </c>
      <c r="D10" s="42">
        <f t="shared" si="7"/>
        <v>10640.127930000001</v>
      </c>
      <c r="E10" s="42">
        <f t="shared" si="7"/>
        <v>10945.741211</v>
      </c>
      <c r="F10" s="42">
        <f t="shared" si="7"/>
        <v>10661.842773</v>
      </c>
      <c r="G10" s="80">
        <f t="shared" si="1"/>
        <v>10959.051562600001</v>
      </c>
      <c r="H10" s="81">
        <f t="shared" si="2"/>
        <v>457870.21539532655</v>
      </c>
      <c r="I10" s="79">
        <f t="shared" si="3"/>
        <v>2.5462806924735296E-2</v>
      </c>
      <c r="J10" s="79">
        <f t="shared" si="4"/>
        <v>0.11</v>
      </c>
      <c r="K10" s="79">
        <f t="shared" si="5"/>
        <v>5.9877907705027385E-2</v>
      </c>
      <c r="L10" s="42">
        <f>G10/'Clause 6'!$H$11</f>
        <v>10959.051562600001</v>
      </c>
      <c r="M10">
        <f t="shared" si="6"/>
        <v>5</v>
      </c>
      <c r="O10" s="42"/>
    </row>
    <row r="11" spans="1:49" ht="13.15" x14ac:dyDescent="0.4">
      <c r="A11" s="68" t="s">
        <v>142</v>
      </c>
      <c r="B11" s="42">
        <f t="shared" ref="B11:F11" si="8">G55</f>
        <v>9922.4414059999999</v>
      </c>
      <c r="C11" s="42">
        <f t="shared" si="8"/>
        <v>9850.6308590000008</v>
      </c>
      <c r="D11" s="42">
        <f t="shared" si="8"/>
        <v>9313.2050780000009</v>
      </c>
      <c r="E11" s="42">
        <f t="shared" si="8"/>
        <v>9592.7480469999991</v>
      </c>
      <c r="F11" s="42">
        <f t="shared" si="8"/>
        <v>9323.3173829999996</v>
      </c>
      <c r="G11" s="80">
        <f t="shared" si="1"/>
        <v>9600.4685546000001</v>
      </c>
      <c r="H11" s="81">
        <f t="shared" si="2"/>
        <v>401108.48825570074</v>
      </c>
      <c r="I11" s="79">
        <f t="shared" si="3"/>
        <v>2.6582247295754358E-2</v>
      </c>
      <c r="J11" s="79">
        <f t="shared" si="4"/>
        <v>0.11</v>
      </c>
      <c r="K11" s="79">
        <f t="shared" si="5"/>
        <v>6.3459020206684341E-2</v>
      </c>
      <c r="L11" s="42">
        <f>G11/'Clause 6'!$H$11</f>
        <v>9600.4685546000001</v>
      </c>
      <c r="M11">
        <f t="shared" si="6"/>
        <v>5</v>
      </c>
      <c r="O11" s="42"/>
    </row>
    <row r="12" spans="1:49" ht="13.15" x14ac:dyDescent="0.4">
      <c r="A12" s="68" t="s">
        <v>143</v>
      </c>
      <c r="B12" s="42">
        <f t="shared" ref="B12:F12" si="9">G56</f>
        <v>8671.9589840000008</v>
      </c>
      <c r="C12" s="42">
        <f t="shared" si="9"/>
        <v>8575.4453119999998</v>
      </c>
      <c r="D12" s="42">
        <f t="shared" si="9"/>
        <v>8127.3159180000002</v>
      </c>
      <c r="E12" s="42">
        <f t="shared" si="9"/>
        <v>8358.9677730000003</v>
      </c>
      <c r="F12" s="42">
        <f t="shared" si="9"/>
        <v>8116.9267579999996</v>
      </c>
      <c r="G12" s="80">
        <f t="shared" si="1"/>
        <v>8370.1229490000005</v>
      </c>
      <c r="H12" s="81">
        <f t="shared" si="2"/>
        <v>349704.53197090019</v>
      </c>
      <c r="I12" s="79">
        <f t="shared" si="3"/>
        <v>2.7057317584417987E-2</v>
      </c>
      <c r="J12" s="79">
        <f t="shared" si="4"/>
        <v>0.11</v>
      </c>
      <c r="K12" s="79">
        <f t="shared" si="5"/>
        <v>6.6311119846371225E-2</v>
      </c>
      <c r="L12" s="42">
        <f>G12/'Clause 6'!$H$11</f>
        <v>8370.1229490000005</v>
      </c>
      <c r="M12">
        <f t="shared" si="6"/>
        <v>5</v>
      </c>
      <c r="O12" s="42"/>
    </row>
    <row r="13" spans="1:49" ht="13.15" x14ac:dyDescent="0.4">
      <c r="A13" s="68" t="s">
        <v>144</v>
      </c>
      <c r="B13" s="42">
        <f t="shared" ref="B13:F13" si="10">G57</f>
        <v>7569.9770509999998</v>
      </c>
      <c r="C13" s="42">
        <f t="shared" si="10"/>
        <v>7458.7739259999998</v>
      </c>
      <c r="D13" s="42">
        <f t="shared" si="10"/>
        <v>7061.8422849999997</v>
      </c>
      <c r="E13" s="42">
        <f t="shared" si="10"/>
        <v>7278.4101559999999</v>
      </c>
      <c r="F13" s="42">
        <f t="shared" si="10"/>
        <v>7044.4360349999997</v>
      </c>
      <c r="G13" s="80">
        <f t="shared" si="1"/>
        <v>7282.6878906000002</v>
      </c>
      <c r="H13" s="81">
        <f t="shared" si="2"/>
        <v>304271.39192461764</v>
      </c>
      <c r="I13" s="79">
        <f t="shared" si="3"/>
        <v>2.8743582857902194E-2</v>
      </c>
      <c r="J13" s="79">
        <f t="shared" si="4"/>
        <v>0.11</v>
      </c>
      <c r="K13" s="79">
        <f t="shared" si="5"/>
        <v>7.2163056263654088E-2</v>
      </c>
      <c r="L13" s="42">
        <f>G13/'Clause 6'!$H$11</f>
        <v>7282.6878906000002</v>
      </c>
      <c r="M13">
        <f t="shared" si="6"/>
        <v>5</v>
      </c>
      <c r="O13" s="42"/>
    </row>
    <row r="14" spans="1:49" ht="13.15" x14ac:dyDescent="0.4">
      <c r="A14" s="68" t="s">
        <v>145</v>
      </c>
      <c r="B14" s="42">
        <f t="shared" ref="B14:F14" si="11">G58</f>
        <v>6586.9248049999997</v>
      </c>
      <c r="C14" s="42">
        <f t="shared" si="11"/>
        <v>6473.6284180000002</v>
      </c>
      <c r="D14" s="42">
        <f t="shared" si="11"/>
        <v>6130.3330079999996</v>
      </c>
      <c r="E14" s="42">
        <f t="shared" si="11"/>
        <v>6320.7119140000004</v>
      </c>
      <c r="F14" s="42">
        <f t="shared" si="11"/>
        <v>6114.1987300000001</v>
      </c>
      <c r="G14" s="80">
        <f t="shared" si="1"/>
        <v>6325.1593749999993</v>
      </c>
      <c r="H14" s="81">
        <f t="shared" si="2"/>
        <v>264265.75957764062</v>
      </c>
      <c r="I14" s="79">
        <f t="shared" si="3"/>
        <v>2.9411956220666263E-2</v>
      </c>
      <c r="J14" s="79">
        <f t="shared" si="4"/>
        <v>0.11</v>
      </c>
      <c r="K14" s="79">
        <f t="shared" si="5"/>
        <v>7.4737417189586569E-2</v>
      </c>
      <c r="L14" s="42">
        <f>G14/'Clause 6'!$H$11</f>
        <v>6325.1593749999993</v>
      </c>
      <c r="M14">
        <f t="shared" si="6"/>
        <v>5</v>
      </c>
      <c r="O14" s="42"/>
    </row>
    <row r="15" spans="1:49" ht="13.15" x14ac:dyDescent="0.4">
      <c r="A15" s="68" t="s">
        <v>146</v>
      </c>
      <c r="B15" s="42">
        <f t="shared" ref="B15:F15" si="12">G59</f>
        <v>5658.7919920000004</v>
      </c>
      <c r="C15" s="42">
        <f t="shared" si="12"/>
        <v>5542.578125</v>
      </c>
      <c r="D15" s="42">
        <f t="shared" si="12"/>
        <v>5241.3583980000003</v>
      </c>
      <c r="E15" s="42">
        <f t="shared" si="12"/>
        <v>5390.3164059999999</v>
      </c>
      <c r="F15" s="42">
        <f t="shared" si="12"/>
        <v>5217.0244140000004</v>
      </c>
      <c r="G15" s="80">
        <f t="shared" si="1"/>
        <v>5410.0138669999997</v>
      </c>
      <c r="H15" s="81">
        <f t="shared" si="2"/>
        <v>226030.89331457738</v>
      </c>
      <c r="I15" s="79">
        <f t="shared" si="3"/>
        <v>3.1536241277677492E-2</v>
      </c>
      <c r="J15" s="79">
        <f t="shared" si="4"/>
        <v>0.11</v>
      </c>
      <c r="K15" s="79">
        <f t="shared" si="5"/>
        <v>8.1657383670436345E-2</v>
      </c>
      <c r="L15" s="42">
        <f>G15/'Clause 6'!$H$11</f>
        <v>5410.0138669999997</v>
      </c>
      <c r="M15">
        <f t="shared" si="6"/>
        <v>5</v>
      </c>
      <c r="O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2">
        <f t="shared" ref="B16:F16" si="13">G60</f>
        <v>4823.6010740000002</v>
      </c>
      <c r="C16" s="42">
        <f t="shared" si="13"/>
        <v>4705.1040039999998</v>
      </c>
      <c r="D16" s="42">
        <f t="shared" si="13"/>
        <v>4447.1132809999999</v>
      </c>
      <c r="E16" s="42">
        <f t="shared" si="13"/>
        <v>4590.4301759999998</v>
      </c>
      <c r="F16" s="42">
        <f t="shared" si="13"/>
        <v>4430.5703119999998</v>
      </c>
      <c r="G16" s="80">
        <f t="shared" si="1"/>
        <v>4599.3637693999999</v>
      </c>
      <c r="H16" s="81">
        <f t="shared" si="2"/>
        <v>192161.85522509011</v>
      </c>
      <c r="I16" s="79">
        <f t="shared" si="3"/>
        <v>3.2716624533865923E-2</v>
      </c>
      <c r="J16" s="79">
        <f t="shared" si="4"/>
        <v>0.11</v>
      </c>
      <c r="K16" s="79">
        <f t="shared" si="5"/>
        <v>8.545328912987292E-2</v>
      </c>
      <c r="L16" s="42">
        <f>G16/'Clause 6'!$H$11</f>
        <v>4599.3637693999999</v>
      </c>
      <c r="M16">
        <f t="shared" si="6"/>
        <v>5</v>
      </c>
      <c r="O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2">
        <f t="shared" ref="B17:F17" si="14">G61</f>
        <v>4052.2907709999999</v>
      </c>
      <c r="C17" s="42">
        <f t="shared" si="14"/>
        <v>3942.4677729999999</v>
      </c>
      <c r="D17" s="42">
        <f t="shared" si="14"/>
        <v>3703.1784670000002</v>
      </c>
      <c r="E17" s="42">
        <f t="shared" si="14"/>
        <v>3827.2612300000001</v>
      </c>
      <c r="F17" s="42">
        <f t="shared" si="14"/>
        <v>3675.7670899999998</v>
      </c>
      <c r="G17" s="80">
        <f t="shared" si="1"/>
        <v>3840.1930662</v>
      </c>
      <c r="H17" s="81">
        <f t="shared" si="2"/>
        <v>160443.63112417731</v>
      </c>
      <c r="I17" s="79">
        <f t="shared" si="3"/>
        <v>3.7087482347580511E-2</v>
      </c>
      <c r="J17" s="79">
        <f t="shared" si="4"/>
        <v>0.11</v>
      </c>
      <c r="K17" s="79">
        <f t="shared" si="5"/>
        <v>9.8048112297797294E-2</v>
      </c>
      <c r="L17" s="42">
        <f>G17/'Clause 6'!$H$11</f>
        <v>3840.1930662</v>
      </c>
      <c r="M17">
        <f t="shared" si="6"/>
        <v>5</v>
      </c>
      <c r="O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2">
        <f t="shared" ref="B18:F18" si="15">G62</f>
        <v>3367.008789</v>
      </c>
      <c r="C18" s="42">
        <f t="shared" si="15"/>
        <v>3259.1477049999999</v>
      </c>
      <c r="D18" s="42">
        <f t="shared" si="15"/>
        <v>3081.5439449999999</v>
      </c>
      <c r="E18" s="42">
        <f t="shared" si="15"/>
        <v>3162.474365</v>
      </c>
      <c r="F18" s="42">
        <f t="shared" si="15"/>
        <v>3043.8034670000002</v>
      </c>
      <c r="G18" s="80">
        <f t="shared" si="1"/>
        <v>3182.7956542000002</v>
      </c>
      <c r="H18" s="81">
        <f t="shared" si="2"/>
        <v>132977.50479806316</v>
      </c>
      <c r="I18" s="79">
        <f t="shared" si="3"/>
        <v>3.7108339181905411E-2</v>
      </c>
      <c r="J18" s="79">
        <f t="shared" si="4"/>
        <v>0.11</v>
      </c>
      <c r="K18" s="79">
        <f t="shared" si="5"/>
        <v>0.10154761948776063</v>
      </c>
      <c r="L18" s="42">
        <f>G18/'Clause 6'!$H$11</f>
        <v>3182.7956542000002</v>
      </c>
      <c r="M18">
        <f t="shared" si="6"/>
        <v>5</v>
      </c>
      <c r="O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2">
        <f t="shared" ref="B19:F19" si="16">G63</f>
        <v>2748.0405270000001</v>
      </c>
      <c r="C19" s="42">
        <f t="shared" si="16"/>
        <v>2656.9111330000001</v>
      </c>
      <c r="D19" s="42">
        <f t="shared" si="16"/>
        <v>2502.679443</v>
      </c>
      <c r="E19" s="42">
        <f t="shared" si="16"/>
        <v>2571.0034179999998</v>
      </c>
      <c r="F19" s="42">
        <f t="shared" si="16"/>
        <v>2473.4948730000001</v>
      </c>
      <c r="G19" s="80">
        <f t="shared" si="1"/>
        <v>2590.4258787999997</v>
      </c>
      <c r="H19" s="81">
        <f t="shared" si="2"/>
        <v>108228.23930672248</v>
      </c>
      <c r="I19" s="79">
        <f t="shared" si="3"/>
        <v>3.899247794854941E-2</v>
      </c>
      <c r="J19" s="79">
        <f t="shared" si="4"/>
        <v>0.11</v>
      </c>
      <c r="K19" s="79">
        <f t="shared" si="5"/>
        <v>0.10598475572950257</v>
      </c>
      <c r="L19" s="42">
        <f>G19/'Clause 6'!$H$11</f>
        <v>2590.4258787999997</v>
      </c>
      <c r="M19">
        <f t="shared" si="6"/>
        <v>5</v>
      </c>
      <c r="O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2">
        <f t="shared" ref="B20:F20" si="17">G64</f>
        <v>2193.0812989999999</v>
      </c>
      <c r="C20" s="42">
        <f t="shared" si="17"/>
        <v>2112.6591800000001</v>
      </c>
      <c r="D20" s="42">
        <f t="shared" si="17"/>
        <v>1992.976807</v>
      </c>
      <c r="E20" s="42">
        <f t="shared" si="17"/>
        <v>2039.6682129999999</v>
      </c>
      <c r="F20" s="42">
        <f t="shared" si="17"/>
        <v>1945.3092039999999</v>
      </c>
      <c r="G20" s="80">
        <f t="shared" si="1"/>
        <v>2056.7389405999998</v>
      </c>
      <c r="H20" s="81">
        <f t="shared" si="2"/>
        <v>85930.748328467351</v>
      </c>
      <c r="I20" s="79">
        <f t="shared" si="3"/>
        <v>4.2658867055217688E-2</v>
      </c>
      <c r="J20" s="79">
        <f t="shared" si="4"/>
        <v>0.11</v>
      </c>
      <c r="K20" s="79">
        <f t="shared" si="5"/>
        <v>0.12046842217501799</v>
      </c>
      <c r="L20" s="42">
        <f>G20/'Clause 6'!$H$11</f>
        <v>2056.7389405999998</v>
      </c>
      <c r="M20">
        <f t="shared" si="6"/>
        <v>5</v>
      </c>
      <c r="O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2">
        <f t="shared" ref="B21:F21" si="18">G65</f>
        <v>1726.4545900000001</v>
      </c>
      <c r="C21" s="42">
        <f t="shared" si="18"/>
        <v>1663.1623540000001</v>
      </c>
      <c r="D21" s="42">
        <f t="shared" si="18"/>
        <v>1566.221802</v>
      </c>
      <c r="E21" s="42">
        <f t="shared" si="18"/>
        <v>1610.1281739999999</v>
      </c>
      <c r="F21" s="42">
        <f t="shared" si="18"/>
        <v>1525.2551269999999</v>
      </c>
      <c r="G21" s="80">
        <f t="shared" si="1"/>
        <v>1618.2444094000002</v>
      </c>
      <c r="H21" s="81">
        <f t="shared" si="2"/>
        <v>67610.405157950911</v>
      </c>
      <c r="I21" s="79">
        <f t="shared" si="3"/>
        <v>4.3823584650558849E-2</v>
      </c>
      <c r="J21" s="79">
        <f t="shared" si="4"/>
        <v>0.11</v>
      </c>
      <c r="K21" s="79">
        <f t="shared" si="5"/>
        <v>0.12433193764259583</v>
      </c>
      <c r="L21" s="42">
        <f>G21/'Clause 6'!$H$11</f>
        <v>1618.2444094000002</v>
      </c>
      <c r="M21">
        <f t="shared" si="6"/>
        <v>5</v>
      </c>
      <c r="O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2">
        <f t="shared" ref="B22:F22" si="19">G66</f>
        <v>1346.1123050000001</v>
      </c>
      <c r="C22" s="42">
        <f t="shared" si="19"/>
        <v>1285.7923579999999</v>
      </c>
      <c r="D22" s="42">
        <f t="shared" si="19"/>
        <v>1210.9853519999999</v>
      </c>
      <c r="E22" s="42">
        <f t="shared" si="19"/>
        <v>1246.7254640000001</v>
      </c>
      <c r="F22" s="42">
        <f t="shared" si="19"/>
        <v>1162.9731449999999</v>
      </c>
      <c r="G22" s="80">
        <f t="shared" si="1"/>
        <v>1250.5177248</v>
      </c>
      <c r="H22" s="81">
        <f t="shared" si="2"/>
        <v>52246.749341327857</v>
      </c>
      <c r="I22" s="79">
        <f t="shared" si="3"/>
        <v>5.0097659733793244E-2</v>
      </c>
      <c r="J22" s="79">
        <f t="shared" si="4"/>
        <v>0.11</v>
      </c>
      <c r="K22" s="79">
        <f t="shared" si="5"/>
        <v>0.14645067108448248</v>
      </c>
      <c r="L22" s="42">
        <f>G22/'Clause 6'!$H$11</f>
        <v>1250.5177248</v>
      </c>
      <c r="M22">
        <f t="shared" si="6"/>
        <v>5</v>
      </c>
      <c r="O22" s="42"/>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2">
        <f t="shared" ref="B23:F23" si="20">G67</f>
        <v>1032.8515620000001</v>
      </c>
      <c r="C23" s="42">
        <f t="shared" si="20"/>
        <v>978.30999799999995</v>
      </c>
      <c r="D23" s="42">
        <f t="shared" si="20"/>
        <v>925.97131300000001</v>
      </c>
      <c r="E23" s="42">
        <f t="shared" si="20"/>
        <v>954.40283199999999</v>
      </c>
      <c r="F23" s="42">
        <f t="shared" si="20"/>
        <v>880.58392300000003</v>
      </c>
      <c r="G23" s="80">
        <f t="shared" si="1"/>
        <v>954.42392560000008</v>
      </c>
      <c r="H23" s="81">
        <f t="shared" si="2"/>
        <v>39875.92228184094</v>
      </c>
      <c r="I23" s="79">
        <f t="shared" si="3"/>
        <v>5.3390849586401362E-2</v>
      </c>
      <c r="J23" s="79">
        <f t="shared" si="4"/>
        <v>0.11</v>
      </c>
      <c r="K23" s="79">
        <f t="shared" si="5"/>
        <v>0.15953879079914801</v>
      </c>
      <c r="L23" s="42">
        <f>G23/'Clause 6'!$H$11</f>
        <v>954.42392560000008</v>
      </c>
      <c r="M23">
        <f t="shared" si="6"/>
        <v>5</v>
      </c>
      <c r="O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2">
        <f t="shared" ref="B24:F24" si="21">G68</f>
        <v>797.80993699999999</v>
      </c>
      <c r="C24" s="42">
        <f t="shared" si="21"/>
        <v>751.08654799999999</v>
      </c>
      <c r="D24" s="42">
        <f t="shared" si="21"/>
        <v>709.76605199999995</v>
      </c>
      <c r="E24" s="42">
        <f t="shared" si="21"/>
        <v>727.98223900000005</v>
      </c>
      <c r="F24" s="42">
        <f t="shared" si="21"/>
        <v>665.37976100000003</v>
      </c>
      <c r="G24" s="80">
        <f t="shared" si="1"/>
        <v>730.40490740000007</v>
      </c>
      <c r="H24" s="81">
        <f t="shared" si="2"/>
        <v>30516.386419638209</v>
      </c>
      <c r="I24" s="79">
        <f t="shared" si="3"/>
        <v>6.0088738366929823E-2</v>
      </c>
      <c r="J24" s="79">
        <f t="shared" si="4"/>
        <v>0.11</v>
      </c>
      <c r="K24" s="79">
        <f t="shared" si="5"/>
        <v>0.18131063285350532</v>
      </c>
      <c r="L24" s="42">
        <f>G24/'Clause 6'!$H$11</f>
        <v>730.40490740000007</v>
      </c>
      <c r="M24">
        <f t="shared" si="6"/>
        <v>5</v>
      </c>
      <c r="O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2">
        <f t="shared" ref="B25:F25" si="22">G69</f>
        <v>610.519226</v>
      </c>
      <c r="C25" s="42">
        <f t="shared" si="22"/>
        <v>568.64782700000001</v>
      </c>
      <c r="D25" s="42">
        <f t="shared" si="22"/>
        <v>537.74438499999997</v>
      </c>
      <c r="E25" s="42">
        <f t="shared" si="22"/>
        <v>552.87109399999997</v>
      </c>
      <c r="F25" s="42">
        <f t="shared" si="22"/>
        <v>502.77056900000002</v>
      </c>
      <c r="G25" s="80">
        <f t="shared" si="1"/>
        <v>554.51062020000006</v>
      </c>
      <c r="H25" s="81">
        <f t="shared" si="2"/>
        <v>23167.506390464921</v>
      </c>
      <c r="I25" s="79">
        <f t="shared" si="3"/>
        <v>6.4002135227368542E-2</v>
      </c>
      <c r="J25" s="79">
        <f t="shared" si="4"/>
        <v>0.11</v>
      </c>
      <c r="K25" s="79">
        <f t="shared" si="5"/>
        <v>0.19431306286097344</v>
      </c>
      <c r="L25" s="42">
        <f>G25/'Clause 6'!$H$11</f>
        <v>554.51062020000006</v>
      </c>
      <c r="M25">
        <f t="shared" si="6"/>
        <v>5</v>
      </c>
      <c r="O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2">
        <f t="shared" ref="B26:F26" si="23">G70</f>
        <v>471.87539700000002</v>
      </c>
      <c r="C26" s="42">
        <f t="shared" si="23"/>
        <v>432.17236300000002</v>
      </c>
      <c r="D26" s="42">
        <f t="shared" si="23"/>
        <v>413.67672700000003</v>
      </c>
      <c r="E26" s="42">
        <f t="shared" si="23"/>
        <v>428.12792999999999</v>
      </c>
      <c r="F26" s="42">
        <f t="shared" si="23"/>
        <v>375.930725</v>
      </c>
      <c r="G26" s="80">
        <f t="shared" si="1"/>
        <v>424.35662840000003</v>
      </c>
      <c r="H26" s="81">
        <f t="shared" si="2"/>
        <v>17729.660248431701</v>
      </c>
      <c r="I26" s="79">
        <f t="shared" si="3"/>
        <v>7.2956454206185586E-2</v>
      </c>
      <c r="J26" s="79">
        <f t="shared" si="4"/>
        <v>0.11</v>
      </c>
      <c r="K26" s="79">
        <f t="shared" si="5"/>
        <v>0.22609443467809401</v>
      </c>
      <c r="L26" s="42">
        <f>G26/'Clause 6'!$H$11</f>
        <v>424.35662840000003</v>
      </c>
      <c r="M26">
        <f t="shared" si="6"/>
        <v>5</v>
      </c>
      <c r="O26" s="42"/>
    </row>
    <row r="27" spans="1:49" ht="13.15" x14ac:dyDescent="0.4">
      <c r="A27" s="68" t="s">
        <v>158</v>
      </c>
      <c r="B27" s="42">
        <f t="shared" ref="B27:F27" si="24">G71</f>
        <v>362.67581200000001</v>
      </c>
      <c r="C27" s="42">
        <f t="shared" si="24"/>
        <v>338.124481</v>
      </c>
      <c r="D27" s="42">
        <f t="shared" si="24"/>
        <v>318.94699100000003</v>
      </c>
      <c r="E27" s="42">
        <f t="shared" si="24"/>
        <v>328.56875600000001</v>
      </c>
      <c r="F27" s="42">
        <f t="shared" si="24"/>
        <v>283.33056599999998</v>
      </c>
      <c r="G27" s="80">
        <f t="shared" si="1"/>
        <v>326.32932120000004</v>
      </c>
      <c r="H27" s="81">
        <f t="shared" si="2"/>
        <v>13634.070041021516</v>
      </c>
      <c r="I27" s="79">
        <f t="shared" si="3"/>
        <v>7.9539640305891515E-2</v>
      </c>
      <c r="J27" s="79">
        <f t="shared" si="4"/>
        <v>0.11</v>
      </c>
      <c r="K27" s="79">
        <f t="shared" si="5"/>
        <v>0.24314470335741323</v>
      </c>
      <c r="L27" s="42">
        <f>G27/'Clause 6'!$H$11</f>
        <v>326.32932120000004</v>
      </c>
      <c r="M27">
        <f t="shared" si="6"/>
        <v>5</v>
      </c>
      <c r="O27" s="42"/>
    </row>
    <row r="28" spans="1:49" ht="13.15" x14ac:dyDescent="0.4">
      <c r="A28" s="68" t="s">
        <v>159</v>
      </c>
      <c r="B28" s="42">
        <f t="shared" ref="B28:F28" si="25">G72</f>
        <v>277.287598</v>
      </c>
      <c r="C28" s="42">
        <f t="shared" si="25"/>
        <v>260.81195100000002</v>
      </c>
      <c r="D28" s="42">
        <f t="shared" si="25"/>
        <v>240.123367</v>
      </c>
      <c r="E28" s="42">
        <f t="shared" si="25"/>
        <v>252.192993</v>
      </c>
      <c r="F28" s="42">
        <f t="shared" si="25"/>
        <v>213.43924000000001</v>
      </c>
      <c r="G28" s="80">
        <f t="shared" si="1"/>
        <v>248.77102980000001</v>
      </c>
      <c r="H28" s="81">
        <f t="shared" si="2"/>
        <v>10393.677258291833</v>
      </c>
      <c r="I28" s="79">
        <f t="shared" si="3"/>
        <v>8.6083073164871154E-2</v>
      </c>
      <c r="J28" s="79">
        <f t="shared" si="4"/>
        <v>0.11</v>
      </c>
      <c r="K28" s="79">
        <f t="shared" si="5"/>
        <v>0.25665511796663387</v>
      </c>
      <c r="L28" s="42">
        <f>G28/'Clause 6'!$H$11</f>
        <v>248.77102980000001</v>
      </c>
      <c r="M28">
        <f t="shared" si="6"/>
        <v>5</v>
      </c>
      <c r="O28" s="42"/>
    </row>
    <row r="29" spans="1:49" ht="13.15" x14ac:dyDescent="0.4">
      <c r="A29" s="68" t="s">
        <v>160</v>
      </c>
      <c r="B29" s="42">
        <f t="shared" ref="B29:F29" si="26">G73</f>
        <v>211.998276</v>
      </c>
      <c r="C29" s="42">
        <f t="shared" si="26"/>
        <v>201.649002</v>
      </c>
      <c r="D29" s="42">
        <f t="shared" si="26"/>
        <v>181.447495</v>
      </c>
      <c r="E29" s="42">
        <f t="shared" si="26"/>
        <v>192.99884</v>
      </c>
      <c r="F29" s="42">
        <f t="shared" si="26"/>
        <v>157.43202199999999</v>
      </c>
      <c r="G29" s="80">
        <f t="shared" si="1"/>
        <v>189.10512699999998</v>
      </c>
      <c r="H29" s="81">
        <f t="shared" si="2"/>
        <v>7900.8301710470651</v>
      </c>
      <c r="I29" s="79">
        <f t="shared" si="3"/>
        <v>9.916864005134178E-2</v>
      </c>
      <c r="J29" s="79">
        <f t="shared" si="4"/>
        <v>0.113</v>
      </c>
      <c r="K29" s="79">
        <f t="shared" si="5"/>
        <v>0.28854983926480227</v>
      </c>
      <c r="L29" s="42">
        <f>G29/'Clause 6'!$H$11</f>
        <v>189.10512699999998</v>
      </c>
      <c r="M29">
        <f t="shared" si="6"/>
        <v>5</v>
      </c>
      <c r="O29" s="42"/>
    </row>
    <row r="30" spans="1:49" ht="13.15" x14ac:dyDescent="0.4">
      <c r="A30" s="68" t="s">
        <v>161</v>
      </c>
      <c r="B30" s="42">
        <f t="shared" ref="B30:F30" si="27">G74</f>
        <v>154.39004499999999</v>
      </c>
      <c r="C30" s="42">
        <f t="shared" si="27"/>
        <v>156.98216199999999</v>
      </c>
      <c r="D30" s="42">
        <f t="shared" si="27"/>
        <v>137.97079500000001</v>
      </c>
      <c r="E30" s="42">
        <f t="shared" si="27"/>
        <v>146.04364000000001</v>
      </c>
      <c r="F30" s="42">
        <f t="shared" si="27"/>
        <v>117.42688</v>
      </c>
      <c r="G30" s="80">
        <f t="shared" si="1"/>
        <v>142.5627044</v>
      </c>
      <c r="H30" s="81">
        <f t="shared" si="2"/>
        <v>5956.2833332889186</v>
      </c>
      <c r="I30" s="79">
        <f t="shared" si="3"/>
        <v>9.9833197949531341E-2</v>
      </c>
      <c r="J30" s="79">
        <f t="shared" si="4"/>
        <v>0.113</v>
      </c>
      <c r="K30" s="79">
        <f t="shared" si="5"/>
        <v>0.27745883586086062</v>
      </c>
      <c r="L30" s="42">
        <f>G30/'Clause 6'!$H$11</f>
        <v>142.5627044</v>
      </c>
      <c r="M30">
        <f t="shared" si="6"/>
        <v>5</v>
      </c>
      <c r="O30" s="42"/>
    </row>
    <row r="31" spans="1:49" ht="13.15" x14ac:dyDescent="0.4">
      <c r="A31" s="68" t="s">
        <v>162</v>
      </c>
      <c r="B31" s="42">
        <f t="shared" ref="B31:F31" si="28">G75</f>
        <v>116.752678</v>
      </c>
      <c r="C31" s="42">
        <f t="shared" si="28"/>
        <v>118.915161</v>
      </c>
      <c r="D31" s="42">
        <f t="shared" si="28"/>
        <v>107.925911</v>
      </c>
      <c r="E31" s="42">
        <f t="shared" si="28"/>
        <v>109.915192</v>
      </c>
      <c r="F31" s="42">
        <f t="shared" si="28"/>
        <v>87.893660999999994</v>
      </c>
      <c r="G31" s="80">
        <f t="shared" si="1"/>
        <v>108.2805206</v>
      </c>
      <c r="H31" s="81">
        <f t="shared" si="2"/>
        <v>4523.9704373174573</v>
      </c>
      <c r="I31" s="79">
        <f t="shared" si="3"/>
        <v>0.10144473570460699</v>
      </c>
      <c r="J31" s="79">
        <f t="shared" si="4"/>
        <v>0.11900000000000001</v>
      </c>
      <c r="K31" s="79">
        <f t="shared" si="5"/>
        <v>0.28649197314627617</v>
      </c>
      <c r="L31" s="42">
        <f>G31/'Clause 6'!$H$11</f>
        <v>108.2805206</v>
      </c>
      <c r="M31">
        <f t="shared" si="6"/>
        <v>5</v>
      </c>
      <c r="O31" s="42"/>
    </row>
    <row r="32" spans="1:49" ht="13.15" x14ac:dyDescent="0.4">
      <c r="A32" s="68" t="s">
        <v>163</v>
      </c>
      <c r="B32" s="42">
        <f t="shared" ref="B32:F32" si="29">G76</f>
        <v>84.492064999999997</v>
      </c>
      <c r="C32" s="42">
        <f t="shared" si="29"/>
        <v>89.922966000000002</v>
      </c>
      <c r="D32" s="42">
        <f t="shared" si="29"/>
        <v>78.470153999999994</v>
      </c>
      <c r="E32" s="42">
        <f t="shared" si="29"/>
        <v>79.788544000000002</v>
      </c>
      <c r="F32" s="42">
        <f t="shared" si="29"/>
        <v>64.008240000000001</v>
      </c>
      <c r="G32" s="80">
        <f t="shared" si="1"/>
        <v>79.336393799999996</v>
      </c>
      <c r="H32" s="81">
        <f t="shared" si="2"/>
        <v>3314.6820699214109</v>
      </c>
      <c r="I32" s="79">
        <f t="shared" si="3"/>
        <v>0.10909511583649507</v>
      </c>
      <c r="J32" s="79">
        <f t="shared" si="4"/>
        <v>0.11900000000000001</v>
      </c>
      <c r="K32" s="79">
        <f t="shared" si="5"/>
        <v>0.32664360905196582</v>
      </c>
      <c r="L32" s="42">
        <f>G32/'Clause 6'!$H$11</f>
        <v>79.336393799999996</v>
      </c>
      <c r="M32">
        <f t="shared" si="6"/>
        <v>5</v>
      </c>
      <c r="O32" s="42"/>
    </row>
    <row r="33" spans="1:15" ht="13.15" x14ac:dyDescent="0.4">
      <c r="A33" s="68" t="s">
        <v>164</v>
      </c>
      <c r="B33" s="42">
        <f t="shared" ref="B33:F33" si="30">G77</f>
        <v>61.064720000000001</v>
      </c>
      <c r="C33" s="42">
        <f t="shared" si="30"/>
        <v>69.298430999999994</v>
      </c>
      <c r="D33" s="42">
        <f t="shared" si="30"/>
        <v>60.678871000000001</v>
      </c>
      <c r="E33" s="42">
        <f t="shared" si="30"/>
        <v>56.016734999999997</v>
      </c>
      <c r="F33" s="42">
        <f t="shared" si="30"/>
        <v>47.064880000000002</v>
      </c>
      <c r="G33" s="80">
        <f t="shared" si="1"/>
        <v>58.824727399999993</v>
      </c>
      <c r="H33" s="81">
        <f t="shared" si="2"/>
        <v>2457.7026991211028</v>
      </c>
      <c r="I33" s="79">
        <f t="shared" si="3"/>
        <v>0.12360343283891964</v>
      </c>
      <c r="J33" s="79">
        <f t="shared" si="4"/>
        <v>0.11900000000000001</v>
      </c>
      <c r="K33" s="79">
        <f t="shared" si="5"/>
        <v>0.37796266948786567</v>
      </c>
      <c r="L33" s="42">
        <f>G33/'Clause 6'!$H$11</f>
        <v>58.824727399999993</v>
      </c>
      <c r="M33">
        <f t="shared" si="6"/>
        <v>5</v>
      </c>
      <c r="O33" s="42"/>
    </row>
    <row r="34" spans="1:15" ht="13.15" x14ac:dyDescent="0.4">
      <c r="A34" s="68" t="s">
        <v>165</v>
      </c>
      <c r="B34" s="42">
        <f t="shared" ref="B34:F34" si="31">G78</f>
        <v>46.086582</v>
      </c>
      <c r="C34" s="42">
        <f t="shared" si="31"/>
        <v>51.266697000000001</v>
      </c>
      <c r="D34" s="42">
        <f t="shared" si="31"/>
        <v>42.769767999999999</v>
      </c>
      <c r="E34" s="42">
        <f t="shared" si="31"/>
        <v>41.306457999999999</v>
      </c>
      <c r="F34" s="42">
        <f t="shared" si="31"/>
        <v>32.121780000000001</v>
      </c>
      <c r="G34" s="80">
        <f t="shared" si="1"/>
        <v>42.710256999999999</v>
      </c>
      <c r="H34" s="81">
        <f t="shared" si="2"/>
        <v>1784.4385949344151</v>
      </c>
      <c r="I34" s="79">
        <f t="shared" si="3"/>
        <v>0.14759927768561243</v>
      </c>
      <c r="J34" s="79">
        <f t="shared" si="4"/>
        <v>0.13400000000000001</v>
      </c>
      <c r="K34" s="79">
        <f t="shared" si="5"/>
        <v>0.44825103721572079</v>
      </c>
      <c r="L34" s="42">
        <f>G34/'Clause 6'!$H$11</f>
        <v>42.710256999999999</v>
      </c>
      <c r="M34">
        <f t="shared" si="6"/>
        <v>5</v>
      </c>
      <c r="O34" s="42"/>
    </row>
    <row r="35" spans="1:15" ht="13.15" x14ac:dyDescent="0.4">
      <c r="A35" s="68" t="s">
        <v>166</v>
      </c>
      <c r="B35" s="42">
        <f t="shared" ref="B35:F35" si="32">G79</f>
        <v>35.973137000000001</v>
      </c>
      <c r="C35" s="42">
        <f t="shared" si="32"/>
        <v>37.006306000000002</v>
      </c>
      <c r="D35" s="42">
        <f t="shared" si="32"/>
        <v>30.751816000000002</v>
      </c>
      <c r="E35" s="42">
        <f t="shared" si="32"/>
        <v>28.832144</v>
      </c>
      <c r="F35" s="42">
        <f t="shared" si="32"/>
        <v>20.943871999999999</v>
      </c>
      <c r="G35" s="80">
        <f t="shared" si="1"/>
        <v>30.701454999999999</v>
      </c>
      <c r="H35" s="81">
        <f t="shared" si="2"/>
        <v>1282.709706538225</v>
      </c>
      <c r="I35" s="79">
        <f t="shared" si="3"/>
        <v>0.18781732166121251</v>
      </c>
      <c r="J35" s="79">
        <f t="shared" si="4"/>
        <v>0.13400000000000001</v>
      </c>
      <c r="K35" s="79">
        <f t="shared" si="5"/>
        <v>0.5231815234815419</v>
      </c>
      <c r="L35" s="42">
        <f>G35/'Clause 6'!$H$11</f>
        <v>30.701454999999999</v>
      </c>
      <c r="M35">
        <f t="shared" si="6"/>
        <v>5</v>
      </c>
      <c r="O35" s="42"/>
    </row>
    <row r="36" spans="1:15" ht="13.15" x14ac:dyDescent="0.4">
      <c r="A36" s="68" t="s">
        <v>167</v>
      </c>
      <c r="B36" s="42">
        <f t="shared" ref="B36:F36" si="33">G80</f>
        <v>25.731674000000002</v>
      </c>
      <c r="C36" s="42">
        <f t="shared" si="33"/>
        <v>25.927983999999999</v>
      </c>
      <c r="D36" s="42">
        <f t="shared" si="33"/>
        <v>21.090326000000001</v>
      </c>
      <c r="E36" s="42">
        <f t="shared" si="33"/>
        <v>19.652930999999999</v>
      </c>
      <c r="F36" s="42">
        <f t="shared" si="33"/>
        <v>14.707775</v>
      </c>
      <c r="G36" s="80">
        <f t="shared" si="1"/>
        <v>21.422137999999997</v>
      </c>
      <c r="H36" s="81">
        <f t="shared" si="2"/>
        <v>895.01896074310991</v>
      </c>
      <c r="I36" s="79">
        <f t="shared" si="3"/>
        <v>0.1949415794356589</v>
      </c>
      <c r="J36" s="79">
        <f t="shared" si="4"/>
        <v>0.156</v>
      </c>
      <c r="K36" s="79">
        <f t="shared" si="5"/>
        <v>0.52376700215450023</v>
      </c>
      <c r="L36" s="42">
        <f>G36/'Clause 6'!$H$11</f>
        <v>21.422137999999997</v>
      </c>
      <c r="M36">
        <f t="shared" si="6"/>
        <v>5</v>
      </c>
      <c r="O36" s="42"/>
    </row>
    <row r="37" spans="1:15" ht="13.15" x14ac:dyDescent="0.4">
      <c r="A37" s="68" t="s">
        <v>168</v>
      </c>
      <c r="B37" s="42">
        <f t="shared" ref="B37:F37" si="34">G81</f>
        <v>17.282468999999999</v>
      </c>
      <c r="C37" s="42">
        <f t="shared" si="34"/>
        <v>17.796026000000001</v>
      </c>
      <c r="D37" s="42">
        <f t="shared" si="34"/>
        <v>13.903119999999999</v>
      </c>
      <c r="E37" s="42">
        <f t="shared" si="34"/>
        <v>13.76882</v>
      </c>
      <c r="F37" s="42">
        <f t="shared" si="34"/>
        <v>9.6483000000000008</v>
      </c>
      <c r="G37" s="80">
        <f t="shared" si="1"/>
        <v>14.479747</v>
      </c>
      <c r="H37" s="81">
        <f t="shared" si="2"/>
        <v>604.96520523596507</v>
      </c>
      <c r="I37" s="79">
        <f t="shared" si="3"/>
        <v>0.20260895460121825</v>
      </c>
      <c r="J37" s="79">
        <f t="shared" si="4"/>
        <v>0.156</v>
      </c>
      <c r="K37" s="79">
        <f t="shared" si="5"/>
        <v>0.5626980913409606</v>
      </c>
      <c r="L37" s="42">
        <f>G37/'Clause 6'!$H$11</f>
        <v>14.479747</v>
      </c>
      <c r="M37">
        <f t="shared" si="6"/>
        <v>5</v>
      </c>
    </row>
    <row r="38" spans="1:15" ht="13.15" x14ac:dyDescent="0.4">
      <c r="A38" s="68" t="s">
        <v>169</v>
      </c>
      <c r="B38" s="42">
        <f t="shared" ref="B38:F38" si="35">G82</f>
        <v>11.521646</v>
      </c>
      <c r="C38" s="42">
        <f t="shared" si="35"/>
        <v>11.314030000000001</v>
      </c>
      <c r="D38" s="42">
        <f t="shared" si="35"/>
        <v>9.8971359999999997</v>
      </c>
      <c r="E38" s="42">
        <f t="shared" si="35"/>
        <v>10.826764000000001</v>
      </c>
      <c r="F38" s="42">
        <f t="shared" si="35"/>
        <v>6.4714210000000003</v>
      </c>
      <c r="G38" s="80">
        <f t="shared" si="1"/>
        <v>10.006199399999998</v>
      </c>
      <c r="H38" s="81">
        <f t="shared" si="2"/>
        <v>418.05996152094292</v>
      </c>
      <c r="I38" s="79">
        <f t="shared" si="3"/>
        <v>0.18528674444433132</v>
      </c>
      <c r="J38" s="79">
        <f t="shared" si="4"/>
        <v>0.193</v>
      </c>
      <c r="K38" s="79">
        <f t="shared" si="5"/>
        <v>0.50470961032417572</v>
      </c>
      <c r="L38" s="42">
        <f>G38/'Clause 6'!$H$11</f>
        <v>10.006199399999998</v>
      </c>
      <c r="M38">
        <f t="shared" si="6"/>
        <v>5</v>
      </c>
    </row>
    <row r="40" spans="1:15" x14ac:dyDescent="0.35">
      <c r="A40" t="s">
        <v>170</v>
      </c>
    </row>
    <row r="41" spans="1:15" ht="15" x14ac:dyDescent="0.5">
      <c r="A41" s="35"/>
      <c r="B41" s="83" t="s">
        <v>171</v>
      </c>
      <c r="C41" s="35"/>
      <c r="D41" s="84" t="s">
        <v>172</v>
      </c>
      <c r="E41" s="36"/>
      <c r="F41" s="36"/>
      <c r="G41" s="36"/>
      <c r="H41" s="85"/>
    </row>
    <row r="42" spans="1:15" ht="15" x14ac:dyDescent="0.5">
      <c r="A42" s="86" t="s">
        <v>173</v>
      </c>
      <c r="B42" s="87" t="s">
        <v>174</v>
      </c>
      <c r="C42" s="86" t="s">
        <v>175</v>
      </c>
      <c r="D42" s="86" t="s">
        <v>176</v>
      </c>
      <c r="E42" s="87" t="s">
        <v>177</v>
      </c>
      <c r="F42" s="87" t="s">
        <v>178</v>
      </c>
      <c r="G42" s="87" t="s">
        <v>179</v>
      </c>
      <c r="H42" s="88" t="s">
        <v>180</v>
      </c>
    </row>
    <row r="43" spans="1:15" x14ac:dyDescent="0.35">
      <c r="A43" s="38">
        <v>10000</v>
      </c>
      <c r="C43" s="38">
        <v>11</v>
      </c>
      <c r="D43" s="38">
        <v>7.8</v>
      </c>
      <c r="E43">
        <v>5.3</v>
      </c>
      <c r="F43">
        <v>4</v>
      </c>
      <c r="G43">
        <v>2.7</v>
      </c>
      <c r="H43" s="45">
        <v>1.8</v>
      </c>
    </row>
    <row r="44" spans="1:15" x14ac:dyDescent="0.35">
      <c r="A44" s="38">
        <v>5000</v>
      </c>
      <c r="B44">
        <v>10000</v>
      </c>
      <c r="C44" s="38">
        <v>11.3</v>
      </c>
      <c r="D44" s="38">
        <v>7.8</v>
      </c>
      <c r="E44">
        <v>5.3</v>
      </c>
      <c r="F44">
        <v>4</v>
      </c>
      <c r="G44">
        <v>2.7</v>
      </c>
      <c r="H44" s="45">
        <v>1.9</v>
      </c>
    </row>
    <row r="45" spans="1:15" x14ac:dyDescent="0.35">
      <c r="A45" s="38">
        <v>2000</v>
      </c>
      <c r="B45">
        <v>5000</v>
      </c>
      <c r="C45" s="38">
        <v>11.9</v>
      </c>
      <c r="D45" s="38">
        <v>7.9</v>
      </c>
      <c r="E45">
        <v>5.4</v>
      </c>
      <c r="F45">
        <v>4.0999999999999996</v>
      </c>
      <c r="G45">
        <v>2.9</v>
      </c>
      <c r="H45" s="45">
        <v>2.1</v>
      </c>
    </row>
    <row r="46" spans="1:15" x14ac:dyDescent="0.35">
      <c r="A46" s="38">
        <v>1000</v>
      </c>
      <c r="B46">
        <v>2000</v>
      </c>
      <c r="C46" s="38">
        <v>13.4</v>
      </c>
      <c r="D46" s="38">
        <v>8</v>
      </c>
      <c r="E46">
        <v>5.6</v>
      </c>
      <c r="F46">
        <v>4.3</v>
      </c>
      <c r="G46">
        <v>3.1</v>
      </c>
      <c r="H46" s="45">
        <v>2.4</v>
      </c>
    </row>
    <row r="47" spans="1:15" x14ac:dyDescent="0.35">
      <c r="A47" s="38">
        <v>500</v>
      </c>
      <c r="B47">
        <v>1000</v>
      </c>
      <c r="C47" s="38">
        <v>15.6</v>
      </c>
      <c r="D47" s="38">
        <v>8.1999999999999993</v>
      </c>
      <c r="E47">
        <v>5.9</v>
      </c>
      <c r="F47">
        <v>4.7</v>
      </c>
      <c r="G47">
        <v>3.6</v>
      </c>
      <c r="H47" s="45">
        <v>2.9</v>
      </c>
    </row>
    <row r="48" spans="1:15"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x14ac:dyDescent="0.35">
      <c r="A51" s="91">
        <f>'6 - B1'!A51</f>
        <v>0</v>
      </c>
      <c r="B51" s="92" t="str">
        <f>'6 - B1'!B51</f>
        <v>Portion 1</v>
      </c>
      <c r="C51" s="92" t="str">
        <f>'6 - B1'!C51</f>
        <v>Portion 2</v>
      </c>
      <c r="D51" s="92" t="str">
        <f>'6 - B1'!D51</f>
        <v>Portion 3</v>
      </c>
      <c r="E51" s="92" t="str">
        <f>'6 - B1'!E51</f>
        <v>Portion 4</v>
      </c>
      <c r="F51" s="92" t="str">
        <f>'6 - B1'!F51</f>
        <v>Portion 5</v>
      </c>
      <c r="G51" s="92" t="str">
        <f>'6 - B1'!G51</f>
        <v>Portion 1</v>
      </c>
      <c r="H51" s="92" t="str">
        <f>'6 - B1'!H51</f>
        <v>Portion 2</v>
      </c>
      <c r="I51" s="92" t="str">
        <f>'6 - B1'!I51</f>
        <v>Portion 3</v>
      </c>
      <c r="J51" s="92" t="str">
        <f>'6 - B1'!J51</f>
        <v>Portion 4</v>
      </c>
      <c r="K51" s="92" t="str">
        <f>'6 - B1'!K51</f>
        <v>Portion 5</v>
      </c>
      <c r="L51" s="92" t="str">
        <f>'6 - B1'!L51</f>
        <v>Portion 1</v>
      </c>
      <c r="M51" s="92" t="str">
        <f>'6 - B1'!M51</f>
        <v>Portion 2</v>
      </c>
      <c r="N51" s="92" t="str">
        <f>'6 - B1'!N51</f>
        <v>Portion 3</v>
      </c>
      <c r="O51" s="92" t="str">
        <f>'6 - B1'!O51</f>
        <v>Portion 4</v>
      </c>
      <c r="P51" s="92" t="str">
        <f>'6 - B1'!P51</f>
        <v>Portion 5</v>
      </c>
    </row>
    <row r="52" spans="1:16" x14ac:dyDescent="0.35">
      <c r="A52" s="93" t="str">
        <f>'6 - B1'!A52</f>
        <v>NAME\mL</v>
      </c>
      <c r="B52">
        <f>'6 - B1'!B52</f>
        <v>7.8113840000000003</v>
      </c>
      <c r="C52">
        <f>'6 - B1'!C52</f>
        <v>8.4850410000000007</v>
      </c>
      <c r="D52">
        <f>'6 - B1'!D52</f>
        <v>8.487304</v>
      </c>
      <c r="E52">
        <f>'6 - B1'!E52</f>
        <v>8.4974600000000002</v>
      </c>
      <c r="F52">
        <f>'6 - B1'!F52</f>
        <v>8.4989059999999998</v>
      </c>
      <c r="G52">
        <f>'6 - B1'!G52</f>
        <v>7.8113840000000003</v>
      </c>
      <c r="H52">
        <f>'6 - B1'!H52</f>
        <v>8.4850410000000007</v>
      </c>
      <c r="I52">
        <f>'6 - B1'!I52</f>
        <v>8.487304</v>
      </c>
      <c r="J52">
        <f>'6 - B1'!J52</f>
        <v>8.4974600000000002</v>
      </c>
      <c r="K52">
        <f>'6 - B1'!K52</f>
        <v>8.4989059999999998</v>
      </c>
      <c r="L52">
        <f>'6 - B1'!L52</f>
        <v>7.8113840000000003</v>
      </c>
      <c r="M52">
        <f>'6 - B1'!M52</f>
        <v>8.4850410000000007</v>
      </c>
      <c r="N52">
        <f>'6 - B1'!N52</f>
        <v>8.487304</v>
      </c>
      <c r="O52">
        <f>'6 - B1'!O52</f>
        <v>8.4974600000000002</v>
      </c>
      <c r="P52">
        <f>'6 - B1'!P52</f>
        <v>8.4989059999999998</v>
      </c>
    </row>
    <row r="53" spans="1:16" x14ac:dyDescent="0.35">
      <c r="A53" s="93">
        <f>'6 - B1'!A53</f>
        <v>4</v>
      </c>
      <c r="B53">
        <f>'6 - B1'!B53</f>
        <v>12748.444336</v>
      </c>
      <c r="C53">
        <f>'6 - B1'!C53</f>
        <v>12757.982421999999</v>
      </c>
      <c r="D53">
        <f>'6 - B1'!D53</f>
        <v>12023.959961</v>
      </c>
      <c r="E53">
        <f>'6 - B1'!E53</f>
        <v>12393.349609000001</v>
      </c>
      <c r="F53">
        <f>'6 - B1'!F53</f>
        <v>12082.966796999999</v>
      </c>
      <c r="G53">
        <f>'6 - B1'!G53</f>
        <v>12748.444336</v>
      </c>
      <c r="H53">
        <f>'6 - B1'!H53</f>
        <v>12757.982421999999</v>
      </c>
      <c r="I53">
        <f>'6 - B1'!I53</f>
        <v>12023.959961</v>
      </c>
      <c r="J53">
        <f>'6 - B1'!J53</f>
        <v>12393.349609000001</v>
      </c>
      <c r="K53">
        <f>'6 - B1'!K53</f>
        <v>12082.966796999999</v>
      </c>
      <c r="L53">
        <f>'6 - B1'!L53</f>
        <v>12748.444336</v>
      </c>
      <c r="M53">
        <f>'6 - B1'!M53</f>
        <v>12757.982421999999</v>
      </c>
      <c r="N53">
        <f>'6 - B1'!N53</f>
        <v>12023.959961</v>
      </c>
      <c r="O53">
        <f>'6 - B1'!O53</f>
        <v>12393.349609000001</v>
      </c>
      <c r="P53">
        <f>'6 - B1'!P53</f>
        <v>12082.966796999999</v>
      </c>
    </row>
    <row r="54" spans="1:16" x14ac:dyDescent="0.35">
      <c r="A54" s="93">
        <f>'6 - B1'!A54</f>
        <v>5</v>
      </c>
      <c r="B54">
        <f>'6 - B1'!B54</f>
        <v>11296.333008</v>
      </c>
      <c r="C54">
        <f>'6 - B1'!C54</f>
        <v>11251.212890999999</v>
      </c>
      <c r="D54">
        <f>'6 - B1'!D54</f>
        <v>10640.127930000001</v>
      </c>
      <c r="E54">
        <f>'6 - B1'!E54</f>
        <v>10945.741211</v>
      </c>
      <c r="F54">
        <f>'6 - B1'!F54</f>
        <v>10661.842773</v>
      </c>
      <c r="G54">
        <f>'6 - B1'!G54</f>
        <v>11296.333008</v>
      </c>
      <c r="H54">
        <f>'6 - B1'!H54</f>
        <v>11251.212890999999</v>
      </c>
      <c r="I54">
        <f>'6 - B1'!I54</f>
        <v>10640.127930000001</v>
      </c>
      <c r="J54">
        <f>'6 - B1'!J54</f>
        <v>10945.741211</v>
      </c>
      <c r="K54">
        <f>'6 - B1'!K54</f>
        <v>10661.842773</v>
      </c>
      <c r="L54">
        <f>'6 - B1'!L54</f>
        <v>11296.333008</v>
      </c>
      <c r="M54">
        <f>'6 - B1'!M54</f>
        <v>11251.212890999999</v>
      </c>
      <c r="N54">
        <f>'6 - B1'!N54</f>
        <v>10640.127930000001</v>
      </c>
      <c r="O54">
        <f>'6 - B1'!O54</f>
        <v>10945.741211</v>
      </c>
      <c r="P54">
        <f>'6 - B1'!P54</f>
        <v>10661.842773</v>
      </c>
    </row>
    <row r="55" spans="1:16" x14ac:dyDescent="0.35">
      <c r="A55" s="93">
        <f>'6 - B1'!A55</f>
        <v>6</v>
      </c>
      <c r="B55">
        <f>'6 - B1'!B55</f>
        <v>9922.4414059999999</v>
      </c>
      <c r="C55">
        <f>'6 - B1'!C55</f>
        <v>9850.6308590000008</v>
      </c>
      <c r="D55">
        <f>'6 - B1'!D55</f>
        <v>9313.2050780000009</v>
      </c>
      <c r="E55">
        <f>'6 - B1'!E55</f>
        <v>9592.7480469999991</v>
      </c>
      <c r="F55">
        <f>'6 - B1'!F55</f>
        <v>9323.3173829999996</v>
      </c>
      <c r="G55">
        <f>'6 - B1'!G55</f>
        <v>9922.4414059999999</v>
      </c>
      <c r="H55">
        <f>'6 - B1'!H55</f>
        <v>9850.6308590000008</v>
      </c>
      <c r="I55">
        <f>'6 - B1'!I55</f>
        <v>9313.2050780000009</v>
      </c>
      <c r="J55">
        <f>'6 - B1'!J55</f>
        <v>9592.7480469999991</v>
      </c>
      <c r="K55">
        <f>'6 - B1'!K55</f>
        <v>9323.3173829999996</v>
      </c>
      <c r="L55">
        <f>'6 - B1'!L55</f>
        <v>9922.4414059999999</v>
      </c>
      <c r="M55">
        <f>'6 - B1'!M55</f>
        <v>9850.6308590000008</v>
      </c>
      <c r="N55">
        <f>'6 - B1'!N55</f>
        <v>9313.2050780000009</v>
      </c>
      <c r="O55">
        <f>'6 - B1'!O55</f>
        <v>9592.7480469999991</v>
      </c>
      <c r="P55">
        <f>'6 - B1'!P55</f>
        <v>9323.3173829999996</v>
      </c>
    </row>
    <row r="56" spans="1:16" x14ac:dyDescent="0.35">
      <c r="A56" s="93">
        <f>'6 - B1'!A56</f>
        <v>7</v>
      </c>
      <c r="B56">
        <f>'6 - B1'!B56</f>
        <v>8671.9589840000008</v>
      </c>
      <c r="C56">
        <f>'6 - B1'!C56</f>
        <v>8575.4453119999998</v>
      </c>
      <c r="D56">
        <f>'6 - B1'!D56</f>
        <v>8127.3159180000002</v>
      </c>
      <c r="E56">
        <f>'6 - B1'!E56</f>
        <v>8358.9677730000003</v>
      </c>
      <c r="F56">
        <f>'6 - B1'!F56</f>
        <v>8116.9267579999996</v>
      </c>
      <c r="G56">
        <f>'6 - B1'!G56</f>
        <v>8671.9589840000008</v>
      </c>
      <c r="H56">
        <f>'6 - B1'!H56</f>
        <v>8575.4453119999998</v>
      </c>
      <c r="I56">
        <f>'6 - B1'!I56</f>
        <v>8127.3159180000002</v>
      </c>
      <c r="J56">
        <f>'6 - B1'!J56</f>
        <v>8358.9677730000003</v>
      </c>
      <c r="K56">
        <f>'6 - B1'!K56</f>
        <v>8116.9267579999996</v>
      </c>
      <c r="L56">
        <f>'6 - B1'!L56</f>
        <v>8671.9589840000008</v>
      </c>
      <c r="M56">
        <f>'6 - B1'!M56</f>
        <v>8575.4453119999998</v>
      </c>
      <c r="N56">
        <f>'6 - B1'!N56</f>
        <v>8127.3159180000002</v>
      </c>
      <c r="O56">
        <f>'6 - B1'!O56</f>
        <v>8358.9677730000003</v>
      </c>
      <c r="P56">
        <f>'6 - B1'!P56</f>
        <v>8116.9267579999996</v>
      </c>
    </row>
    <row r="57" spans="1:16" x14ac:dyDescent="0.35">
      <c r="A57" s="93">
        <f>'6 - B1'!A57</f>
        <v>8</v>
      </c>
      <c r="B57">
        <f>'6 - B1'!B57</f>
        <v>7569.9770509999998</v>
      </c>
      <c r="C57">
        <f>'6 - B1'!C57</f>
        <v>7458.7739259999998</v>
      </c>
      <c r="D57">
        <f>'6 - B1'!D57</f>
        <v>7061.8422849999997</v>
      </c>
      <c r="E57">
        <f>'6 - B1'!E57</f>
        <v>7278.4101559999999</v>
      </c>
      <c r="F57">
        <f>'6 - B1'!F57</f>
        <v>7044.4360349999997</v>
      </c>
      <c r="G57">
        <f>'6 - B1'!G57</f>
        <v>7569.9770509999998</v>
      </c>
      <c r="H57">
        <f>'6 - B1'!H57</f>
        <v>7458.7739259999998</v>
      </c>
      <c r="I57">
        <f>'6 - B1'!I57</f>
        <v>7061.8422849999997</v>
      </c>
      <c r="J57">
        <f>'6 - B1'!J57</f>
        <v>7278.4101559999999</v>
      </c>
      <c r="K57">
        <f>'6 - B1'!K57</f>
        <v>7044.4360349999997</v>
      </c>
      <c r="L57">
        <f>'6 - B1'!L57</f>
        <v>7569.9770509999998</v>
      </c>
      <c r="M57">
        <f>'6 - B1'!M57</f>
        <v>7458.7739259999998</v>
      </c>
      <c r="N57">
        <f>'6 - B1'!N57</f>
        <v>7061.8422849999997</v>
      </c>
      <c r="O57">
        <f>'6 - B1'!O57</f>
        <v>7278.4101559999999</v>
      </c>
      <c r="P57">
        <f>'6 - B1'!P57</f>
        <v>7044.4360349999997</v>
      </c>
    </row>
    <row r="58" spans="1:16" x14ac:dyDescent="0.35">
      <c r="A58" s="93">
        <f>'6 - B1'!A58</f>
        <v>9</v>
      </c>
      <c r="B58">
        <f>'6 - B1'!B58</f>
        <v>6586.9248049999997</v>
      </c>
      <c r="C58">
        <f>'6 - B1'!C58</f>
        <v>6473.6284180000002</v>
      </c>
      <c r="D58">
        <f>'6 - B1'!D58</f>
        <v>6130.3330079999996</v>
      </c>
      <c r="E58">
        <f>'6 - B1'!E58</f>
        <v>6320.7119140000004</v>
      </c>
      <c r="F58">
        <f>'6 - B1'!F58</f>
        <v>6114.1987300000001</v>
      </c>
      <c r="G58">
        <f>'6 - B1'!G58</f>
        <v>6586.9248049999997</v>
      </c>
      <c r="H58">
        <f>'6 - B1'!H58</f>
        <v>6473.6284180000002</v>
      </c>
      <c r="I58">
        <f>'6 - B1'!I58</f>
        <v>6130.3330079999996</v>
      </c>
      <c r="J58">
        <f>'6 - B1'!J58</f>
        <v>6320.7119140000004</v>
      </c>
      <c r="K58">
        <f>'6 - B1'!K58</f>
        <v>6114.1987300000001</v>
      </c>
      <c r="L58">
        <f>'6 - B1'!L58</f>
        <v>6586.9248049999997</v>
      </c>
      <c r="M58">
        <f>'6 - B1'!M58</f>
        <v>6473.6284180000002</v>
      </c>
      <c r="N58">
        <f>'6 - B1'!N58</f>
        <v>6130.3330079999996</v>
      </c>
      <c r="O58">
        <f>'6 - B1'!O58</f>
        <v>6320.7119140000004</v>
      </c>
      <c r="P58">
        <f>'6 - B1'!P58</f>
        <v>6114.1987300000001</v>
      </c>
    </row>
    <row r="59" spans="1:16" x14ac:dyDescent="0.35">
      <c r="A59" s="93">
        <f>'6 - B1'!A59</f>
        <v>10</v>
      </c>
      <c r="B59">
        <f>'6 - B1'!B59</f>
        <v>5658.7919920000004</v>
      </c>
      <c r="C59">
        <f>'6 - B1'!C59</f>
        <v>5542.578125</v>
      </c>
      <c r="D59">
        <f>'6 - B1'!D59</f>
        <v>5241.3583980000003</v>
      </c>
      <c r="E59">
        <f>'6 - B1'!E59</f>
        <v>5390.3164059999999</v>
      </c>
      <c r="F59">
        <f>'6 - B1'!F59</f>
        <v>5217.0244140000004</v>
      </c>
      <c r="G59">
        <f>'6 - B1'!G59</f>
        <v>5658.7919920000004</v>
      </c>
      <c r="H59">
        <f>'6 - B1'!H59</f>
        <v>5542.578125</v>
      </c>
      <c r="I59">
        <f>'6 - B1'!I59</f>
        <v>5241.3583980000003</v>
      </c>
      <c r="J59">
        <f>'6 - B1'!J59</f>
        <v>5390.3164059999999</v>
      </c>
      <c r="K59">
        <f>'6 - B1'!K59</f>
        <v>5217.0244140000004</v>
      </c>
      <c r="L59">
        <f>'6 - B1'!L59</f>
        <v>5658.7919920000004</v>
      </c>
      <c r="M59">
        <f>'6 - B1'!M59</f>
        <v>5542.578125</v>
      </c>
      <c r="N59">
        <f>'6 - B1'!N59</f>
        <v>5241.3583980000003</v>
      </c>
      <c r="O59">
        <f>'6 - B1'!O59</f>
        <v>5390.3164059999999</v>
      </c>
      <c r="P59">
        <f>'6 - B1'!P59</f>
        <v>5217.0244140000004</v>
      </c>
    </row>
    <row r="60" spans="1:16" x14ac:dyDescent="0.35">
      <c r="A60" s="93">
        <f>'6 - B1'!A60</f>
        <v>11</v>
      </c>
      <c r="B60">
        <f>'6 - B1'!B60</f>
        <v>4823.6010740000002</v>
      </c>
      <c r="C60">
        <f>'6 - B1'!C60</f>
        <v>4705.1040039999998</v>
      </c>
      <c r="D60">
        <f>'6 - B1'!D60</f>
        <v>4447.1132809999999</v>
      </c>
      <c r="E60">
        <f>'6 - B1'!E60</f>
        <v>4590.4301759999998</v>
      </c>
      <c r="F60">
        <f>'6 - B1'!F60</f>
        <v>4430.5703119999998</v>
      </c>
      <c r="G60">
        <f>'6 - B1'!G60</f>
        <v>4823.6010740000002</v>
      </c>
      <c r="H60">
        <f>'6 - B1'!H60</f>
        <v>4705.1040039999998</v>
      </c>
      <c r="I60">
        <f>'6 - B1'!I60</f>
        <v>4447.1132809999999</v>
      </c>
      <c r="J60">
        <f>'6 - B1'!J60</f>
        <v>4590.4301759999998</v>
      </c>
      <c r="K60">
        <f>'6 - B1'!K60</f>
        <v>4430.5703119999998</v>
      </c>
      <c r="L60">
        <f>'6 - B1'!L60</f>
        <v>4823.6010740000002</v>
      </c>
      <c r="M60">
        <f>'6 - B1'!M60</f>
        <v>4705.1040039999998</v>
      </c>
      <c r="N60">
        <f>'6 - B1'!N60</f>
        <v>4447.1132809999999</v>
      </c>
      <c r="O60">
        <f>'6 - B1'!O60</f>
        <v>4590.4301759999998</v>
      </c>
      <c r="P60">
        <f>'6 - B1'!P60</f>
        <v>4430.5703119999998</v>
      </c>
    </row>
    <row r="61" spans="1:16" x14ac:dyDescent="0.35">
      <c r="A61" s="93">
        <f>'6 - B1'!A61</f>
        <v>12</v>
      </c>
      <c r="B61">
        <f>'6 - B1'!B61</f>
        <v>4052.2907709999999</v>
      </c>
      <c r="C61">
        <f>'6 - B1'!C61</f>
        <v>3942.4677729999999</v>
      </c>
      <c r="D61">
        <f>'6 - B1'!D61</f>
        <v>3703.1784670000002</v>
      </c>
      <c r="E61">
        <f>'6 - B1'!E61</f>
        <v>3827.2612300000001</v>
      </c>
      <c r="F61">
        <f>'6 - B1'!F61</f>
        <v>3675.7670899999998</v>
      </c>
      <c r="G61">
        <f>'6 - B1'!G61</f>
        <v>4052.2907709999999</v>
      </c>
      <c r="H61">
        <f>'6 - B1'!H61</f>
        <v>3942.4677729999999</v>
      </c>
      <c r="I61">
        <f>'6 - B1'!I61</f>
        <v>3703.1784670000002</v>
      </c>
      <c r="J61">
        <f>'6 - B1'!J61</f>
        <v>3827.2612300000001</v>
      </c>
      <c r="K61">
        <f>'6 - B1'!K61</f>
        <v>3675.7670899999998</v>
      </c>
      <c r="L61">
        <f>'6 - B1'!L61</f>
        <v>4052.2907709999999</v>
      </c>
      <c r="M61">
        <f>'6 - B1'!M61</f>
        <v>3942.4677729999999</v>
      </c>
      <c r="N61">
        <f>'6 - B1'!N61</f>
        <v>3703.1784670000002</v>
      </c>
      <c r="O61">
        <f>'6 - B1'!O61</f>
        <v>3827.2612300000001</v>
      </c>
      <c r="P61">
        <f>'6 - B1'!P61</f>
        <v>3675.7670899999998</v>
      </c>
    </row>
    <row r="62" spans="1:16" x14ac:dyDescent="0.35">
      <c r="A62" s="93">
        <f>'6 - B1'!A62</f>
        <v>13</v>
      </c>
      <c r="B62">
        <f>'6 - B1'!B62</f>
        <v>3367.008789</v>
      </c>
      <c r="C62">
        <f>'6 - B1'!C62</f>
        <v>3259.1477049999999</v>
      </c>
      <c r="D62">
        <f>'6 - B1'!D62</f>
        <v>3081.5439449999999</v>
      </c>
      <c r="E62">
        <f>'6 - B1'!E62</f>
        <v>3162.474365</v>
      </c>
      <c r="F62">
        <f>'6 - B1'!F62</f>
        <v>3043.8034670000002</v>
      </c>
      <c r="G62">
        <f>'6 - B1'!G62</f>
        <v>3367.008789</v>
      </c>
      <c r="H62">
        <f>'6 - B1'!H62</f>
        <v>3259.1477049999999</v>
      </c>
      <c r="I62">
        <f>'6 - B1'!I62</f>
        <v>3081.5439449999999</v>
      </c>
      <c r="J62">
        <f>'6 - B1'!J62</f>
        <v>3162.474365</v>
      </c>
      <c r="K62">
        <f>'6 - B1'!K62</f>
        <v>3043.8034670000002</v>
      </c>
      <c r="L62">
        <f>'6 - B1'!L62</f>
        <v>3367.008789</v>
      </c>
      <c r="M62">
        <f>'6 - B1'!M62</f>
        <v>3259.1477049999999</v>
      </c>
      <c r="N62">
        <f>'6 - B1'!N62</f>
        <v>3081.5439449999999</v>
      </c>
      <c r="O62">
        <f>'6 - B1'!O62</f>
        <v>3162.474365</v>
      </c>
      <c r="P62">
        <f>'6 - B1'!P62</f>
        <v>3043.8034670000002</v>
      </c>
    </row>
    <row r="63" spans="1:16" x14ac:dyDescent="0.35">
      <c r="A63" s="93">
        <f>'6 - B1'!A63</f>
        <v>14</v>
      </c>
      <c r="B63">
        <f>'6 - B1'!B63</f>
        <v>2748.0405270000001</v>
      </c>
      <c r="C63">
        <f>'6 - B1'!C63</f>
        <v>2656.9111330000001</v>
      </c>
      <c r="D63">
        <f>'6 - B1'!D63</f>
        <v>2502.679443</v>
      </c>
      <c r="E63">
        <f>'6 - B1'!E63</f>
        <v>2571.0034179999998</v>
      </c>
      <c r="F63">
        <f>'6 - B1'!F63</f>
        <v>2473.4948730000001</v>
      </c>
      <c r="G63">
        <f>'6 - B1'!G63</f>
        <v>2748.0405270000001</v>
      </c>
      <c r="H63">
        <f>'6 - B1'!H63</f>
        <v>2656.9111330000001</v>
      </c>
      <c r="I63">
        <f>'6 - B1'!I63</f>
        <v>2502.679443</v>
      </c>
      <c r="J63">
        <f>'6 - B1'!J63</f>
        <v>2571.0034179999998</v>
      </c>
      <c r="K63">
        <f>'6 - B1'!K63</f>
        <v>2473.4948730000001</v>
      </c>
      <c r="L63">
        <f>'6 - B1'!L63</f>
        <v>2748.0405270000001</v>
      </c>
      <c r="M63">
        <f>'6 - B1'!M63</f>
        <v>2656.9111330000001</v>
      </c>
      <c r="N63">
        <f>'6 - B1'!N63</f>
        <v>2502.679443</v>
      </c>
      <c r="O63">
        <f>'6 - B1'!O63</f>
        <v>2571.0034179999998</v>
      </c>
      <c r="P63">
        <f>'6 - B1'!P63</f>
        <v>2473.4948730000001</v>
      </c>
    </row>
    <row r="64" spans="1:16" x14ac:dyDescent="0.35">
      <c r="A64" s="93">
        <f>'6 - B1'!A64</f>
        <v>15</v>
      </c>
      <c r="B64">
        <f>'6 - B1'!B64</f>
        <v>2193.0812989999999</v>
      </c>
      <c r="C64">
        <f>'6 - B1'!C64</f>
        <v>2112.6591800000001</v>
      </c>
      <c r="D64">
        <f>'6 - B1'!D64</f>
        <v>1992.976807</v>
      </c>
      <c r="E64">
        <f>'6 - B1'!E64</f>
        <v>2039.6682129999999</v>
      </c>
      <c r="F64">
        <f>'6 - B1'!F64</f>
        <v>1945.3092039999999</v>
      </c>
      <c r="G64">
        <f>'6 - B1'!G64</f>
        <v>2193.0812989999999</v>
      </c>
      <c r="H64">
        <f>'6 - B1'!H64</f>
        <v>2112.6591800000001</v>
      </c>
      <c r="I64">
        <f>'6 - B1'!I64</f>
        <v>1992.976807</v>
      </c>
      <c r="J64">
        <f>'6 - B1'!J64</f>
        <v>2039.6682129999999</v>
      </c>
      <c r="K64">
        <f>'6 - B1'!K64</f>
        <v>1945.3092039999999</v>
      </c>
      <c r="L64">
        <f>'6 - B1'!L64</f>
        <v>2193.0812989999999</v>
      </c>
      <c r="M64">
        <f>'6 - B1'!M64</f>
        <v>2112.6591800000001</v>
      </c>
      <c r="N64">
        <f>'6 - B1'!N64</f>
        <v>1992.976807</v>
      </c>
      <c r="O64">
        <f>'6 - B1'!O64</f>
        <v>2039.6682129999999</v>
      </c>
      <c r="P64">
        <f>'6 - B1'!P64</f>
        <v>1945.3092039999999</v>
      </c>
    </row>
    <row r="65" spans="1:16" x14ac:dyDescent="0.35">
      <c r="A65" s="93">
        <f>'6 - B1'!A65</f>
        <v>16</v>
      </c>
      <c r="B65">
        <f>'6 - B1'!B65</f>
        <v>1726.4545900000001</v>
      </c>
      <c r="C65">
        <f>'6 - B1'!C65</f>
        <v>1663.1623540000001</v>
      </c>
      <c r="D65">
        <f>'6 - B1'!D65</f>
        <v>1566.221802</v>
      </c>
      <c r="E65">
        <f>'6 - B1'!E65</f>
        <v>1610.1281739999999</v>
      </c>
      <c r="F65">
        <f>'6 - B1'!F65</f>
        <v>1525.2551269999999</v>
      </c>
      <c r="G65">
        <f>'6 - B1'!G65</f>
        <v>1726.4545900000001</v>
      </c>
      <c r="H65">
        <f>'6 - B1'!H65</f>
        <v>1663.1623540000001</v>
      </c>
      <c r="I65">
        <f>'6 - B1'!I65</f>
        <v>1566.221802</v>
      </c>
      <c r="J65">
        <f>'6 - B1'!J65</f>
        <v>1610.1281739999999</v>
      </c>
      <c r="K65">
        <f>'6 - B1'!K65</f>
        <v>1525.2551269999999</v>
      </c>
      <c r="L65">
        <f>'6 - B1'!L65</f>
        <v>1726.4545900000001</v>
      </c>
      <c r="M65">
        <f>'6 - B1'!M65</f>
        <v>1663.1623540000001</v>
      </c>
      <c r="N65">
        <f>'6 - B1'!N65</f>
        <v>1566.221802</v>
      </c>
      <c r="O65">
        <f>'6 - B1'!O65</f>
        <v>1610.1281739999999</v>
      </c>
      <c r="P65">
        <f>'6 - B1'!P65</f>
        <v>1525.2551269999999</v>
      </c>
    </row>
    <row r="66" spans="1:16" x14ac:dyDescent="0.35">
      <c r="A66" s="93">
        <f>'6 - B1'!A66</f>
        <v>17</v>
      </c>
      <c r="B66">
        <f>'6 - B1'!B66</f>
        <v>1346.1123050000001</v>
      </c>
      <c r="C66">
        <f>'6 - B1'!C66</f>
        <v>1285.7923579999999</v>
      </c>
      <c r="D66">
        <f>'6 - B1'!D66</f>
        <v>1210.9853519999999</v>
      </c>
      <c r="E66">
        <f>'6 - B1'!E66</f>
        <v>1246.7254640000001</v>
      </c>
      <c r="F66">
        <f>'6 - B1'!F66</f>
        <v>1162.9731449999999</v>
      </c>
      <c r="G66">
        <f>'6 - B1'!G66</f>
        <v>1346.1123050000001</v>
      </c>
      <c r="H66">
        <f>'6 - B1'!H66</f>
        <v>1285.7923579999999</v>
      </c>
      <c r="I66">
        <f>'6 - B1'!I66</f>
        <v>1210.9853519999999</v>
      </c>
      <c r="J66">
        <f>'6 - B1'!J66</f>
        <v>1246.7254640000001</v>
      </c>
      <c r="K66">
        <f>'6 - B1'!K66</f>
        <v>1162.9731449999999</v>
      </c>
      <c r="L66">
        <f>'6 - B1'!L66</f>
        <v>1346.1123050000001</v>
      </c>
      <c r="M66">
        <f>'6 - B1'!M66</f>
        <v>1285.7923579999999</v>
      </c>
      <c r="N66">
        <f>'6 - B1'!N66</f>
        <v>1210.9853519999999</v>
      </c>
      <c r="O66">
        <f>'6 - B1'!O66</f>
        <v>1246.7254640000001</v>
      </c>
      <c r="P66">
        <f>'6 - B1'!P66</f>
        <v>1162.9731449999999</v>
      </c>
    </row>
    <row r="67" spans="1:16" x14ac:dyDescent="0.35">
      <c r="A67" s="93">
        <f>'6 - B1'!A67</f>
        <v>18</v>
      </c>
      <c r="B67">
        <f>'6 - B1'!B67</f>
        <v>1032.8515620000001</v>
      </c>
      <c r="C67">
        <f>'6 - B1'!C67</f>
        <v>978.30999799999995</v>
      </c>
      <c r="D67">
        <f>'6 - B1'!D67</f>
        <v>925.97131300000001</v>
      </c>
      <c r="E67">
        <f>'6 - B1'!E67</f>
        <v>954.40283199999999</v>
      </c>
      <c r="F67">
        <f>'6 - B1'!F67</f>
        <v>880.58392300000003</v>
      </c>
      <c r="G67">
        <f>'6 - B1'!G67</f>
        <v>1032.8515620000001</v>
      </c>
      <c r="H67">
        <f>'6 - B1'!H67</f>
        <v>978.30999799999995</v>
      </c>
      <c r="I67">
        <f>'6 - B1'!I67</f>
        <v>925.97131300000001</v>
      </c>
      <c r="J67">
        <f>'6 - B1'!J67</f>
        <v>954.40283199999999</v>
      </c>
      <c r="K67">
        <f>'6 - B1'!K67</f>
        <v>880.58392300000003</v>
      </c>
      <c r="L67">
        <f>'6 - B1'!L67</f>
        <v>1032.8515620000001</v>
      </c>
      <c r="M67">
        <f>'6 - B1'!M67</f>
        <v>978.30999799999995</v>
      </c>
      <c r="N67">
        <f>'6 - B1'!N67</f>
        <v>925.97131300000001</v>
      </c>
      <c r="O67">
        <f>'6 - B1'!O67</f>
        <v>954.40283199999999</v>
      </c>
      <c r="P67">
        <f>'6 - B1'!P67</f>
        <v>880.58392300000003</v>
      </c>
    </row>
    <row r="68" spans="1:16" x14ac:dyDescent="0.35">
      <c r="A68" s="93">
        <f>'6 - B1'!A68</f>
        <v>19</v>
      </c>
      <c r="B68">
        <f>'6 - B1'!B68</f>
        <v>797.80993699999999</v>
      </c>
      <c r="C68">
        <f>'6 - B1'!C68</f>
        <v>751.08654799999999</v>
      </c>
      <c r="D68">
        <f>'6 - B1'!D68</f>
        <v>709.76605199999995</v>
      </c>
      <c r="E68">
        <f>'6 - B1'!E68</f>
        <v>727.98223900000005</v>
      </c>
      <c r="F68">
        <f>'6 - B1'!F68</f>
        <v>665.37976100000003</v>
      </c>
      <c r="G68">
        <f>'6 - B1'!G68</f>
        <v>797.80993699999999</v>
      </c>
      <c r="H68">
        <f>'6 - B1'!H68</f>
        <v>751.08654799999999</v>
      </c>
      <c r="I68">
        <f>'6 - B1'!I68</f>
        <v>709.76605199999995</v>
      </c>
      <c r="J68">
        <f>'6 - B1'!J68</f>
        <v>727.98223900000005</v>
      </c>
      <c r="K68">
        <f>'6 - B1'!K68</f>
        <v>665.37976100000003</v>
      </c>
      <c r="L68">
        <f>'6 - B1'!L68</f>
        <v>797.80993699999999</v>
      </c>
      <c r="M68">
        <f>'6 - B1'!M68</f>
        <v>751.08654799999999</v>
      </c>
      <c r="N68">
        <f>'6 - B1'!N68</f>
        <v>709.76605199999995</v>
      </c>
      <c r="O68">
        <f>'6 - B1'!O68</f>
        <v>727.98223900000005</v>
      </c>
      <c r="P68">
        <f>'6 - B1'!P68</f>
        <v>665.37976100000003</v>
      </c>
    </row>
    <row r="69" spans="1:16" x14ac:dyDescent="0.35">
      <c r="A69" s="93">
        <f>'6 - B1'!A69</f>
        <v>20</v>
      </c>
      <c r="B69">
        <f>'6 - B1'!B69</f>
        <v>610.519226</v>
      </c>
      <c r="C69">
        <f>'6 - B1'!C69</f>
        <v>568.64782700000001</v>
      </c>
      <c r="D69">
        <f>'6 - B1'!D69</f>
        <v>537.74438499999997</v>
      </c>
      <c r="E69">
        <f>'6 - B1'!E69</f>
        <v>552.87109399999997</v>
      </c>
      <c r="F69">
        <f>'6 - B1'!F69</f>
        <v>502.77056900000002</v>
      </c>
      <c r="G69">
        <f>'6 - B1'!G69</f>
        <v>610.519226</v>
      </c>
      <c r="H69">
        <f>'6 - B1'!H69</f>
        <v>568.64782700000001</v>
      </c>
      <c r="I69">
        <f>'6 - B1'!I69</f>
        <v>537.74438499999997</v>
      </c>
      <c r="J69">
        <f>'6 - B1'!J69</f>
        <v>552.87109399999997</v>
      </c>
      <c r="K69">
        <f>'6 - B1'!K69</f>
        <v>502.77056900000002</v>
      </c>
      <c r="L69">
        <f>'6 - B1'!L69</f>
        <v>610.519226</v>
      </c>
      <c r="M69">
        <f>'6 - B1'!M69</f>
        <v>568.64782700000001</v>
      </c>
      <c r="N69">
        <f>'6 - B1'!N69</f>
        <v>537.74438499999997</v>
      </c>
      <c r="O69">
        <f>'6 - B1'!O69</f>
        <v>552.87109399999997</v>
      </c>
      <c r="P69">
        <f>'6 - B1'!P69</f>
        <v>502.77056900000002</v>
      </c>
    </row>
    <row r="70" spans="1:16" x14ac:dyDescent="0.35">
      <c r="A70" s="93">
        <f>'6 - B1'!A70</f>
        <v>21</v>
      </c>
      <c r="B70">
        <f>'6 - B1'!B70</f>
        <v>471.87539700000002</v>
      </c>
      <c r="C70">
        <f>'6 - B1'!C70</f>
        <v>432.17236300000002</v>
      </c>
      <c r="D70">
        <f>'6 - B1'!D70</f>
        <v>413.67672700000003</v>
      </c>
      <c r="E70">
        <f>'6 - B1'!E70</f>
        <v>428.12792999999999</v>
      </c>
      <c r="F70">
        <f>'6 - B1'!F70</f>
        <v>375.930725</v>
      </c>
      <c r="G70">
        <f>'6 - B1'!G70</f>
        <v>471.87539700000002</v>
      </c>
      <c r="H70">
        <f>'6 - B1'!H70</f>
        <v>432.17236300000002</v>
      </c>
      <c r="I70">
        <f>'6 - B1'!I70</f>
        <v>413.67672700000003</v>
      </c>
      <c r="J70">
        <f>'6 - B1'!J70</f>
        <v>428.12792999999999</v>
      </c>
      <c r="K70">
        <f>'6 - B1'!K70</f>
        <v>375.930725</v>
      </c>
      <c r="L70">
        <f>'6 - B1'!L70</f>
        <v>471.87539700000002</v>
      </c>
      <c r="M70">
        <f>'6 - B1'!M70</f>
        <v>432.17236300000002</v>
      </c>
      <c r="N70">
        <f>'6 - B1'!N70</f>
        <v>413.67672700000003</v>
      </c>
      <c r="O70">
        <f>'6 - B1'!O70</f>
        <v>428.12792999999999</v>
      </c>
      <c r="P70">
        <f>'6 - B1'!P70</f>
        <v>375.930725</v>
      </c>
    </row>
    <row r="71" spans="1:16" x14ac:dyDescent="0.35">
      <c r="A71" s="93">
        <f>'6 - B1'!A71</f>
        <v>22</v>
      </c>
      <c r="B71">
        <f>'6 - B1'!B71</f>
        <v>362.67581200000001</v>
      </c>
      <c r="C71">
        <f>'6 - B1'!C71</f>
        <v>338.124481</v>
      </c>
      <c r="D71">
        <f>'6 - B1'!D71</f>
        <v>318.94699100000003</v>
      </c>
      <c r="E71">
        <f>'6 - B1'!E71</f>
        <v>328.56875600000001</v>
      </c>
      <c r="F71">
        <f>'6 - B1'!F71</f>
        <v>283.33056599999998</v>
      </c>
      <c r="G71">
        <f>'6 - B1'!G71</f>
        <v>362.67581200000001</v>
      </c>
      <c r="H71">
        <f>'6 - B1'!H71</f>
        <v>338.124481</v>
      </c>
      <c r="I71">
        <f>'6 - B1'!I71</f>
        <v>318.94699100000003</v>
      </c>
      <c r="J71">
        <f>'6 - B1'!J71</f>
        <v>328.56875600000001</v>
      </c>
      <c r="K71">
        <f>'6 - B1'!K71</f>
        <v>283.33056599999998</v>
      </c>
      <c r="L71">
        <f>'6 - B1'!L71</f>
        <v>362.67581200000001</v>
      </c>
      <c r="M71">
        <f>'6 - B1'!M71</f>
        <v>338.124481</v>
      </c>
      <c r="N71">
        <f>'6 - B1'!N71</f>
        <v>318.94699100000003</v>
      </c>
      <c r="O71">
        <f>'6 - B1'!O71</f>
        <v>328.56875600000001</v>
      </c>
      <c r="P71">
        <f>'6 - B1'!P71</f>
        <v>283.33056599999998</v>
      </c>
    </row>
    <row r="72" spans="1:16" x14ac:dyDescent="0.35">
      <c r="A72" s="93">
        <f>'6 - B1'!A72</f>
        <v>23</v>
      </c>
      <c r="B72">
        <f>'6 - B1'!B72</f>
        <v>277.287598</v>
      </c>
      <c r="C72">
        <f>'6 - B1'!C72</f>
        <v>260.81195100000002</v>
      </c>
      <c r="D72">
        <f>'6 - B1'!D72</f>
        <v>240.123367</v>
      </c>
      <c r="E72">
        <f>'6 - B1'!E72</f>
        <v>252.192993</v>
      </c>
      <c r="F72">
        <f>'6 - B1'!F72</f>
        <v>213.43924000000001</v>
      </c>
      <c r="G72">
        <f>'6 - B1'!G72</f>
        <v>277.287598</v>
      </c>
      <c r="H72">
        <f>'6 - B1'!H72</f>
        <v>260.81195100000002</v>
      </c>
      <c r="I72">
        <f>'6 - B1'!I72</f>
        <v>240.123367</v>
      </c>
      <c r="J72">
        <f>'6 - B1'!J72</f>
        <v>252.192993</v>
      </c>
      <c r="K72">
        <f>'6 - B1'!K72</f>
        <v>213.43924000000001</v>
      </c>
      <c r="L72">
        <f>'6 - B1'!L72</f>
        <v>277.287598</v>
      </c>
      <c r="M72">
        <f>'6 - B1'!M72</f>
        <v>260.81195100000002</v>
      </c>
      <c r="N72">
        <f>'6 - B1'!N72</f>
        <v>240.123367</v>
      </c>
      <c r="O72">
        <f>'6 - B1'!O72</f>
        <v>252.192993</v>
      </c>
      <c r="P72">
        <f>'6 - B1'!P72</f>
        <v>213.43924000000001</v>
      </c>
    </row>
    <row r="73" spans="1:16" x14ac:dyDescent="0.35">
      <c r="A73" s="93">
        <f>'6 - B1'!A73</f>
        <v>24</v>
      </c>
      <c r="B73">
        <f>'6 - B1'!B73</f>
        <v>211.998276</v>
      </c>
      <c r="C73">
        <f>'6 - B1'!C73</f>
        <v>201.649002</v>
      </c>
      <c r="D73">
        <f>'6 - B1'!D73</f>
        <v>181.447495</v>
      </c>
      <c r="E73">
        <f>'6 - B1'!E73</f>
        <v>192.99884</v>
      </c>
      <c r="F73">
        <f>'6 - B1'!F73</f>
        <v>157.43202199999999</v>
      </c>
      <c r="G73">
        <f>'6 - B1'!G73</f>
        <v>211.998276</v>
      </c>
      <c r="H73">
        <f>'6 - B1'!H73</f>
        <v>201.649002</v>
      </c>
      <c r="I73">
        <f>'6 - B1'!I73</f>
        <v>181.447495</v>
      </c>
      <c r="J73">
        <f>'6 - B1'!J73</f>
        <v>192.99884</v>
      </c>
      <c r="K73">
        <f>'6 - B1'!K73</f>
        <v>157.43202199999999</v>
      </c>
      <c r="L73">
        <f>'6 - B1'!L73</f>
        <v>211.998276</v>
      </c>
      <c r="M73">
        <f>'6 - B1'!M73</f>
        <v>201.649002</v>
      </c>
      <c r="N73">
        <f>'6 - B1'!N73</f>
        <v>181.447495</v>
      </c>
      <c r="O73">
        <f>'6 - B1'!O73</f>
        <v>192.99884</v>
      </c>
      <c r="P73">
        <f>'6 - B1'!P73</f>
        <v>157.43202199999999</v>
      </c>
    </row>
    <row r="74" spans="1:16" x14ac:dyDescent="0.35">
      <c r="A74" s="93">
        <f>'6 - B1'!A74</f>
        <v>25</v>
      </c>
      <c r="B74">
        <f>'6 - B1'!B74</f>
        <v>154.39004499999999</v>
      </c>
      <c r="C74">
        <f>'6 - B1'!C74</f>
        <v>156.98216199999999</v>
      </c>
      <c r="D74">
        <f>'6 - B1'!D74</f>
        <v>137.97079500000001</v>
      </c>
      <c r="E74">
        <f>'6 - B1'!E74</f>
        <v>146.04364000000001</v>
      </c>
      <c r="F74">
        <f>'6 - B1'!F74</f>
        <v>117.42688</v>
      </c>
      <c r="G74">
        <f>'6 - B1'!G74</f>
        <v>154.39004499999999</v>
      </c>
      <c r="H74">
        <f>'6 - B1'!H74</f>
        <v>156.98216199999999</v>
      </c>
      <c r="I74">
        <f>'6 - B1'!I74</f>
        <v>137.97079500000001</v>
      </c>
      <c r="J74">
        <f>'6 - B1'!J74</f>
        <v>146.04364000000001</v>
      </c>
      <c r="K74">
        <f>'6 - B1'!K74</f>
        <v>117.42688</v>
      </c>
      <c r="L74">
        <f>'6 - B1'!L74</f>
        <v>154.39004499999999</v>
      </c>
      <c r="M74">
        <f>'6 - B1'!M74</f>
        <v>156.98216199999999</v>
      </c>
      <c r="N74">
        <f>'6 - B1'!N74</f>
        <v>137.97079500000001</v>
      </c>
      <c r="O74">
        <f>'6 - B1'!O74</f>
        <v>146.04364000000001</v>
      </c>
      <c r="P74">
        <f>'6 - B1'!P74</f>
        <v>117.42688</v>
      </c>
    </row>
    <row r="75" spans="1:16" x14ac:dyDescent="0.35">
      <c r="A75" s="93">
        <f>'6 - B1'!A75</f>
        <v>26</v>
      </c>
      <c r="B75">
        <f>'6 - B1'!B75</f>
        <v>116.752678</v>
      </c>
      <c r="C75">
        <f>'6 - B1'!C75</f>
        <v>118.915161</v>
      </c>
      <c r="D75">
        <f>'6 - B1'!D75</f>
        <v>107.925911</v>
      </c>
      <c r="E75">
        <f>'6 - B1'!E75</f>
        <v>109.915192</v>
      </c>
      <c r="F75">
        <f>'6 - B1'!F75</f>
        <v>87.893660999999994</v>
      </c>
      <c r="G75">
        <f>'6 - B1'!G75</f>
        <v>116.752678</v>
      </c>
      <c r="H75">
        <f>'6 - B1'!H75</f>
        <v>118.915161</v>
      </c>
      <c r="I75">
        <f>'6 - B1'!I75</f>
        <v>107.925911</v>
      </c>
      <c r="J75">
        <f>'6 - B1'!J75</f>
        <v>109.915192</v>
      </c>
      <c r="K75">
        <f>'6 - B1'!K75</f>
        <v>87.893660999999994</v>
      </c>
      <c r="L75">
        <f>'6 - B1'!L75</f>
        <v>116.752678</v>
      </c>
      <c r="M75">
        <f>'6 - B1'!M75</f>
        <v>118.915161</v>
      </c>
      <c r="N75">
        <f>'6 - B1'!N75</f>
        <v>107.925911</v>
      </c>
      <c r="O75">
        <f>'6 - B1'!O75</f>
        <v>109.915192</v>
      </c>
      <c r="P75">
        <f>'6 - B1'!P75</f>
        <v>87.893660999999994</v>
      </c>
    </row>
    <row r="76" spans="1:16" x14ac:dyDescent="0.35">
      <c r="A76" s="93">
        <f>'6 - B1'!A76</f>
        <v>27</v>
      </c>
      <c r="B76">
        <f>'6 - B1'!B76</f>
        <v>84.492064999999997</v>
      </c>
      <c r="C76">
        <f>'6 - B1'!C76</f>
        <v>89.922966000000002</v>
      </c>
      <c r="D76">
        <f>'6 - B1'!D76</f>
        <v>78.470153999999994</v>
      </c>
      <c r="E76">
        <f>'6 - B1'!E76</f>
        <v>79.788544000000002</v>
      </c>
      <c r="F76">
        <f>'6 - B1'!F76</f>
        <v>64.008240000000001</v>
      </c>
      <c r="G76">
        <f>'6 - B1'!G76</f>
        <v>84.492064999999997</v>
      </c>
      <c r="H76">
        <f>'6 - B1'!H76</f>
        <v>89.922966000000002</v>
      </c>
      <c r="I76">
        <f>'6 - B1'!I76</f>
        <v>78.470153999999994</v>
      </c>
      <c r="J76">
        <f>'6 - B1'!J76</f>
        <v>79.788544000000002</v>
      </c>
      <c r="K76">
        <f>'6 - B1'!K76</f>
        <v>64.008240000000001</v>
      </c>
      <c r="L76">
        <f>'6 - B1'!L76</f>
        <v>84.492064999999997</v>
      </c>
      <c r="M76">
        <f>'6 - B1'!M76</f>
        <v>89.922966000000002</v>
      </c>
      <c r="N76">
        <f>'6 - B1'!N76</f>
        <v>78.470153999999994</v>
      </c>
      <c r="O76">
        <f>'6 - B1'!O76</f>
        <v>79.788544000000002</v>
      </c>
      <c r="P76">
        <f>'6 - B1'!P76</f>
        <v>64.008240000000001</v>
      </c>
    </row>
    <row r="77" spans="1:16" x14ac:dyDescent="0.35">
      <c r="A77" s="93">
        <f>'6 - B1'!A77</f>
        <v>28</v>
      </c>
      <c r="B77">
        <f>'6 - B1'!B77</f>
        <v>61.064720000000001</v>
      </c>
      <c r="C77">
        <f>'6 - B1'!C77</f>
        <v>69.298430999999994</v>
      </c>
      <c r="D77">
        <f>'6 - B1'!D77</f>
        <v>60.678871000000001</v>
      </c>
      <c r="E77">
        <f>'6 - B1'!E77</f>
        <v>56.016734999999997</v>
      </c>
      <c r="F77">
        <f>'6 - B1'!F77</f>
        <v>47.064880000000002</v>
      </c>
      <c r="G77">
        <f>'6 - B1'!G77</f>
        <v>61.064720000000001</v>
      </c>
      <c r="H77">
        <f>'6 - B1'!H77</f>
        <v>69.298430999999994</v>
      </c>
      <c r="I77">
        <f>'6 - B1'!I77</f>
        <v>60.678871000000001</v>
      </c>
      <c r="J77">
        <f>'6 - B1'!J77</f>
        <v>56.016734999999997</v>
      </c>
      <c r="K77">
        <f>'6 - B1'!K77</f>
        <v>47.064880000000002</v>
      </c>
      <c r="L77">
        <f>'6 - B1'!L77</f>
        <v>61.064720000000001</v>
      </c>
      <c r="M77">
        <f>'6 - B1'!M77</f>
        <v>69.298430999999994</v>
      </c>
      <c r="N77">
        <f>'6 - B1'!N77</f>
        <v>60.678871000000001</v>
      </c>
      <c r="O77">
        <f>'6 - B1'!O77</f>
        <v>56.016734999999997</v>
      </c>
      <c r="P77">
        <f>'6 - B1'!P77</f>
        <v>47.064880000000002</v>
      </c>
    </row>
    <row r="78" spans="1:16" x14ac:dyDescent="0.35">
      <c r="A78" s="93">
        <f>'6 - B1'!A78</f>
        <v>29</v>
      </c>
      <c r="B78">
        <f>'6 - B1'!B78</f>
        <v>46.086582</v>
      </c>
      <c r="C78">
        <f>'6 - B1'!C78</f>
        <v>51.266697000000001</v>
      </c>
      <c r="D78">
        <f>'6 - B1'!D78</f>
        <v>42.769767999999999</v>
      </c>
      <c r="E78">
        <f>'6 - B1'!E78</f>
        <v>41.306457999999999</v>
      </c>
      <c r="F78">
        <f>'6 - B1'!F78</f>
        <v>32.121780000000001</v>
      </c>
      <c r="G78">
        <f>'6 - B1'!G78</f>
        <v>46.086582</v>
      </c>
      <c r="H78">
        <f>'6 - B1'!H78</f>
        <v>51.266697000000001</v>
      </c>
      <c r="I78">
        <f>'6 - B1'!I78</f>
        <v>42.769767999999999</v>
      </c>
      <c r="J78">
        <f>'6 - B1'!J78</f>
        <v>41.306457999999999</v>
      </c>
      <c r="K78">
        <f>'6 - B1'!K78</f>
        <v>32.121780000000001</v>
      </c>
      <c r="L78">
        <f>'6 - B1'!L78</f>
        <v>46.086582</v>
      </c>
      <c r="M78">
        <f>'6 - B1'!M78</f>
        <v>51.266697000000001</v>
      </c>
      <c r="N78">
        <f>'6 - B1'!N78</f>
        <v>42.769767999999999</v>
      </c>
      <c r="O78">
        <f>'6 - B1'!O78</f>
        <v>41.306457999999999</v>
      </c>
      <c r="P78">
        <f>'6 - B1'!P78</f>
        <v>32.121780000000001</v>
      </c>
    </row>
    <row r="79" spans="1:16" x14ac:dyDescent="0.35">
      <c r="A79" s="93">
        <f>'6 - B1'!A79</f>
        <v>30</v>
      </c>
      <c r="B79">
        <f>'6 - B1'!B79</f>
        <v>35.973137000000001</v>
      </c>
      <c r="C79">
        <f>'6 - B1'!C79</f>
        <v>37.006306000000002</v>
      </c>
      <c r="D79">
        <f>'6 - B1'!D79</f>
        <v>30.751816000000002</v>
      </c>
      <c r="E79">
        <f>'6 - B1'!E79</f>
        <v>28.832144</v>
      </c>
      <c r="F79">
        <f>'6 - B1'!F79</f>
        <v>20.943871999999999</v>
      </c>
      <c r="G79">
        <f>'6 - B1'!G79</f>
        <v>35.973137000000001</v>
      </c>
      <c r="H79">
        <f>'6 - B1'!H79</f>
        <v>37.006306000000002</v>
      </c>
      <c r="I79">
        <f>'6 - B1'!I79</f>
        <v>30.751816000000002</v>
      </c>
      <c r="J79">
        <f>'6 - B1'!J79</f>
        <v>28.832144</v>
      </c>
      <c r="K79">
        <f>'6 - B1'!K79</f>
        <v>20.943871999999999</v>
      </c>
      <c r="L79">
        <f>'6 - B1'!L79</f>
        <v>35.973137000000001</v>
      </c>
      <c r="M79">
        <f>'6 - B1'!M79</f>
        <v>37.006306000000002</v>
      </c>
      <c r="N79">
        <f>'6 - B1'!N79</f>
        <v>30.751816000000002</v>
      </c>
      <c r="O79">
        <f>'6 - B1'!O79</f>
        <v>28.832144</v>
      </c>
      <c r="P79">
        <f>'6 - B1'!P79</f>
        <v>20.943871999999999</v>
      </c>
    </row>
    <row r="80" spans="1:16" x14ac:dyDescent="0.35">
      <c r="A80" s="93">
        <f>'6 - B1'!A80</f>
        <v>38</v>
      </c>
      <c r="B80">
        <f>'6 - B1'!B80</f>
        <v>25.731674000000002</v>
      </c>
      <c r="C80">
        <f>'6 - B1'!C80</f>
        <v>25.927983999999999</v>
      </c>
      <c r="D80">
        <f>'6 - B1'!D80</f>
        <v>21.090326000000001</v>
      </c>
      <c r="E80">
        <f>'6 - B1'!E80</f>
        <v>19.652930999999999</v>
      </c>
      <c r="F80">
        <f>'6 - B1'!F80</f>
        <v>14.707775</v>
      </c>
      <c r="G80">
        <f>'6 - B1'!G80</f>
        <v>25.731674000000002</v>
      </c>
      <c r="H80">
        <f>'6 - B1'!H80</f>
        <v>25.927983999999999</v>
      </c>
      <c r="I80">
        <f>'6 - B1'!I80</f>
        <v>21.090326000000001</v>
      </c>
      <c r="J80">
        <f>'6 - B1'!J80</f>
        <v>19.652930999999999</v>
      </c>
      <c r="K80">
        <f>'6 - B1'!K80</f>
        <v>14.707775</v>
      </c>
      <c r="L80">
        <f>'6 - B1'!L80</f>
        <v>25.731674000000002</v>
      </c>
      <c r="M80">
        <f>'6 - B1'!M80</f>
        <v>25.927983999999999</v>
      </c>
      <c r="N80">
        <f>'6 - B1'!N80</f>
        <v>21.090326000000001</v>
      </c>
      <c r="O80">
        <f>'6 - B1'!O80</f>
        <v>19.652930999999999</v>
      </c>
      <c r="P80">
        <f>'6 - B1'!P80</f>
        <v>14.707775</v>
      </c>
    </row>
    <row r="81" spans="1:16" x14ac:dyDescent="0.35">
      <c r="A81" s="93">
        <f>'6 - B1'!A81</f>
        <v>50</v>
      </c>
      <c r="B81">
        <f>'6 - B1'!B81</f>
        <v>17.282468999999999</v>
      </c>
      <c r="C81">
        <f>'6 - B1'!C81</f>
        <v>17.796026000000001</v>
      </c>
      <c r="D81">
        <f>'6 - B1'!D81</f>
        <v>13.903119999999999</v>
      </c>
      <c r="E81">
        <f>'6 - B1'!E81</f>
        <v>13.76882</v>
      </c>
      <c r="F81">
        <f>'6 - B1'!F81</f>
        <v>9.6483000000000008</v>
      </c>
      <c r="G81">
        <f>'6 - B1'!G81</f>
        <v>17.282468999999999</v>
      </c>
      <c r="H81">
        <f>'6 - B1'!H81</f>
        <v>17.796026000000001</v>
      </c>
      <c r="I81">
        <f>'6 - B1'!I81</f>
        <v>13.903119999999999</v>
      </c>
      <c r="J81">
        <f>'6 - B1'!J81</f>
        <v>13.76882</v>
      </c>
      <c r="K81">
        <f>'6 - B1'!K81</f>
        <v>9.6483000000000008</v>
      </c>
      <c r="L81">
        <f>'6 - B1'!L81</f>
        <v>17.282468999999999</v>
      </c>
      <c r="M81">
        <f>'6 - B1'!M81</f>
        <v>17.796026000000001</v>
      </c>
      <c r="N81">
        <f>'6 - B1'!N81</f>
        <v>13.903119999999999</v>
      </c>
      <c r="O81">
        <f>'6 - B1'!O81</f>
        <v>13.76882</v>
      </c>
      <c r="P81">
        <f>'6 - B1'!P81</f>
        <v>9.6483000000000008</v>
      </c>
    </row>
    <row r="82" spans="1:16" x14ac:dyDescent="0.35">
      <c r="A82" s="93">
        <f>'6 - B1'!A82</f>
        <v>70</v>
      </c>
      <c r="B82">
        <f>'6 - B1'!B82</f>
        <v>11.521646</v>
      </c>
      <c r="C82">
        <f>'6 - B1'!C82</f>
        <v>11.314030000000001</v>
      </c>
      <c r="D82">
        <f>'6 - B1'!D82</f>
        <v>9.8971359999999997</v>
      </c>
      <c r="E82">
        <f>'6 - B1'!E82</f>
        <v>10.826764000000001</v>
      </c>
      <c r="F82">
        <f>'6 - B1'!F82</f>
        <v>6.4714210000000003</v>
      </c>
      <c r="G82">
        <f>'6 - B1'!G82</f>
        <v>11.521646</v>
      </c>
      <c r="H82">
        <f>'6 - B1'!H82</f>
        <v>11.314030000000001</v>
      </c>
      <c r="I82">
        <f>'6 - B1'!I82</f>
        <v>9.8971359999999997</v>
      </c>
      <c r="J82">
        <f>'6 - B1'!J82</f>
        <v>10.826764000000001</v>
      </c>
      <c r="K82">
        <f>'6 - B1'!K82</f>
        <v>6.4714210000000003</v>
      </c>
      <c r="L82">
        <f>'6 - B1'!L82</f>
        <v>11.521646</v>
      </c>
      <c r="M82">
        <f>'6 - B1'!M82</f>
        <v>11.314030000000001</v>
      </c>
      <c r="N82">
        <f>'6 - B1'!N82</f>
        <v>9.8971359999999997</v>
      </c>
      <c r="O82">
        <f>'6 - B1'!O82</f>
        <v>10.826764000000001</v>
      </c>
      <c r="P82">
        <f>'6 - B1'!P82</f>
        <v>6.4714210000000003</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29" priority="2" operator="greaterThan">
      <formula>1000</formula>
    </cfRule>
  </conditionalFormatting>
  <conditionalFormatting sqref="K9:K40">
    <cfRule type="cellIs" dxfId="28"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W128"/>
  <sheetViews>
    <sheetView topLeftCell="A4" zoomScale="70" zoomScaleNormal="70" workbookViewId="0">
      <selection activeCell="O31" sqref="O31"/>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75" t="s">
        <v>183</v>
      </c>
      <c r="O2" s="75"/>
    </row>
    <row r="3" spans="1:49" ht="13.15" x14ac:dyDescent="0.4">
      <c r="A3" t="str">
        <f>'6 - B1'!$A$3</f>
        <v>Serial #</v>
      </c>
      <c r="B3" s="73" t="str">
        <f>'6 - B1'!$B$3</f>
        <v>11171-00009</v>
      </c>
    </row>
    <row r="4" spans="1:49" ht="17.100000000000001" customHeight="1" x14ac:dyDescent="1.05">
      <c r="A4" s="8" t="str">
        <f>'6 - B1'!$A$4</f>
        <v>Date</v>
      </c>
      <c r="B4" s="74">
        <f>'6 - B1'!$B$4</f>
        <v>46009</v>
      </c>
      <c r="O4" s="75"/>
    </row>
    <row r="5" spans="1:49" ht="13.15" x14ac:dyDescent="0.4">
      <c r="A5" s="8" t="str">
        <f>'6 - B1'!$A$5</f>
        <v>RM</v>
      </c>
      <c r="B5" s="90" t="str">
        <f>'6 - B1'!$B$5</f>
        <v>37D</v>
      </c>
    </row>
    <row r="6" spans="1:49" ht="13.15" x14ac:dyDescent="0.4">
      <c r="B6" s="8"/>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380</v>
      </c>
      <c r="M7" s="65" t="s">
        <v>138</v>
      </c>
      <c r="O7" s="65"/>
    </row>
    <row r="8" spans="1:49" ht="13.15" x14ac:dyDescent="0.4">
      <c r="A8" s="68" t="s">
        <v>139</v>
      </c>
      <c r="B8" s="46">
        <f>L52</f>
        <v>7.8113840000000003</v>
      </c>
      <c r="C8" s="46">
        <f>M52</f>
        <v>8.4850410000000007</v>
      </c>
      <c r="D8" s="46">
        <f>N52</f>
        <v>8.487304</v>
      </c>
      <c r="E8" s="46">
        <f>O52</f>
        <v>8.4974600000000002</v>
      </c>
      <c r="F8" s="46">
        <f>P52</f>
        <v>8.4989059999999998</v>
      </c>
      <c r="G8" s="78">
        <f>AVERAGE(B$8:F$8)*5</f>
        <v>41.780095000000003</v>
      </c>
      <c r="I8" s="79"/>
      <c r="K8" s="79"/>
    </row>
    <row r="9" spans="1:49" x14ac:dyDescent="0.35">
      <c r="A9" s="68" t="s">
        <v>140</v>
      </c>
      <c r="B9" s="42">
        <f>L53</f>
        <v>12748.444336</v>
      </c>
      <c r="C9" s="42">
        <f t="shared" ref="C9:F9" si="0">M53</f>
        <v>12757.982421999999</v>
      </c>
      <c r="D9" s="42">
        <f t="shared" si="0"/>
        <v>12023.959961</v>
      </c>
      <c r="E9" s="42">
        <f t="shared" si="0"/>
        <v>12393.349609000001</v>
      </c>
      <c r="F9" s="42">
        <f t="shared" si="0"/>
        <v>12082.966796999999</v>
      </c>
      <c r="G9" s="43">
        <f t="shared" ref="G9:G38" si="1">AVERAGE(B9:F9)</f>
        <v>12401.340625000001</v>
      </c>
      <c r="H9" s="81">
        <f t="shared" ref="H9:H38" si="2">G9*G$8</f>
        <v>518129.18943985942</v>
      </c>
      <c r="I9" s="79">
        <f t="shared" ref="I9:I38" si="3">STDEVP(B9:F9)/G9</f>
        <v>2.5282226180954145E-2</v>
      </c>
      <c r="J9" s="79">
        <f t="shared" ref="J9:J38" si="4">IF(H9&gt;$A$43, $C$43, IF(H9&gt;$A$44, $C$44, IF(H9&gt;$A$45,$C$45,IF(H9&gt;$A$46,$C$46, IF(H9&gt;$A$47,$C$47,IF(H9&gt;$A$48,$C$48,$C$49))))))/100</f>
        <v>0.11</v>
      </c>
      <c r="K9" s="79">
        <f t="shared" ref="K9:K38" si="5">(MAX(B9:F9)-MIN(B9:F9))/G9</f>
        <v>5.9188960548368023E-2</v>
      </c>
      <c r="L9" s="42">
        <f>G9/'Clause 6'!$I$11</f>
        <v>12401.340625000001</v>
      </c>
      <c r="M9">
        <f t="shared" ref="M9:M38" si="6">COUNTA(B9:F9)</f>
        <v>5</v>
      </c>
      <c r="O9" s="42"/>
    </row>
    <row r="10" spans="1:49" x14ac:dyDescent="0.35">
      <c r="A10" s="68" t="s">
        <v>141</v>
      </c>
      <c r="B10" s="42">
        <f t="shared" ref="B10:F10" si="7">L54</f>
        <v>11296.333008</v>
      </c>
      <c r="C10" s="42">
        <f t="shared" si="7"/>
        <v>11251.212890999999</v>
      </c>
      <c r="D10" s="42">
        <f t="shared" si="7"/>
        <v>10640.127930000001</v>
      </c>
      <c r="E10" s="42">
        <f t="shared" si="7"/>
        <v>10945.741211</v>
      </c>
      <c r="F10" s="42">
        <f t="shared" si="7"/>
        <v>10661.842773</v>
      </c>
      <c r="G10" s="43">
        <f t="shared" si="1"/>
        <v>10959.051562600001</v>
      </c>
      <c r="H10" s="81">
        <f t="shared" si="2"/>
        <v>457870.21539532655</v>
      </c>
      <c r="I10" s="79">
        <f t="shared" si="3"/>
        <v>2.5462806924735296E-2</v>
      </c>
      <c r="J10" s="79">
        <f t="shared" si="4"/>
        <v>0.11</v>
      </c>
      <c r="K10" s="79">
        <f t="shared" si="5"/>
        <v>5.9877907705027385E-2</v>
      </c>
      <c r="L10" s="42">
        <f>G10/'Clause 6'!$I$11</f>
        <v>10959.051562600001</v>
      </c>
      <c r="M10">
        <f t="shared" si="6"/>
        <v>5</v>
      </c>
      <c r="O10" s="42"/>
    </row>
    <row r="11" spans="1:49" x14ac:dyDescent="0.35">
      <c r="A11" s="68" t="s">
        <v>142</v>
      </c>
      <c r="B11" s="42">
        <f t="shared" ref="B11:F11" si="8">L55</f>
        <v>9922.4414059999999</v>
      </c>
      <c r="C11" s="42">
        <f t="shared" si="8"/>
        <v>9850.6308590000008</v>
      </c>
      <c r="D11" s="42">
        <f t="shared" si="8"/>
        <v>9313.2050780000009</v>
      </c>
      <c r="E11" s="42">
        <f t="shared" si="8"/>
        <v>9592.7480469999991</v>
      </c>
      <c r="F11" s="42">
        <f t="shared" si="8"/>
        <v>9323.3173829999996</v>
      </c>
      <c r="G11" s="43">
        <f t="shared" si="1"/>
        <v>9600.4685546000001</v>
      </c>
      <c r="H11" s="81">
        <f t="shared" si="2"/>
        <v>401108.48825570074</v>
      </c>
      <c r="I11" s="79">
        <f t="shared" si="3"/>
        <v>2.6582247295754358E-2</v>
      </c>
      <c r="J11" s="79">
        <f t="shared" si="4"/>
        <v>0.11</v>
      </c>
      <c r="K11" s="79">
        <f t="shared" si="5"/>
        <v>6.3459020206684341E-2</v>
      </c>
      <c r="L11" s="42">
        <f>G11/'Clause 6'!$I$11</f>
        <v>9600.4685546000001</v>
      </c>
      <c r="M11">
        <f t="shared" si="6"/>
        <v>5</v>
      </c>
      <c r="O11" s="42"/>
    </row>
    <row r="12" spans="1:49" x14ac:dyDescent="0.35">
      <c r="A12" s="68" t="s">
        <v>143</v>
      </c>
      <c r="B12" s="42">
        <f t="shared" ref="B12:F12" si="9">L56</f>
        <v>8671.9589840000008</v>
      </c>
      <c r="C12" s="42">
        <f t="shared" si="9"/>
        <v>8575.4453119999998</v>
      </c>
      <c r="D12" s="42">
        <f t="shared" si="9"/>
        <v>8127.3159180000002</v>
      </c>
      <c r="E12" s="42">
        <f t="shared" si="9"/>
        <v>8358.9677730000003</v>
      </c>
      <c r="F12" s="42">
        <f t="shared" si="9"/>
        <v>8116.9267579999996</v>
      </c>
      <c r="G12" s="43">
        <f t="shared" si="1"/>
        <v>8370.1229490000005</v>
      </c>
      <c r="H12" s="81">
        <f t="shared" si="2"/>
        <v>349704.53197090019</v>
      </c>
      <c r="I12" s="79">
        <f t="shared" si="3"/>
        <v>2.7057317584417987E-2</v>
      </c>
      <c r="J12" s="79">
        <f t="shared" si="4"/>
        <v>0.11</v>
      </c>
      <c r="K12" s="79">
        <f t="shared" si="5"/>
        <v>6.6311119846371225E-2</v>
      </c>
      <c r="L12" s="42">
        <f>G12/'Clause 6'!$I$11</f>
        <v>8370.1229490000005</v>
      </c>
      <c r="M12">
        <f t="shared" si="6"/>
        <v>5</v>
      </c>
      <c r="O12" s="42"/>
    </row>
    <row r="13" spans="1:49" x14ac:dyDescent="0.35">
      <c r="A13" s="68" t="s">
        <v>144</v>
      </c>
      <c r="B13" s="42">
        <f t="shared" ref="B13:F13" si="10">L57</f>
        <v>7569.9770509999998</v>
      </c>
      <c r="C13" s="42">
        <f t="shared" si="10"/>
        <v>7458.7739259999998</v>
      </c>
      <c r="D13" s="42">
        <f t="shared" si="10"/>
        <v>7061.8422849999997</v>
      </c>
      <c r="E13" s="42">
        <f t="shared" si="10"/>
        <v>7278.4101559999999</v>
      </c>
      <c r="F13" s="42">
        <f t="shared" si="10"/>
        <v>7044.4360349999997</v>
      </c>
      <c r="G13" s="43">
        <f t="shared" si="1"/>
        <v>7282.6878906000002</v>
      </c>
      <c r="H13" s="81">
        <f t="shared" si="2"/>
        <v>304271.39192461764</v>
      </c>
      <c r="I13" s="79">
        <f t="shared" si="3"/>
        <v>2.8743582857902194E-2</v>
      </c>
      <c r="J13" s="79">
        <f t="shared" si="4"/>
        <v>0.11</v>
      </c>
      <c r="K13" s="79">
        <f t="shared" si="5"/>
        <v>7.2163056263654088E-2</v>
      </c>
      <c r="L13" s="42">
        <f>G13/'Clause 6'!$I$11</f>
        <v>7282.6878906000002</v>
      </c>
      <c r="M13">
        <f t="shared" si="6"/>
        <v>5</v>
      </c>
      <c r="O13" s="42"/>
    </row>
    <row r="14" spans="1:49" x14ac:dyDescent="0.35">
      <c r="A14" s="68" t="s">
        <v>145</v>
      </c>
      <c r="B14" s="42">
        <f t="shared" ref="B14:F14" si="11">L58</f>
        <v>6586.9248049999997</v>
      </c>
      <c r="C14" s="42">
        <f t="shared" si="11"/>
        <v>6473.6284180000002</v>
      </c>
      <c r="D14" s="42">
        <f t="shared" si="11"/>
        <v>6130.3330079999996</v>
      </c>
      <c r="E14" s="42">
        <f t="shared" si="11"/>
        <v>6320.7119140000004</v>
      </c>
      <c r="F14" s="42">
        <f t="shared" si="11"/>
        <v>6114.1987300000001</v>
      </c>
      <c r="G14" s="43">
        <f t="shared" si="1"/>
        <v>6325.1593749999993</v>
      </c>
      <c r="H14" s="81">
        <f t="shared" si="2"/>
        <v>264265.75957764062</v>
      </c>
      <c r="I14" s="79">
        <f t="shared" si="3"/>
        <v>2.9411956220666263E-2</v>
      </c>
      <c r="J14" s="79">
        <f t="shared" si="4"/>
        <v>0.11</v>
      </c>
      <c r="K14" s="79">
        <f t="shared" si="5"/>
        <v>7.4737417189586569E-2</v>
      </c>
      <c r="L14" s="42">
        <f>G14/'Clause 6'!$I$11</f>
        <v>6325.1593749999993</v>
      </c>
      <c r="M14">
        <f t="shared" si="6"/>
        <v>5</v>
      </c>
      <c r="O14" s="42"/>
    </row>
    <row r="15" spans="1:49" x14ac:dyDescent="0.35">
      <c r="A15" s="68" t="s">
        <v>146</v>
      </c>
      <c r="B15" s="42">
        <f t="shared" ref="B15:F15" si="12">L59</f>
        <v>5658.7919920000004</v>
      </c>
      <c r="C15" s="42">
        <f t="shared" si="12"/>
        <v>5542.578125</v>
      </c>
      <c r="D15" s="42">
        <f t="shared" si="12"/>
        <v>5241.3583980000003</v>
      </c>
      <c r="E15" s="42">
        <f t="shared" si="12"/>
        <v>5390.3164059999999</v>
      </c>
      <c r="F15" s="42">
        <f t="shared" si="12"/>
        <v>5217.0244140000004</v>
      </c>
      <c r="G15" s="43">
        <f t="shared" si="1"/>
        <v>5410.0138669999997</v>
      </c>
      <c r="H15" s="81">
        <f t="shared" si="2"/>
        <v>226030.89331457738</v>
      </c>
      <c r="I15" s="79">
        <f t="shared" si="3"/>
        <v>3.1536241277677492E-2</v>
      </c>
      <c r="J15" s="79">
        <f t="shared" si="4"/>
        <v>0.11</v>
      </c>
      <c r="K15" s="79">
        <f t="shared" si="5"/>
        <v>8.1657383670436345E-2</v>
      </c>
      <c r="L15" s="42">
        <f>G15/'Clause 6'!$I$11</f>
        <v>5410.0138669999997</v>
      </c>
      <c r="M15">
        <f t="shared" si="6"/>
        <v>5</v>
      </c>
      <c r="O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2">
        <f t="shared" ref="B16:F16" si="13">L60</f>
        <v>4823.6010740000002</v>
      </c>
      <c r="C16" s="42">
        <f t="shared" si="13"/>
        <v>4705.1040039999998</v>
      </c>
      <c r="D16" s="42">
        <f t="shared" si="13"/>
        <v>4447.1132809999999</v>
      </c>
      <c r="E16" s="42">
        <f t="shared" si="13"/>
        <v>4590.4301759999998</v>
      </c>
      <c r="F16" s="42">
        <f t="shared" si="13"/>
        <v>4430.5703119999998</v>
      </c>
      <c r="G16" s="43">
        <f t="shared" si="1"/>
        <v>4599.3637693999999</v>
      </c>
      <c r="H16" s="81">
        <f t="shared" si="2"/>
        <v>192161.85522509011</v>
      </c>
      <c r="I16" s="79">
        <f t="shared" si="3"/>
        <v>3.2716624533865923E-2</v>
      </c>
      <c r="J16" s="79">
        <f t="shared" si="4"/>
        <v>0.11</v>
      </c>
      <c r="K16" s="79">
        <f t="shared" si="5"/>
        <v>8.545328912987292E-2</v>
      </c>
      <c r="L16" s="42">
        <f>G16/'Clause 6'!$I$11</f>
        <v>4599.3637693999999</v>
      </c>
      <c r="M16">
        <f t="shared" si="6"/>
        <v>5</v>
      </c>
      <c r="O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2">
        <f t="shared" ref="B17:F17" si="14">L61</f>
        <v>4052.2907709999999</v>
      </c>
      <c r="C17" s="42">
        <f t="shared" si="14"/>
        <v>3942.4677729999999</v>
      </c>
      <c r="D17" s="42">
        <f t="shared" si="14"/>
        <v>3703.1784670000002</v>
      </c>
      <c r="E17" s="42">
        <f t="shared" si="14"/>
        <v>3827.2612300000001</v>
      </c>
      <c r="F17" s="42">
        <f t="shared" si="14"/>
        <v>3675.7670899999998</v>
      </c>
      <c r="G17" s="43">
        <f t="shared" si="1"/>
        <v>3840.1930662</v>
      </c>
      <c r="H17" s="81">
        <f t="shared" si="2"/>
        <v>160443.63112417731</v>
      </c>
      <c r="I17" s="79">
        <f t="shared" si="3"/>
        <v>3.7087482347580511E-2</v>
      </c>
      <c r="J17" s="79">
        <f t="shared" si="4"/>
        <v>0.11</v>
      </c>
      <c r="K17" s="79">
        <f t="shared" si="5"/>
        <v>9.8048112297797294E-2</v>
      </c>
      <c r="L17" s="42">
        <f>G17/'Clause 6'!$I$11</f>
        <v>3840.1930662</v>
      </c>
      <c r="M17">
        <f t="shared" si="6"/>
        <v>5</v>
      </c>
      <c r="O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2">
        <f t="shared" ref="B18:F18" si="15">L62</f>
        <v>3367.008789</v>
      </c>
      <c r="C18" s="42">
        <f t="shared" si="15"/>
        <v>3259.1477049999999</v>
      </c>
      <c r="D18" s="42">
        <f t="shared" si="15"/>
        <v>3081.5439449999999</v>
      </c>
      <c r="E18" s="42">
        <f t="shared" si="15"/>
        <v>3162.474365</v>
      </c>
      <c r="F18" s="42">
        <f t="shared" si="15"/>
        <v>3043.8034670000002</v>
      </c>
      <c r="G18" s="43">
        <f t="shared" si="1"/>
        <v>3182.7956542000002</v>
      </c>
      <c r="H18" s="81">
        <f t="shared" si="2"/>
        <v>132977.50479806316</v>
      </c>
      <c r="I18" s="79">
        <f t="shared" si="3"/>
        <v>3.7108339181905411E-2</v>
      </c>
      <c r="J18" s="79">
        <f t="shared" si="4"/>
        <v>0.11</v>
      </c>
      <c r="K18" s="79">
        <f t="shared" si="5"/>
        <v>0.10154761948776063</v>
      </c>
      <c r="L18" s="42">
        <f>G18/'Clause 6'!$I$11</f>
        <v>3182.7956542000002</v>
      </c>
      <c r="M18">
        <f t="shared" si="6"/>
        <v>5</v>
      </c>
      <c r="O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2">
        <f t="shared" ref="B19:F19" si="16">L63</f>
        <v>2748.0405270000001</v>
      </c>
      <c r="C19" s="42">
        <f t="shared" si="16"/>
        <v>2656.9111330000001</v>
      </c>
      <c r="D19" s="42">
        <f t="shared" si="16"/>
        <v>2502.679443</v>
      </c>
      <c r="E19" s="42">
        <f t="shared" si="16"/>
        <v>2571.0034179999998</v>
      </c>
      <c r="F19" s="42">
        <f t="shared" si="16"/>
        <v>2473.4948730000001</v>
      </c>
      <c r="G19" s="43">
        <f t="shared" si="1"/>
        <v>2590.4258787999997</v>
      </c>
      <c r="H19" s="81">
        <f t="shared" si="2"/>
        <v>108228.23930672248</v>
      </c>
      <c r="I19" s="79">
        <f t="shared" si="3"/>
        <v>3.899247794854941E-2</v>
      </c>
      <c r="J19" s="79">
        <f t="shared" si="4"/>
        <v>0.11</v>
      </c>
      <c r="K19" s="79">
        <f t="shared" si="5"/>
        <v>0.10598475572950257</v>
      </c>
      <c r="L19" s="42">
        <f>G19/'Clause 6'!$I$11</f>
        <v>2590.4258787999997</v>
      </c>
      <c r="M19">
        <f t="shared" si="6"/>
        <v>5</v>
      </c>
      <c r="O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2">
        <f t="shared" ref="B20:F20" si="17">L64</f>
        <v>2193.0812989999999</v>
      </c>
      <c r="C20" s="42">
        <f t="shared" si="17"/>
        <v>2112.6591800000001</v>
      </c>
      <c r="D20" s="42">
        <f t="shared" si="17"/>
        <v>1992.976807</v>
      </c>
      <c r="E20" s="42">
        <f t="shared" si="17"/>
        <v>2039.6682129999999</v>
      </c>
      <c r="F20" s="42">
        <f t="shared" si="17"/>
        <v>1945.3092039999999</v>
      </c>
      <c r="G20" s="43">
        <f t="shared" si="1"/>
        <v>2056.7389405999998</v>
      </c>
      <c r="H20" s="81">
        <f t="shared" si="2"/>
        <v>85930.748328467351</v>
      </c>
      <c r="I20" s="79">
        <f t="shared" si="3"/>
        <v>4.2658867055217688E-2</v>
      </c>
      <c r="J20" s="79">
        <f t="shared" si="4"/>
        <v>0.11</v>
      </c>
      <c r="K20" s="79">
        <f t="shared" si="5"/>
        <v>0.12046842217501799</v>
      </c>
      <c r="L20" s="42">
        <f>G20/'Clause 6'!$I$11</f>
        <v>2056.7389405999998</v>
      </c>
      <c r="M20">
        <f t="shared" si="6"/>
        <v>5</v>
      </c>
      <c r="O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2">
        <f t="shared" ref="B21:F21" si="18">L65</f>
        <v>1726.4545900000001</v>
      </c>
      <c r="C21" s="42">
        <f t="shared" si="18"/>
        <v>1663.1623540000001</v>
      </c>
      <c r="D21" s="42">
        <f t="shared" si="18"/>
        <v>1566.221802</v>
      </c>
      <c r="E21" s="42">
        <f t="shared" si="18"/>
        <v>1610.1281739999999</v>
      </c>
      <c r="F21" s="42">
        <f t="shared" si="18"/>
        <v>1525.2551269999999</v>
      </c>
      <c r="G21" s="43">
        <f t="shared" si="1"/>
        <v>1618.2444094000002</v>
      </c>
      <c r="H21" s="81">
        <f t="shared" si="2"/>
        <v>67610.405157950911</v>
      </c>
      <c r="I21" s="79">
        <f t="shared" si="3"/>
        <v>4.3823584650558849E-2</v>
      </c>
      <c r="J21" s="79">
        <f t="shared" si="4"/>
        <v>0.11</v>
      </c>
      <c r="K21" s="79">
        <f t="shared" si="5"/>
        <v>0.12433193764259583</v>
      </c>
      <c r="L21" s="42">
        <f>G21/'Clause 6'!$I$11</f>
        <v>1618.2444094000002</v>
      </c>
      <c r="M21">
        <f t="shared" si="6"/>
        <v>5</v>
      </c>
      <c r="O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x14ac:dyDescent="0.35">
      <c r="A22" s="68" t="s">
        <v>153</v>
      </c>
      <c r="B22" s="42">
        <f t="shared" ref="B22:F22" si="19">L66</f>
        <v>1346.1123050000001</v>
      </c>
      <c r="C22" s="42">
        <f t="shared" si="19"/>
        <v>1285.7923579999999</v>
      </c>
      <c r="D22" s="42">
        <f t="shared" si="19"/>
        <v>1210.9853519999999</v>
      </c>
      <c r="E22" s="42">
        <f t="shared" si="19"/>
        <v>1246.7254640000001</v>
      </c>
      <c r="F22" s="42">
        <f t="shared" si="19"/>
        <v>1162.9731449999999</v>
      </c>
      <c r="G22" s="43">
        <f t="shared" si="1"/>
        <v>1250.5177248</v>
      </c>
      <c r="H22" s="81">
        <f t="shared" si="2"/>
        <v>52246.749341327857</v>
      </c>
      <c r="I22" s="79">
        <f t="shared" si="3"/>
        <v>5.0097659733793244E-2</v>
      </c>
      <c r="J22" s="79">
        <f t="shared" si="4"/>
        <v>0.11</v>
      </c>
      <c r="K22" s="79">
        <f t="shared" si="5"/>
        <v>0.14645067108448248</v>
      </c>
      <c r="L22" s="42">
        <f>G22/'Clause 6'!$I$11</f>
        <v>1250.5177248</v>
      </c>
      <c r="M22">
        <f t="shared" si="6"/>
        <v>5</v>
      </c>
      <c r="O22" s="42"/>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x14ac:dyDescent="0.35">
      <c r="A23" s="68" t="s">
        <v>154</v>
      </c>
      <c r="B23" s="42">
        <f t="shared" ref="B23:F23" si="20">L67</f>
        <v>1032.8515620000001</v>
      </c>
      <c r="C23" s="42">
        <f t="shared" si="20"/>
        <v>978.30999799999995</v>
      </c>
      <c r="D23" s="42">
        <f t="shared" si="20"/>
        <v>925.97131300000001</v>
      </c>
      <c r="E23" s="42">
        <f t="shared" si="20"/>
        <v>954.40283199999999</v>
      </c>
      <c r="F23" s="42">
        <f t="shared" si="20"/>
        <v>880.58392300000003</v>
      </c>
      <c r="G23" s="43">
        <f t="shared" si="1"/>
        <v>954.42392560000008</v>
      </c>
      <c r="H23" s="81">
        <f t="shared" si="2"/>
        <v>39875.92228184094</v>
      </c>
      <c r="I23" s="79">
        <f t="shared" si="3"/>
        <v>5.3390849586401362E-2</v>
      </c>
      <c r="J23" s="79">
        <f t="shared" si="4"/>
        <v>0.11</v>
      </c>
      <c r="K23" s="79">
        <f t="shared" si="5"/>
        <v>0.15953879079914801</v>
      </c>
      <c r="L23" s="42">
        <f>G23/'Clause 6'!$I$11</f>
        <v>954.42392560000008</v>
      </c>
      <c r="M23">
        <f t="shared" si="6"/>
        <v>5</v>
      </c>
      <c r="O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x14ac:dyDescent="0.35">
      <c r="A24" s="68" t="s">
        <v>155</v>
      </c>
      <c r="B24" s="42">
        <f t="shared" ref="B24:F24" si="21">L68</f>
        <v>797.80993699999999</v>
      </c>
      <c r="C24" s="42">
        <f t="shared" si="21"/>
        <v>751.08654799999999</v>
      </c>
      <c r="D24" s="42">
        <f t="shared" si="21"/>
        <v>709.76605199999995</v>
      </c>
      <c r="E24" s="42">
        <f t="shared" si="21"/>
        <v>727.98223900000005</v>
      </c>
      <c r="F24" s="42">
        <f t="shared" si="21"/>
        <v>665.37976100000003</v>
      </c>
      <c r="G24" s="43">
        <f t="shared" si="1"/>
        <v>730.40490740000007</v>
      </c>
      <c r="H24" s="81">
        <f t="shared" si="2"/>
        <v>30516.386419638209</v>
      </c>
      <c r="I24" s="79">
        <f t="shared" si="3"/>
        <v>6.0088738366929823E-2</v>
      </c>
      <c r="J24" s="79">
        <f t="shared" si="4"/>
        <v>0.11</v>
      </c>
      <c r="K24" s="79">
        <f t="shared" si="5"/>
        <v>0.18131063285350532</v>
      </c>
      <c r="L24" s="42">
        <f>G24/'Clause 6'!$I$11</f>
        <v>730.40490740000007</v>
      </c>
      <c r="M24">
        <f t="shared" si="6"/>
        <v>5</v>
      </c>
      <c r="O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x14ac:dyDescent="0.35">
      <c r="A25" s="68" t="s">
        <v>156</v>
      </c>
      <c r="B25" s="42">
        <f t="shared" ref="B25:F25" si="22">L69</f>
        <v>610.519226</v>
      </c>
      <c r="C25" s="42">
        <f t="shared" si="22"/>
        <v>568.64782700000001</v>
      </c>
      <c r="D25" s="42">
        <f t="shared" si="22"/>
        <v>537.74438499999997</v>
      </c>
      <c r="E25" s="42">
        <f t="shared" si="22"/>
        <v>552.87109399999997</v>
      </c>
      <c r="F25" s="42">
        <f t="shared" si="22"/>
        <v>502.77056900000002</v>
      </c>
      <c r="G25" s="43">
        <f t="shared" si="1"/>
        <v>554.51062020000006</v>
      </c>
      <c r="H25" s="81">
        <f t="shared" si="2"/>
        <v>23167.506390464921</v>
      </c>
      <c r="I25" s="79">
        <f t="shared" si="3"/>
        <v>6.4002135227368542E-2</v>
      </c>
      <c r="J25" s="79">
        <f t="shared" si="4"/>
        <v>0.11</v>
      </c>
      <c r="K25" s="79">
        <f t="shared" si="5"/>
        <v>0.19431306286097344</v>
      </c>
      <c r="L25" s="42">
        <f>G25/'Clause 6'!$I$11</f>
        <v>554.51062020000006</v>
      </c>
      <c r="M25">
        <f t="shared" si="6"/>
        <v>5</v>
      </c>
      <c r="O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68" t="s">
        <v>157</v>
      </c>
      <c r="B26" s="42">
        <f t="shared" ref="B26:F26" si="23">L70</f>
        <v>471.87539700000002</v>
      </c>
      <c r="C26" s="42">
        <f t="shared" si="23"/>
        <v>432.17236300000002</v>
      </c>
      <c r="D26" s="42">
        <f t="shared" si="23"/>
        <v>413.67672700000003</v>
      </c>
      <c r="E26" s="42">
        <f t="shared" si="23"/>
        <v>428.12792999999999</v>
      </c>
      <c r="F26" s="42">
        <f t="shared" si="23"/>
        <v>375.930725</v>
      </c>
      <c r="G26" s="43">
        <f t="shared" si="1"/>
        <v>424.35662840000003</v>
      </c>
      <c r="H26" s="81">
        <f t="shared" si="2"/>
        <v>17729.660248431701</v>
      </c>
      <c r="I26" s="79">
        <f t="shared" si="3"/>
        <v>7.2956454206185586E-2</v>
      </c>
      <c r="J26" s="79">
        <f t="shared" si="4"/>
        <v>0.11</v>
      </c>
      <c r="K26" s="79">
        <f t="shared" si="5"/>
        <v>0.22609443467809401</v>
      </c>
      <c r="L26" s="42">
        <f>G26/'Clause 6'!$I$11</f>
        <v>424.35662840000003</v>
      </c>
      <c r="M26">
        <f t="shared" si="6"/>
        <v>5</v>
      </c>
      <c r="O26" s="42"/>
    </row>
    <row r="27" spans="1:49" x14ac:dyDescent="0.35">
      <c r="A27" s="68" t="s">
        <v>158</v>
      </c>
      <c r="B27" s="42">
        <f t="shared" ref="B27:F27" si="24">L71</f>
        <v>362.67581200000001</v>
      </c>
      <c r="C27" s="42">
        <f t="shared" si="24"/>
        <v>338.124481</v>
      </c>
      <c r="D27" s="42">
        <f t="shared" si="24"/>
        <v>318.94699100000003</v>
      </c>
      <c r="E27" s="42">
        <f t="shared" si="24"/>
        <v>328.56875600000001</v>
      </c>
      <c r="F27" s="42">
        <f t="shared" si="24"/>
        <v>283.33056599999998</v>
      </c>
      <c r="G27" s="43">
        <f t="shared" si="1"/>
        <v>326.32932120000004</v>
      </c>
      <c r="H27" s="81">
        <f t="shared" si="2"/>
        <v>13634.070041021516</v>
      </c>
      <c r="I27" s="79">
        <f t="shared" si="3"/>
        <v>7.9539640305891515E-2</v>
      </c>
      <c r="J27" s="79">
        <f t="shared" si="4"/>
        <v>0.11</v>
      </c>
      <c r="K27" s="79">
        <f t="shared" si="5"/>
        <v>0.24314470335741323</v>
      </c>
      <c r="L27" s="42">
        <f>G27/'Clause 6'!$I$11</f>
        <v>326.32932120000004</v>
      </c>
      <c r="M27">
        <f t="shared" si="6"/>
        <v>5</v>
      </c>
      <c r="O27" s="42"/>
    </row>
    <row r="28" spans="1:49" x14ac:dyDescent="0.35">
      <c r="A28" s="68" t="s">
        <v>159</v>
      </c>
      <c r="B28" s="42">
        <f t="shared" ref="B28:F28" si="25">L72</f>
        <v>277.287598</v>
      </c>
      <c r="C28" s="42">
        <f t="shared" si="25"/>
        <v>260.81195100000002</v>
      </c>
      <c r="D28" s="42">
        <f t="shared" si="25"/>
        <v>240.123367</v>
      </c>
      <c r="E28" s="42">
        <f t="shared" si="25"/>
        <v>252.192993</v>
      </c>
      <c r="F28" s="42">
        <f t="shared" si="25"/>
        <v>213.43924000000001</v>
      </c>
      <c r="G28" s="43">
        <f t="shared" si="1"/>
        <v>248.77102980000001</v>
      </c>
      <c r="H28" s="81">
        <f t="shared" si="2"/>
        <v>10393.677258291833</v>
      </c>
      <c r="I28" s="79">
        <f t="shared" si="3"/>
        <v>8.6083073164871154E-2</v>
      </c>
      <c r="J28" s="79">
        <f t="shared" si="4"/>
        <v>0.11</v>
      </c>
      <c r="K28" s="79">
        <f t="shared" si="5"/>
        <v>0.25665511796663387</v>
      </c>
      <c r="L28" s="42">
        <f>G28/'Clause 6'!$I$11</f>
        <v>248.77102980000001</v>
      </c>
      <c r="M28">
        <f t="shared" si="6"/>
        <v>5</v>
      </c>
      <c r="O28" s="42"/>
    </row>
    <row r="29" spans="1:49" x14ac:dyDescent="0.35">
      <c r="A29" s="68" t="s">
        <v>160</v>
      </c>
      <c r="B29" s="42">
        <f t="shared" ref="B29:F29" si="26">L73</f>
        <v>211.998276</v>
      </c>
      <c r="C29" s="42">
        <f t="shared" si="26"/>
        <v>201.649002</v>
      </c>
      <c r="D29" s="42">
        <f t="shared" si="26"/>
        <v>181.447495</v>
      </c>
      <c r="E29" s="42">
        <f t="shared" si="26"/>
        <v>192.99884</v>
      </c>
      <c r="F29" s="42">
        <f t="shared" si="26"/>
        <v>157.43202199999999</v>
      </c>
      <c r="G29" s="43">
        <f t="shared" si="1"/>
        <v>189.10512699999998</v>
      </c>
      <c r="H29" s="81">
        <f t="shared" si="2"/>
        <v>7900.8301710470651</v>
      </c>
      <c r="I29" s="79">
        <f t="shared" si="3"/>
        <v>9.916864005134178E-2</v>
      </c>
      <c r="J29" s="79">
        <f t="shared" si="4"/>
        <v>0.113</v>
      </c>
      <c r="K29" s="79">
        <f t="shared" si="5"/>
        <v>0.28854983926480227</v>
      </c>
      <c r="L29" s="42">
        <f>G29/'Clause 6'!$I$11</f>
        <v>189.10512699999998</v>
      </c>
      <c r="M29">
        <f t="shared" si="6"/>
        <v>5</v>
      </c>
      <c r="O29" s="42"/>
    </row>
    <row r="30" spans="1:49" x14ac:dyDescent="0.35">
      <c r="A30" s="68" t="s">
        <v>161</v>
      </c>
      <c r="B30" s="42">
        <f t="shared" ref="B30:F30" si="27">L74</f>
        <v>154.39004499999999</v>
      </c>
      <c r="C30" s="42">
        <f t="shared" si="27"/>
        <v>156.98216199999999</v>
      </c>
      <c r="D30" s="42">
        <f t="shared" si="27"/>
        <v>137.97079500000001</v>
      </c>
      <c r="E30" s="42">
        <f t="shared" si="27"/>
        <v>146.04364000000001</v>
      </c>
      <c r="F30" s="42">
        <f t="shared" si="27"/>
        <v>117.42688</v>
      </c>
      <c r="G30" s="43">
        <f t="shared" si="1"/>
        <v>142.5627044</v>
      </c>
      <c r="H30" s="81">
        <f t="shared" si="2"/>
        <v>5956.2833332889186</v>
      </c>
      <c r="I30" s="79">
        <f t="shared" si="3"/>
        <v>9.9833197949531341E-2</v>
      </c>
      <c r="J30" s="79">
        <f t="shared" si="4"/>
        <v>0.113</v>
      </c>
      <c r="K30" s="79">
        <f t="shared" si="5"/>
        <v>0.27745883586086062</v>
      </c>
      <c r="L30" s="42">
        <f>G30/'Clause 6'!$I$11</f>
        <v>142.5627044</v>
      </c>
      <c r="M30">
        <f t="shared" si="6"/>
        <v>5</v>
      </c>
      <c r="O30" s="42"/>
    </row>
    <row r="31" spans="1:49" x14ac:dyDescent="0.35">
      <c r="A31" s="68" t="s">
        <v>162</v>
      </c>
      <c r="B31" s="42">
        <f t="shared" ref="B31:F31" si="28">L75</f>
        <v>116.752678</v>
      </c>
      <c r="C31" s="42">
        <f t="shared" si="28"/>
        <v>118.915161</v>
      </c>
      <c r="D31" s="42">
        <f t="shared" si="28"/>
        <v>107.925911</v>
      </c>
      <c r="E31" s="42">
        <f t="shared" si="28"/>
        <v>109.915192</v>
      </c>
      <c r="F31" s="42">
        <f t="shared" si="28"/>
        <v>87.893660999999994</v>
      </c>
      <c r="G31" s="43">
        <f t="shared" si="1"/>
        <v>108.2805206</v>
      </c>
      <c r="H31" s="81">
        <f t="shared" si="2"/>
        <v>4523.9704373174573</v>
      </c>
      <c r="I31" s="79">
        <f t="shared" si="3"/>
        <v>0.10144473570460699</v>
      </c>
      <c r="J31" s="79">
        <f t="shared" si="4"/>
        <v>0.11900000000000001</v>
      </c>
      <c r="K31" s="79">
        <f t="shared" si="5"/>
        <v>0.28649197314627617</v>
      </c>
      <c r="L31" s="42">
        <f>G31/'Clause 6'!$I$11</f>
        <v>108.2805206</v>
      </c>
      <c r="M31">
        <f t="shared" si="6"/>
        <v>5</v>
      </c>
      <c r="O31" s="42"/>
    </row>
    <row r="32" spans="1:49" x14ac:dyDescent="0.35">
      <c r="A32" s="68" t="s">
        <v>163</v>
      </c>
      <c r="B32" s="42">
        <f t="shared" ref="B32:F32" si="29">L76</f>
        <v>84.492064999999997</v>
      </c>
      <c r="C32" s="42">
        <f t="shared" si="29"/>
        <v>89.922966000000002</v>
      </c>
      <c r="D32" s="42">
        <f t="shared" si="29"/>
        <v>78.470153999999994</v>
      </c>
      <c r="E32" s="42">
        <f t="shared" si="29"/>
        <v>79.788544000000002</v>
      </c>
      <c r="F32" s="42">
        <f t="shared" si="29"/>
        <v>64.008240000000001</v>
      </c>
      <c r="G32" s="43">
        <f t="shared" si="1"/>
        <v>79.336393799999996</v>
      </c>
      <c r="H32" s="81">
        <f t="shared" si="2"/>
        <v>3314.6820699214109</v>
      </c>
      <c r="I32" s="79">
        <f t="shared" si="3"/>
        <v>0.10909511583649507</v>
      </c>
      <c r="J32" s="79">
        <f t="shared" si="4"/>
        <v>0.11900000000000001</v>
      </c>
      <c r="K32" s="79">
        <f t="shared" si="5"/>
        <v>0.32664360905196582</v>
      </c>
      <c r="L32" s="42">
        <f>G32/'Clause 6'!$I$11</f>
        <v>79.336393799999996</v>
      </c>
      <c r="M32">
        <f t="shared" si="6"/>
        <v>5</v>
      </c>
      <c r="O32" s="42"/>
    </row>
    <row r="33" spans="1:15" x14ac:dyDescent="0.35">
      <c r="A33" s="68" t="s">
        <v>164</v>
      </c>
      <c r="B33" s="42">
        <f t="shared" ref="B33:F33" si="30">L77</f>
        <v>61.064720000000001</v>
      </c>
      <c r="C33" s="42">
        <f t="shared" si="30"/>
        <v>69.298430999999994</v>
      </c>
      <c r="D33" s="42">
        <f t="shared" si="30"/>
        <v>60.678871000000001</v>
      </c>
      <c r="E33" s="42">
        <f t="shared" si="30"/>
        <v>56.016734999999997</v>
      </c>
      <c r="F33" s="42">
        <f t="shared" si="30"/>
        <v>47.064880000000002</v>
      </c>
      <c r="G33" s="43">
        <f t="shared" si="1"/>
        <v>58.824727399999993</v>
      </c>
      <c r="H33" s="81">
        <f t="shared" si="2"/>
        <v>2457.7026991211028</v>
      </c>
      <c r="I33" s="79">
        <f t="shared" si="3"/>
        <v>0.12360343283891964</v>
      </c>
      <c r="J33" s="79">
        <f t="shared" si="4"/>
        <v>0.11900000000000001</v>
      </c>
      <c r="K33" s="79">
        <f t="shared" si="5"/>
        <v>0.37796266948786567</v>
      </c>
      <c r="L33" s="42">
        <f>G33/'Clause 6'!$I$11</f>
        <v>58.824727399999993</v>
      </c>
      <c r="M33">
        <f t="shared" si="6"/>
        <v>5</v>
      </c>
      <c r="O33" s="42"/>
    </row>
    <row r="34" spans="1:15" x14ac:dyDescent="0.35">
      <c r="A34" s="68" t="s">
        <v>165</v>
      </c>
      <c r="B34" s="42">
        <f t="shared" ref="B34:F34" si="31">L78</f>
        <v>46.086582</v>
      </c>
      <c r="C34" s="42">
        <f t="shared" si="31"/>
        <v>51.266697000000001</v>
      </c>
      <c r="D34" s="42">
        <f t="shared" si="31"/>
        <v>42.769767999999999</v>
      </c>
      <c r="E34" s="42">
        <f t="shared" si="31"/>
        <v>41.306457999999999</v>
      </c>
      <c r="F34" s="42">
        <f t="shared" si="31"/>
        <v>32.121780000000001</v>
      </c>
      <c r="G34" s="43">
        <f t="shared" si="1"/>
        <v>42.710256999999999</v>
      </c>
      <c r="H34" s="81">
        <f t="shared" si="2"/>
        <v>1784.4385949344151</v>
      </c>
      <c r="I34" s="79">
        <f t="shared" si="3"/>
        <v>0.14759927768561243</v>
      </c>
      <c r="J34" s="79">
        <f t="shared" si="4"/>
        <v>0.13400000000000001</v>
      </c>
      <c r="K34" s="79">
        <f t="shared" si="5"/>
        <v>0.44825103721572079</v>
      </c>
      <c r="L34" s="42">
        <f>G34/'Clause 6'!$I$11</f>
        <v>42.710256999999999</v>
      </c>
      <c r="M34">
        <f t="shared" si="6"/>
        <v>5</v>
      </c>
      <c r="O34" s="42"/>
    </row>
    <row r="35" spans="1:15" x14ac:dyDescent="0.35">
      <c r="A35" s="68" t="s">
        <v>166</v>
      </c>
      <c r="B35" s="42">
        <f t="shared" ref="B35:F35" si="32">L79</f>
        <v>35.973137000000001</v>
      </c>
      <c r="C35" s="42">
        <f t="shared" si="32"/>
        <v>37.006306000000002</v>
      </c>
      <c r="D35" s="42">
        <f t="shared" si="32"/>
        <v>30.751816000000002</v>
      </c>
      <c r="E35" s="42">
        <f t="shared" si="32"/>
        <v>28.832144</v>
      </c>
      <c r="F35" s="42">
        <f t="shared" si="32"/>
        <v>20.943871999999999</v>
      </c>
      <c r="G35" s="43">
        <f t="shared" si="1"/>
        <v>30.701454999999999</v>
      </c>
      <c r="H35" s="81">
        <f t="shared" si="2"/>
        <v>1282.709706538225</v>
      </c>
      <c r="I35" s="79">
        <f t="shared" si="3"/>
        <v>0.18781732166121251</v>
      </c>
      <c r="J35" s="79">
        <f t="shared" si="4"/>
        <v>0.13400000000000001</v>
      </c>
      <c r="K35" s="79">
        <f t="shared" si="5"/>
        <v>0.5231815234815419</v>
      </c>
      <c r="L35" s="42">
        <f>G35/'Clause 6'!$I$11</f>
        <v>30.701454999999999</v>
      </c>
      <c r="M35">
        <f t="shared" si="6"/>
        <v>5</v>
      </c>
      <c r="O35" s="42"/>
    </row>
    <row r="36" spans="1:15" x14ac:dyDescent="0.35">
      <c r="A36" s="68" t="s">
        <v>167</v>
      </c>
      <c r="B36" s="42">
        <f t="shared" ref="B36:F36" si="33">L80</f>
        <v>25.731674000000002</v>
      </c>
      <c r="C36" s="42">
        <f t="shared" si="33"/>
        <v>25.927983999999999</v>
      </c>
      <c r="D36" s="42">
        <f t="shared" si="33"/>
        <v>21.090326000000001</v>
      </c>
      <c r="E36" s="42">
        <f t="shared" si="33"/>
        <v>19.652930999999999</v>
      </c>
      <c r="F36" s="42">
        <f t="shared" si="33"/>
        <v>14.707775</v>
      </c>
      <c r="G36" s="43">
        <f t="shared" si="1"/>
        <v>21.422137999999997</v>
      </c>
      <c r="H36" s="81">
        <f t="shared" si="2"/>
        <v>895.01896074310991</v>
      </c>
      <c r="I36" s="79">
        <f t="shared" si="3"/>
        <v>0.1949415794356589</v>
      </c>
      <c r="J36" s="79">
        <f t="shared" si="4"/>
        <v>0.156</v>
      </c>
      <c r="K36" s="79">
        <f t="shared" si="5"/>
        <v>0.52376700215450023</v>
      </c>
      <c r="L36" s="42">
        <f>G36/'Clause 6'!$I$11</f>
        <v>21.422137999999997</v>
      </c>
      <c r="M36">
        <f t="shared" si="6"/>
        <v>5</v>
      </c>
      <c r="O36" s="42"/>
    </row>
    <row r="37" spans="1:15" x14ac:dyDescent="0.35">
      <c r="A37" s="68" t="s">
        <v>168</v>
      </c>
      <c r="B37" s="42">
        <f t="shared" ref="B37:F37" si="34">L81</f>
        <v>17.282468999999999</v>
      </c>
      <c r="C37" s="42">
        <f t="shared" si="34"/>
        <v>17.796026000000001</v>
      </c>
      <c r="D37" s="42">
        <f t="shared" si="34"/>
        <v>13.903119999999999</v>
      </c>
      <c r="E37" s="42">
        <f t="shared" si="34"/>
        <v>13.76882</v>
      </c>
      <c r="F37" s="42">
        <f t="shared" si="34"/>
        <v>9.6483000000000008</v>
      </c>
      <c r="G37" s="43">
        <f t="shared" si="1"/>
        <v>14.479747</v>
      </c>
      <c r="H37" s="81">
        <f t="shared" si="2"/>
        <v>604.96520523596507</v>
      </c>
      <c r="I37" s="79">
        <f t="shared" si="3"/>
        <v>0.20260895460121825</v>
      </c>
      <c r="J37" s="79">
        <f t="shared" si="4"/>
        <v>0.156</v>
      </c>
      <c r="K37" s="79">
        <f t="shared" si="5"/>
        <v>0.5626980913409606</v>
      </c>
      <c r="L37" s="42">
        <f>G37/'Clause 6'!$I$11</f>
        <v>14.479747</v>
      </c>
      <c r="M37">
        <f t="shared" si="6"/>
        <v>5</v>
      </c>
    </row>
    <row r="38" spans="1:15" x14ac:dyDescent="0.35">
      <c r="A38" s="68" t="s">
        <v>169</v>
      </c>
      <c r="B38" s="42">
        <f t="shared" ref="B38:F38" si="35">L82</f>
        <v>11.521646</v>
      </c>
      <c r="C38" s="42">
        <f t="shared" si="35"/>
        <v>11.314030000000001</v>
      </c>
      <c r="D38" s="42">
        <f t="shared" si="35"/>
        <v>9.8971359999999997</v>
      </c>
      <c r="E38" s="42">
        <f t="shared" si="35"/>
        <v>10.826764000000001</v>
      </c>
      <c r="F38" s="42">
        <f t="shared" si="35"/>
        <v>6.4714210000000003</v>
      </c>
      <c r="G38" s="43">
        <f t="shared" si="1"/>
        <v>10.006199399999998</v>
      </c>
      <c r="H38" s="81">
        <f t="shared" si="2"/>
        <v>418.05996152094292</v>
      </c>
      <c r="I38" s="79">
        <f t="shared" si="3"/>
        <v>0.18528674444433132</v>
      </c>
      <c r="J38" s="79">
        <f t="shared" si="4"/>
        <v>0.193</v>
      </c>
      <c r="K38" s="79">
        <f t="shared" si="5"/>
        <v>0.50470961032417572</v>
      </c>
      <c r="L38" s="42">
        <f>G38/'Clause 6'!$I$11</f>
        <v>10.006199399999998</v>
      </c>
      <c r="M38">
        <f t="shared" si="6"/>
        <v>5</v>
      </c>
    </row>
    <row r="40" spans="1:15" x14ac:dyDescent="0.35">
      <c r="A40" t="s">
        <v>170</v>
      </c>
    </row>
    <row r="41" spans="1:15" ht="15" x14ac:dyDescent="0.5">
      <c r="A41" s="35"/>
      <c r="B41" s="83" t="s">
        <v>171</v>
      </c>
      <c r="C41" s="35"/>
      <c r="D41" s="84" t="s">
        <v>172</v>
      </c>
      <c r="E41" s="36"/>
      <c r="F41" s="36"/>
      <c r="G41" s="36"/>
      <c r="H41" s="85"/>
    </row>
    <row r="42" spans="1:15" ht="15" x14ac:dyDescent="0.5">
      <c r="A42" s="86" t="s">
        <v>173</v>
      </c>
      <c r="B42" s="87" t="s">
        <v>174</v>
      </c>
      <c r="C42" s="86" t="s">
        <v>175</v>
      </c>
      <c r="D42" s="86" t="s">
        <v>176</v>
      </c>
      <c r="E42" s="87" t="s">
        <v>177</v>
      </c>
      <c r="F42" s="87" t="s">
        <v>178</v>
      </c>
      <c r="G42" s="87" t="s">
        <v>179</v>
      </c>
      <c r="H42" s="88" t="s">
        <v>180</v>
      </c>
    </row>
    <row r="43" spans="1:15" x14ac:dyDescent="0.35">
      <c r="A43" s="38">
        <v>10000</v>
      </c>
      <c r="C43" s="38">
        <v>11</v>
      </c>
      <c r="D43" s="38">
        <v>7.8</v>
      </c>
      <c r="E43">
        <v>5.3</v>
      </c>
      <c r="F43">
        <v>4</v>
      </c>
      <c r="G43">
        <v>2.7</v>
      </c>
      <c r="H43" s="45">
        <v>1.8</v>
      </c>
    </row>
    <row r="44" spans="1:15" x14ac:dyDescent="0.35">
      <c r="A44" s="38">
        <v>5000</v>
      </c>
      <c r="B44">
        <v>10000</v>
      </c>
      <c r="C44" s="38">
        <v>11.3</v>
      </c>
      <c r="D44" s="38">
        <v>7.8</v>
      </c>
      <c r="E44">
        <v>5.3</v>
      </c>
      <c r="F44">
        <v>4</v>
      </c>
      <c r="G44">
        <v>2.7</v>
      </c>
      <c r="H44" s="45">
        <v>1.9</v>
      </c>
    </row>
    <row r="45" spans="1:15" x14ac:dyDescent="0.35">
      <c r="A45" s="38">
        <v>2000</v>
      </c>
      <c r="B45">
        <v>5000</v>
      </c>
      <c r="C45" s="38">
        <v>11.9</v>
      </c>
      <c r="D45" s="38">
        <v>7.9</v>
      </c>
      <c r="E45">
        <v>5.4</v>
      </c>
      <c r="F45">
        <v>4.0999999999999996</v>
      </c>
      <c r="G45">
        <v>2.9</v>
      </c>
      <c r="H45" s="45">
        <v>2.1</v>
      </c>
    </row>
    <row r="46" spans="1:15" x14ac:dyDescent="0.35">
      <c r="A46" s="38">
        <v>1000</v>
      </c>
      <c r="B46">
        <v>2000</v>
      </c>
      <c r="C46" s="38">
        <v>13.4</v>
      </c>
      <c r="D46" s="38">
        <v>8</v>
      </c>
      <c r="E46">
        <v>5.6</v>
      </c>
      <c r="F46">
        <v>4.3</v>
      </c>
      <c r="G46">
        <v>3.1</v>
      </c>
      <c r="H46" s="45">
        <v>2.4</v>
      </c>
    </row>
    <row r="47" spans="1:15" x14ac:dyDescent="0.35">
      <c r="A47" s="38">
        <v>500</v>
      </c>
      <c r="B47">
        <v>1000</v>
      </c>
      <c r="C47" s="38">
        <v>15.6</v>
      </c>
      <c r="D47" s="38">
        <v>8.1999999999999993</v>
      </c>
      <c r="E47">
        <v>5.9</v>
      </c>
      <c r="F47">
        <v>4.7</v>
      </c>
      <c r="G47">
        <v>3.6</v>
      </c>
      <c r="H47" s="45">
        <v>2.9</v>
      </c>
    </row>
    <row r="48" spans="1:15"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x14ac:dyDescent="0.35">
      <c r="A51" s="91">
        <f>'6 - B1'!A51</f>
        <v>0</v>
      </c>
      <c r="B51" s="92" t="str">
        <f>'6 - B1'!B51</f>
        <v>Portion 1</v>
      </c>
      <c r="C51" s="92" t="str">
        <f>'6 - B1'!C51</f>
        <v>Portion 2</v>
      </c>
      <c r="D51" s="92" t="str">
        <f>'6 - B1'!D51</f>
        <v>Portion 3</v>
      </c>
      <c r="E51" s="92" t="str">
        <f>'6 - B1'!E51</f>
        <v>Portion 4</v>
      </c>
      <c r="F51" s="92" t="str">
        <f>'6 - B1'!F51</f>
        <v>Portion 5</v>
      </c>
      <c r="G51" s="92" t="str">
        <f>'6 - B1'!G51</f>
        <v>Portion 1</v>
      </c>
      <c r="H51" s="92" t="str">
        <f>'6 - B1'!H51</f>
        <v>Portion 2</v>
      </c>
      <c r="I51" s="92" t="str">
        <f>'6 - B1'!I51</f>
        <v>Portion 3</v>
      </c>
      <c r="J51" s="92" t="str">
        <f>'6 - B1'!J51</f>
        <v>Portion 4</v>
      </c>
      <c r="K51" s="92" t="str">
        <f>'6 - B1'!K51</f>
        <v>Portion 5</v>
      </c>
      <c r="L51" s="92" t="str">
        <f>'6 - B1'!L51</f>
        <v>Portion 1</v>
      </c>
      <c r="M51" s="92" t="str">
        <f>'6 - B1'!M51</f>
        <v>Portion 2</v>
      </c>
      <c r="N51" s="92" t="str">
        <f>'6 - B1'!N51</f>
        <v>Portion 3</v>
      </c>
      <c r="O51" s="92" t="str">
        <f>'6 - B1'!O51</f>
        <v>Portion 4</v>
      </c>
      <c r="P51" s="92" t="str">
        <f>'6 - B1'!P51</f>
        <v>Portion 5</v>
      </c>
    </row>
    <row r="52" spans="1:16" x14ac:dyDescent="0.35">
      <c r="A52" s="91" t="str">
        <f>'6 - B1'!A52</f>
        <v>NAME\mL</v>
      </c>
      <c r="B52">
        <f>'6 - B1'!B52</f>
        <v>7.8113840000000003</v>
      </c>
      <c r="C52">
        <f>'6 - B1'!C52</f>
        <v>8.4850410000000007</v>
      </c>
      <c r="D52">
        <f>'6 - B1'!D52</f>
        <v>8.487304</v>
      </c>
      <c r="E52">
        <f>'6 - B1'!E52</f>
        <v>8.4974600000000002</v>
      </c>
      <c r="F52">
        <f>'6 - B1'!F52</f>
        <v>8.4989059999999998</v>
      </c>
      <c r="G52">
        <f>'6 - B1'!G52</f>
        <v>7.8113840000000003</v>
      </c>
      <c r="H52">
        <f>'6 - B1'!H52</f>
        <v>8.4850410000000007</v>
      </c>
      <c r="I52">
        <f>'6 - B1'!I52</f>
        <v>8.487304</v>
      </c>
      <c r="J52">
        <f>'6 - B1'!J52</f>
        <v>8.4974600000000002</v>
      </c>
      <c r="K52">
        <f>'6 - B1'!K52</f>
        <v>8.4989059999999998</v>
      </c>
      <c r="L52">
        <f>'6 - B1'!L52</f>
        <v>7.8113840000000003</v>
      </c>
      <c r="M52">
        <f>'6 - B1'!M52</f>
        <v>8.4850410000000007</v>
      </c>
      <c r="N52">
        <f>'6 - B1'!N52</f>
        <v>8.487304</v>
      </c>
      <c r="O52">
        <f>'6 - B1'!O52</f>
        <v>8.4974600000000002</v>
      </c>
      <c r="P52">
        <f>'6 - B1'!P52</f>
        <v>8.4989059999999998</v>
      </c>
    </row>
    <row r="53" spans="1:16" x14ac:dyDescent="0.35">
      <c r="A53" s="91">
        <f>'6 - B1'!A53</f>
        <v>4</v>
      </c>
      <c r="B53">
        <f>'6 - B1'!B53</f>
        <v>12748.444336</v>
      </c>
      <c r="C53">
        <f>'6 - B1'!C53</f>
        <v>12757.982421999999</v>
      </c>
      <c r="D53">
        <f>'6 - B1'!D53</f>
        <v>12023.959961</v>
      </c>
      <c r="E53">
        <f>'6 - B1'!E53</f>
        <v>12393.349609000001</v>
      </c>
      <c r="F53">
        <f>'6 - B1'!F53</f>
        <v>12082.966796999999</v>
      </c>
      <c r="G53">
        <f>'6 - B1'!G53</f>
        <v>12748.444336</v>
      </c>
      <c r="H53">
        <f>'6 - B1'!H53</f>
        <v>12757.982421999999</v>
      </c>
      <c r="I53">
        <f>'6 - B1'!I53</f>
        <v>12023.959961</v>
      </c>
      <c r="J53">
        <f>'6 - B1'!J53</f>
        <v>12393.349609000001</v>
      </c>
      <c r="K53">
        <f>'6 - B1'!K53</f>
        <v>12082.966796999999</v>
      </c>
      <c r="L53">
        <f>'6 - B1'!L53</f>
        <v>12748.444336</v>
      </c>
      <c r="M53">
        <f>'6 - B1'!M53</f>
        <v>12757.982421999999</v>
      </c>
      <c r="N53">
        <f>'6 - B1'!N53</f>
        <v>12023.959961</v>
      </c>
      <c r="O53">
        <f>'6 - B1'!O53</f>
        <v>12393.349609000001</v>
      </c>
      <c r="P53">
        <f>'6 - B1'!P53</f>
        <v>12082.966796999999</v>
      </c>
    </row>
    <row r="54" spans="1:16" x14ac:dyDescent="0.35">
      <c r="A54" s="91">
        <f>'6 - B1'!A54</f>
        <v>5</v>
      </c>
      <c r="B54">
        <f>'6 - B1'!B54</f>
        <v>11296.333008</v>
      </c>
      <c r="C54">
        <f>'6 - B1'!C54</f>
        <v>11251.212890999999</v>
      </c>
      <c r="D54">
        <f>'6 - B1'!D54</f>
        <v>10640.127930000001</v>
      </c>
      <c r="E54">
        <f>'6 - B1'!E54</f>
        <v>10945.741211</v>
      </c>
      <c r="F54">
        <f>'6 - B1'!F54</f>
        <v>10661.842773</v>
      </c>
      <c r="G54">
        <f>'6 - B1'!G54</f>
        <v>11296.333008</v>
      </c>
      <c r="H54">
        <f>'6 - B1'!H54</f>
        <v>11251.212890999999</v>
      </c>
      <c r="I54">
        <f>'6 - B1'!I54</f>
        <v>10640.127930000001</v>
      </c>
      <c r="J54">
        <f>'6 - B1'!J54</f>
        <v>10945.741211</v>
      </c>
      <c r="K54">
        <f>'6 - B1'!K54</f>
        <v>10661.842773</v>
      </c>
      <c r="L54">
        <f>'6 - B1'!L54</f>
        <v>11296.333008</v>
      </c>
      <c r="M54">
        <f>'6 - B1'!M54</f>
        <v>11251.212890999999</v>
      </c>
      <c r="N54">
        <f>'6 - B1'!N54</f>
        <v>10640.127930000001</v>
      </c>
      <c r="O54">
        <f>'6 - B1'!O54</f>
        <v>10945.741211</v>
      </c>
      <c r="P54">
        <f>'6 - B1'!P54</f>
        <v>10661.842773</v>
      </c>
    </row>
    <row r="55" spans="1:16" x14ac:dyDescent="0.35">
      <c r="A55" s="91">
        <f>'6 - B1'!A55</f>
        <v>6</v>
      </c>
      <c r="B55">
        <f>'6 - B1'!B55</f>
        <v>9922.4414059999999</v>
      </c>
      <c r="C55">
        <f>'6 - B1'!C55</f>
        <v>9850.6308590000008</v>
      </c>
      <c r="D55">
        <f>'6 - B1'!D55</f>
        <v>9313.2050780000009</v>
      </c>
      <c r="E55">
        <f>'6 - B1'!E55</f>
        <v>9592.7480469999991</v>
      </c>
      <c r="F55">
        <f>'6 - B1'!F55</f>
        <v>9323.3173829999996</v>
      </c>
      <c r="G55">
        <f>'6 - B1'!G55</f>
        <v>9922.4414059999999</v>
      </c>
      <c r="H55">
        <f>'6 - B1'!H55</f>
        <v>9850.6308590000008</v>
      </c>
      <c r="I55">
        <f>'6 - B1'!I55</f>
        <v>9313.2050780000009</v>
      </c>
      <c r="J55">
        <f>'6 - B1'!J55</f>
        <v>9592.7480469999991</v>
      </c>
      <c r="K55">
        <f>'6 - B1'!K55</f>
        <v>9323.3173829999996</v>
      </c>
      <c r="L55">
        <f>'6 - B1'!L55</f>
        <v>9922.4414059999999</v>
      </c>
      <c r="M55">
        <f>'6 - B1'!M55</f>
        <v>9850.6308590000008</v>
      </c>
      <c r="N55">
        <f>'6 - B1'!N55</f>
        <v>9313.2050780000009</v>
      </c>
      <c r="O55">
        <f>'6 - B1'!O55</f>
        <v>9592.7480469999991</v>
      </c>
      <c r="P55">
        <f>'6 - B1'!P55</f>
        <v>9323.3173829999996</v>
      </c>
    </row>
    <row r="56" spans="1:16" x14ac:dyDescent="0.35">
      <c r="A56" s="91">
        <f>'6 - B1'!A56</f>
        <v>7</v>
      </c>
      <c r="B56">
        <f>'6 - B1'!B56</f>
        <v>8671.9589840000008</v>
      </c>
      <c r="C56">
        <f>'6 - B1'!C56</f>
        <v>8575.4453119999998</v>
      </c>
      <c r="D56">
        <f>'6 - B1'!D56</f>
        <v>8127.3159180000002</v>
      </c>
      <c r="E56">
        <f>'6 - B1'!E56</f>
        <v>8358.9677730000003</v>
      </c>
      <c r="F56">
        <f>'6 - B1'!F56</f>
        <v>8116.9267579999996</v>
      </c>
      <c r="G56">
        <f>'6 - B1'!G56</f>
        <v>8671.9589840000008</v>
      </c>
      <c r="H56">
        <f>'6 - B1'!H56</f>
        <v>8575.4453119999998</v>
      </c>
      <c r="I56">
        <f>'6 - B1'!I56</f>
        <v>8127.3159180000002</v>
      </c>
      <c r="J56">
        <f>'6 - B1'!J56</f>
        <v>8358.9677730000003</v>
      </c>
      <c r="K56">
        <f>'6 - B1'!K56</f>
        <v>8116.9267579999996</v>
      </c>
      <c r="L56">
        <f>'6 - B1'!L56</f>
        <v>8671.9589840000008</v>
      </c>
      <c r="M56">
        <f>'6 - B1'!M56</f>
        <v>8575.4453119999998</v>
      </c>
      <c r="N56">
        <f>'6 - B1'!N56</f>
        <v>8127.3159180000002</v>
      </c>
      <c r="O56">
        <f>'6 - B1'!O56</f>
        <v>8358.9677730000003</v>
      </c>
      <c r="P56">
        <f>'6 - B1'!P56</f>
        <v>8116.9267579999996</v>
      </c>
    </row>
    <row r="57" spans="1:16" x14ac:dyDescent="0.35">
      <c r="A57" s="91">
        <f>'6 - B1'!A57</f>
        <v>8</v>
      </c>
      <c r="B57">
        <f>'6 - B1'!B57</f>
        <v>7569.9770509999998</v>
      </c>
      <c r="C57">
        <f>'6 - B1'!C57</f>
        <v>7458.7739259999998</v>
      </c>
      <c r="D57">
        <f>'6 - B1'!D57</f>
        <v>7061.8422849999997</v>
      </c>
      <c r="E57">
        <f>'6 - B1'!E57</f>
        <v>7278.4101559999999</v>
      </c>
      <c r="F57">
        <f>'6 - B1'!F57</f>
        <v>7044.4360349999997</v>
      </c>
      <c r="G57">
        <f>'6 - B1'!G57</f>
        <v>7569.9770509999998</v>
      </c>
      <c r="H57">
        <f>'6 - B1'!H57</f>
        <v>7458.7739259999998</v>
      </c>
      <c r="I57">
        <f>'6 - B1'!I57</f>
        <v>7061.8422849999997</v>
      </c>
      <c r="J57">
        <f>'6 - B1'!J57</f>
        <v>7278.4101559999999</v>
      </c>
      <c r="K57">
        <f>'6 - B1'!K57</f>
        <v>7044.4360349999997</v>
      </c>
      <c r="L57">
        <f>'6 - B1'!L57</f>
        <v>7569.9770509999998</v>
      </c>
      <c r="M57">
        <f>'6 - B1'!M57</f>
        <v>7458.7739259999998</v>
      </c>
      <c r="N57">
        <f>'6 - B1'!N57</f>
        <v>7061.8422849999997</v>
      </c>
      <c r="O57">
        <f>'6 - B1'!O57</f>
        <v>7278.4101559999999</v>
      </c>
      <c r="P57">
        <f>'6 - B1'!P57</f>
        <v>7044.4360349999997</v>
      </c>
    </row>
    <row r="58" spans="1:16" x14ac:dyDescent="0.35">
      <c r="A58" s="91">
        <f>'6 - B1'!A58</f>
        <v>9</v>
      </c>
      <c r="B58">
        <f>'6 - B1'!B58</f>
        <v>6586.9248049999997</v>
      </c>
      <c r="C58">
        <f>'6 - B1'!C58</f>
        <v>6473.6284180000002</v>
      </c>
      <c r="D58">
        <f>'6 - B1'!D58</f>
        <v>6130.3330079999996</v>
      </c>
      <c r="E58">
        <f>'6 - B1'!E58</f>
        <v>6320.7119140000004</v>
      </c>
      <c r="F58">
        <f>'6 - B1'!F58</f>
        <v>6114.1987300000001</v>
      </c>
      <c r="G58">
        <f>'6 - B1'!G58</f>
        <v>6586.9248049999997</v>
      </c>
      <c r="H58">
        <f>'6 - B1'!H58</f>
        <v>6473.6284180000002</v>
      </c>
      <c r="I58">
        <f>'6 - B1'!I58</f>
        <v>6130.3330079999996</v>
      </c>
      <c r="J58">
        <f>'6 - B1'!J58</f>
        <v>6320.7119140000004</v>
      </c>
      <c r="K58">
        <f>'6 - B1'!K58</f>
        <v>6114.1987300000001</v>
      </c>
      <c r="L58">
        <f>'6 - B1'!L58</f>
        <v>6586.9248049999997</v>
      </c>
      <c r="M58">
        <f>'6 - B1'!M58</f>
        <v>6473.6284180000002</v>
      </c>
      <c r="N58">
        <f>'6 - B1'!N58</f>
        <v>6130.3330079999996</v>
      </c>
      <c r="O58">
        <f>'6 - B1'!O58</f>
        <v>6320.7119140000004</v>
      </c>
      <c r="P58">
        <f>'6 - B1'!P58</f>
        <v>6114.1987300000001</v>
      </c>
    </row>
    <row r="59" spans="1:16" x14ac:dyDescent="0.35">
      <c r="A59" s="91">
        <f>'6 - B1'!A59</f>
        <v>10</v>
      </c>
      <c r="B59">
        <f>'6 - B1'!B59</f>
        <v>5658.7919920000004</v>
      </c>
      <c r="C59">
        <f>'6 - B1'!C59</f>
        <v>5542.578125</v>
      </c>
      <c r="D59">
        <f>'6 - B1'!D59</f>
        <v>5241.3583980000003</v>
      </c>
      <c r="E59">
        <f>'6 - B1'!E59</f>
        <v>5390.3164059999999</v>
      </c>
      <c r="F59">
        <f>'6 - B1'!F59</f>
        <v>5217.0244140000004</v>
      </c>
      <c r="G59">
        <f>'6 - B1'!G59</f>
        <v>5658.7919920000004</v>
      </c>
      <c r="H59">
        <f>'6 - B1'!H59</f>
        <v>5542.578125</v>
      </c>
      <c r="I59">
        <f>'6 - B1'!I59</f>
        <v>5241.3583980000003</v>
      </c>
      <c r="J59">
        <f>'6 - B1'!J59</f>
        <v>5390.3164059999999</v>
      </c>
      <c r="K59">
        <f>'6 - B1'!K59</f>
        <v>5217.0244140000004</v>
      </c>
      <c r="L59">
        <f>'6 - B1'!L59</f>
        <v>5658.7919920000004</v>
      </c>
      <c r="M59">
        <f>'6 - B1'!M59</f>
        <v>5542.578125</v>
      </c>
      <c r="N59">
        <f>'6 - B1'!N59</f>
        <v>5241.3583980000003</v>
      </c>
      <c r="O59">
        <f>'6 - B1'!O59</f>
        <v>5390.3164059999999</v>
      </c>
      <c r="P59">
        <f>'6 - B1'!P59</f>
        <v>5217.0244140000004</v>
      </c>
    </row>
    <row r="60" spans="1:16" x14ac:dyDescent="0.35">
      <c r="A60" s="91">
        <f>'6 - B1'!A60</f>
        <v>11</v>
      </c>
      <c r="B60">
        <f>'6 - B1'!B60</f>
        <v>4823.6010740000002</v>
      </c>
      <c r="C60">
        <f>'6 - B1'!C60</f>
        <v>4705.1040039999998</v>
      </c>
      <c r="D60">
        <f>'6 - B1'!D60</f>
        <v>4447.1132809999999</v>
      </c>
      <c r="E60">
        <f>'6 - B1'!E60</f>
        <v>4590.4301759999998</v>
      </c>
      <c r="F60">
        <f>'6 - B1'!F60</f>
        <v>4430.5703119999998</v>
      </c>
      <c r="G60">
        <f>'6 - B1'!G60</f>
        <v>4823.6010740000002</v>
      </c>
      <c r="H60">
        <f>'6 - B1'!H60</f>
        <v>4705.1040039999998</v>
      </c>
      <c r="I60">
        <f>'6 - B1'!I60</f>
        <v>4447.1132809999999</v>
      </c>
      <c r="J60">
        <f>'6 - B1'!J60</f>
        <v>4590.4301759999998</v>
      </c>
      <c r="K60">
        <f>'6 - B1'!K60</f>
        <v>4430.5703119999998</v>
      </c>
      <c r="L60">
        <f>'6 - B1'!L60</f>
        <v>4823.6010740000002</v>
      </c>
      <c r="M60">
        <f>'6 - B1'!M60</f>
        <v>4705.1040039999998</v>
      </c>
      <c r="N60">
        <f>'6 - B1'!N60</f>
        <v>4447.1132809999999</v>
      </c>
      <c r="O60">
        <f>'6 - B1'!O60</f>
        <v>4590.4301759999998</v>
      </c>
      <c r="P60">
        <f>'6 - B1'!P60</f>
        <v>4430.5703119999998</v>
      </c>
    </row>
    <row r="61" spans="1:16" x14ac:dyDescent="0.35">
      <c r="A61" s="91">
        <f>'6 - B1'!A61</f>
        <v>12</v>
      </c>
      <c r="B61">
        <f>'6 - B1'!B61</f>
        <v>4052.2907709999999</v>
      </c>
      <c r="C61">
        <f>'6 - B1'!C61</f>
        <v>3942.4677729999999</v>
      </c>
      <c r="D61">
        <f>'6 - B1'!D61</f>
        <v>3703.1784670000002</v>
      </c>
      <c r="E61">
        <f>'6 - B1'!E61</f>
        <v>3827.2612300000001</v>
      </c>
      <c r="F61">
        <f>'6 - B1'!F61</f>
        <v>3675.7670899999998</v>
      </c>
      <c r="G61">
        <f>'6 - B1'!G61</f>
        <v>4052.2907709999999</v>
      </c>
      <c r="H61">
        <f>'6 - B1'!H61</f>
        <v>3942.4677729999999</v>
      </c>
      <c r="I61">
        <f>'6 - B1'!I61</f>
        <v>3703.1784670000002</v>
      </c>
      <c r="J61">
        <f>'6 - B1'!J61</f>
        <v>3827.2612300000001</v>
      </c>
      <c r="K61">
        <f>'6 - B1'!K61</f>
        <v>3675.7670899999998</v>
      </c>
      <c r="L61">
        <f>'6 - B1'!L61</f>
        <v>4052.2907709999999</v>
      </c>
      <c r="M61">
        <f>'6 - B1'!M61</f>
        <v>3942.4677729999999</v>
      </c>
      <c r="N61">
        <f>'6 - B1'!N61</f>
        <v>3703.1784670000002</v>
      </c>
      <c r="O61">
        <f>'6 - B1'!O61</f>
        <v>3827.2612300000001</v>
      </c>
      <c r="P61">
        <f>'6 - B1'!P61</f>
        <v>3675.7670899999998</v>
      </c>
    </row>
    <row r="62" spans="1:16" x14ac:dyDescent="0.35">
      <c r="A62" s="91">
        <f>'6 - B1'!A62</f>
        <v>13</v>
      </c>
      <c r="B62">
        <f>'6 - B1'!B62</f>
        <v>3367.008789</v>
      </c>
      <c r="C62">
        <f>'6 - B1'!C62</f>
        <v>3259.1477049999999</v>
      </c>
      <c r="D62">
        <f>'6 - B1'!D62</f>
        <v>3081.5439449999999</v>
      </c>
      <c r="E62">
        <f>'6 - B1'!E62</f>
        <v>3162.474365</v>
      </c>
      <c r="F62">
        <f>'6 - B1'!F62</f>
        <v>3043.8034670000002</v>
      </c>
      <c r="G62">
        <f>'6 - B1'!G62</f>
        <v>3367.008789</v>
      </c>
      <c r="H62">
        <f>'6 - B1'!H62</f>
        <v>3259.1477049999999</v>
      </c>
      <c r="I62">
        <f>'6 - B1'!I62</f>
        <v>3081.5439449999999</v>
      </c>
      <c r="J62">
        <f>'6 - B1'!J62</f>
        <v>3162.474365</v>
      </c>
      <c r="K62">
        <f>'6 - B1'!K62</f>
        <v>3043.8034670000002</v>
      </c>
      <c r="L62">
        <f>'6 - B1'!L62</f>
        <v>3367.008789</v>
      </c>
      <c r="M62">
        <f>'6 - B1'!M62</f>
        <v>3259.1477049999999</v>
      </c>
      <c r="N62">
        <f>'6 - B1'!N62</f>
        <v>3081.5439449999999</v>
      </c>
      <c r="O62">
        <f>'6 - B1'!O62</f>
        <v>3162.474365</v>
      </c>
      <c r="P62">
        <f>'6 - B1'!P62</f>
        <v>3043.8034670000002</v>
      </c>
    </row>
    <row r="63" spans="1:16" x14ac:dyDescent="0.35">
      <c r="A63" s="91">
        <f>'6 - B1'!A63</f>
        <v>14</v>
      </c>
      <c r="B63">
        <f>'6 - B1'!B63</f>
        <v>2748.0405270000001</v>
      </c>
      <c r="C63">
        <f>'6 - B1'!C63</f>
        <v>2656.9111330000001</v>
      </c>
      <c r="D63">
        <f>'6 - B1'!D63</f>
        <v>2502.679443</v>
      </c>
      <c r="E63">
        <f>'6 - B1'!E63</f>
        <v>2571.0034179999998</v>
      </c>
      <c r="F63">
        <f>'6 - B1'!F63</f>
        <v>2473.4948730000001</v>
      </c>
      <c r="G63">
        <f>'6 - B1'!G63</f>
        <v>2748.0405270000001</v>
      </c>
      <c r="H63">
        <f>'6 - B1'!H63</f>
        <v>2656.9111330000001</v>
      </c>
      <c r="I63">
        <f>'6 - B1'!I63</f>
        <v>2502.679443</v>
      </c>
      <c r="J63">
        <f>'6 - B1'!J63</f>
        <v>2571.0034179999998</v>
      </c>
      <c r="K63">
        <f>'6 - B1'!K63</f>
        <v>2473.4948730000001</v>
      </c>
      <c r="L63">
        <f>'6 - B1'!L63</f>
        <v>2748.0405270000001</v>
      </c>
      <c r="M63">
        <f>'6 - B1'!M63</f>
        <v>2656.9111330000001</v>
      </c>
      <c r="N63">
        <f>'6 - B1'!N63</f>
        <v>2502.679443</v>
      </c>
      <c r="O63">
        <f>'6 - B1'!O63</f>
        <v>2571.0034179999998</v>
      </c>
      <c r="P63">
        <f>'6 - B1'!P63</f>
        <v>2473.4948730000001</v>
      </c>
    </row>
    <row r="64" spans="1:16" x14ac:dyDescent="0.35">
      <c r="A64" s="91">
        <f>'6 - B1'!A64</f>
        <v>15</v>
      </c>
      <c r="B64">
        <f>'6 - B1'!B64</f>
        <v>2193.0812989999999</v>
      </c>
      <c r="C64">
        <f>'6 - B1'!C64</f>
        <v>2112.6591800000001</v>
      </c>
      <c r="D64">
        <f>'6 - B1'!D64</f>
        <v>1992.976807</v>
      </c>
      <c r="E64">
        <f>'6 - B1'!E64</f>
        <v>2039.6682129999999</v>
      </c>
      <c r="F64">
        <f>'6 - B1'!F64</f>
        <v>1945.3092039999999</v>
      </c>
      <c r="G64">
        <f>'6 - B1'!G64</f>
        <v>2193.0812989999999</v>
      </c>
      <c r="H64">
        <f>'6 - B1'!H64</f>
        <v>2112.6591800000001</v>
      </c>
      <c r="I64">
        <f>'6 - B1'!I64</f>
        <v>1992.976807</v>
      </c>
      <c r="J64">
        <f>'6 - B1'!J64</f>
        <v>2039.6682129999999</v>
      </c>
      <c r="K64">
        <f>'6 - B1'!K64</f>
        <v>1945.3092039999999</v>
      </c>
      <c r="L64">
        <f>'6 - B1'!L64</f>
        <v>2193.0812989999999</v>
      </c>
      <c r="M64">
        <f>'6 - B1'!M64</f>
        <v>2112.6591800000001</v>
      </c>
      <c r="N64">
        <f>'6 - B1'!N64</f>
        <v>1992.976807</v>
      </c>
      <c r="O64">
        <f>'6 - B1'!O64</f>
        <v>2039.6682129999999</v>
      </c>
      <c r="P64">
        <f>'6 - B1'!P64</f>
        <v>1945.3092039999999</v>
      </c>
    </row>
    <row r="65" spans="1:16" x14ac:dyDescent="0.35">
      <c r="A65" s="91">
        <f>'6 - B1'!A65</f>
        <v>16</v>
      </c>
      <c r="B65">
        <f>'6 - B1'!B65</f>
        <v>1726.4545900000001</v>
      </c>
      <c r="C65">
        <f>'6 - B1'!C65</f>
        <v>1663.1623540000001</v>
      </c>
      <c r="D65">
        <f>'6 - B1'!D65</f>
        <v>1566.221802</v>
      </c>
      <c r="E65">
        <f>'6 - B1'!E65</f>
        <v>1610.1281739999999</v>
      </c>
      <c r="F65">
        <f>'6 - B1'!F65</f>
        <v>1525.2551269999999</v>
      </c>
      <c r="G65">
        <f>'6 - B1'!G65</f>
        <v>1726.4545900000001</v>
      </c>
      <c r="H65">
        <f>'6 - B1'!H65</f>
        <v>1663.1623540000001</v>
      </c>
      <c r="I65">
        <f>'6 - B1'!I65</f>
        <v>1566.221802</v>
      </c>
      <c r="J65">
        <f>'6 - B1'!J65</f>
        <v>1610.1281739999999</v>
      </c>
      <c r="K65">
        <f>'6 - B1'!K65</f>
        <v>1525.2551269999999</v>
      </c>
      <c r="L65">
        <f>'6 - B1'!L65</f>
        <v>1726.4545900000001</v>
      </c>
      <c r="M65">
        <f>'6 - B1'!M65</f>
        <v>1663.1623540000001</v>
      </c>
      <c r="N65">
        <f>'6 - B1'!N65</f>
        <v>1566.221802</v>
      </c>
      <c r="O65">
        <f>'6 - B1'!O65</f>
        <v>1610.1281739999999</v>
      </c>
      <c r="P65">
        <f>'6 - B1'!P65</f>
        <v>1525.2551269999999</v>
      </c>
    </row>
    <row r="66" spans="1:16" x14ac:dyDescent="0.35">
      <c r="A66" s="91">
        <f>'6 - B1'!A66</f>
        <v>17</v>
      </c>
      <c r="B66">
        <f>'6 - B1'!B66</f>
        <v>1346.1123050000001</v>
      </c>
      <c r="C66">
        <f>'6 - B1'!C66</f>
        <v>1285.7923579999999</v>
      </c>
      <c r="D66">
        <f>'6 - B1'!D66</f>
        <v>1210.9853519999999</v>
      </c>
      <c r="E66">
        <f>'6 - B1'!E66</f>
        <v>1246.7254640000001</v>
      </c>
      <c r="F66">
        <f>'6 - B1'!F66</f>
        <v>1162.9731449999999</v>
      </c>
      <c r="G66">
        <f>'6 - B1'!G66</f>
        <v>1346.1123050000001</v>
      </c>
      <c r="H66">
        <f>'6 - B1'!H66</f>
        <v>1285.7923579999999</v>
      </c>
      <c r="I66">
        <f>'6 - B1'!I66</f>
        <v>1210.9853519999999</v>
      </c>
      <c r="J66">
        <f>'6 - B1'!J66</f>
        <v>1246.7254640000001</v>
      </c>
      <c r="K66">
        <f>'6 - B1'!K66</f>
        <v>1162.9731449999999</v>
      </c>
      <c r="L66">
        <f>'6 - B1'!L66</f>
        <v>1346.1123050000001</v>
      </c>
      <c r="M66">
        <f>'6 - B1'!M66</f>
        <v>1285.7923579999999</v>
      </c>
      <c r="N66">
        <f>'6 - B1'!N66</f>
        <v>1210.9853519999999</v>
      </c>
      <c r="O66">
        <f>'6 - B1'!O66</f>
        <v>1246.7254640000001</v>
      </c>
      <c r="P66">
        <f>'6 - B1'!P66</f>
        <v>1162.9731449999999</v>
      </c>
    </row>
    <row r="67" spans="1:16" x14ac:dyDescent="0.35">
      <c r="A67" s="91">
        <f>'6 - B1'!A67</f>
        <v>18</v>
      </c>
      <c r="B67">
        <f>'6 - B1'!B67</f>
        <v>1032.8515620000001</v>
      </c>
      <c r="C67">
        <f>'6 - B1'!C67</f>
        <v>978.30999799999995</v>
      </c>
      <c r="D67">
        <f>'6 - B1'!D67</f>
        <v>925.97131300000001</v>
      </c>
      <c r="E67">
        <f>'6 - B1'!E67</f>
        <v>954.40283199999999</v>
      </c>
      <c r="F67">
        <f>'6 - B1'!F67</f>
        <v>880.58392300000003</v>
      </c>
      <c r="G67">
        <f>'6 - B1'!G67</f>
        <v>1032.8515620000001</v>
      </c>
      <c r="H67">
        <f>'6 - B1'!H67</f>
        <v>978.30999799999995</v>
      </c>
      <c r="I67">
        <f>'6 - B1'!I67</f>
        <v>925.97131300000001</v>
      </c>
      <c r="J67">
        <f>'6 - B1'!J67</f>
        <v>954.40283199999999</v>
      </c>
      <c r="K67">
        <f>'6 - B1'!K67</f>
        <v>880.58392300000003</v>
      </c>
      <c r="L67">
        <f>'6 - B1'!L67</f>
        <v>1032.8515620000001</v>
      </c>
      <c r="M67">
        <f>'6 - B1'!M67</f>
        <v>978.30999799999995</v>
      </c>
      <c r="N67">
        <f>'6 - B1'!N67</f>
        <v>925.97131300000001</v>
      </c>
      <c r="O67">
        <f>'6 - B1'!O67</f>
        <v>954.40283199999999</v>
      </c>
      <c r="P67">
        <f>'6 - B1'!P67</f>
        <v>880.58392300000003</v>
      </c>
    </row>
    <row r="68" spans="1:16" x14ac:dyDescent="0.35">
      <c r="A68" s="91">
        <f>'6 - B1'!A68</f>
        <v>19</v>
      </c>
      <c r="B68">
        <f>'6 - B1'!B68</f>
        <v>797.80993699999999</v>
      </c>
      <c r="C68">
        <f>'6 - B1'!C68</f>
        <v>751.08654799999999</v>
      </c>
      <c r="D68">
        <f>'6 - B1'!D68</f>
        <v>709.76605199999995</v>
      </c>
      <c r="E68">
        <f>'6 - B1'!E68</f>
        <v>727.98223900000005</v>
      </c>
      <c r="F68">
        <f>'6 - B1'!F68</f>
        <v>665.37976100000003</v>
      </c>
      <c r="G68">
        <f>'6 - B1'!G68</f>
        <v>797.80993699999999</v>
      </c>
      <c r="H68">
        <f>'6 - B1'!H68</f>
        <v>751.08654799999999</v>
      </c>
      <c r="I68">
        <f>'6 - B1'!I68</f>
        <v>709.76605199999995</v>
      </c>
      <c r="J68">
        <f>'6 - B1'!J68</f>
        <v>727.98223900000005</v>
      </c>
      <c r="K68">
        <f>'6 - B1'!K68</f>
        <v>665.37976100000003</v>
      </c>
      <c r="L68">
        <f>'6 - B1'!L68</f>
        <v>797.80993699999999</v>
      </c>
      <c r="M68">
        <f>'6 - B1'!M68</f>
        <v>751.08654799999999</v>
      </c>
      <c r="N68">
        <f>'6 - B1'!N68</f>
        <v>709.76605199999995</v>
      </c>
      <c r="O68">
        <f>'6 - B1'!O68</f>
        <v>727.98223900000005</v>
      </c>
      <c r="P68">
        <f>'6 - B1'!P68</f>
        <v>665.37976100000003</v>
      </c>
    </row>
    <row r="69" spans="1:16" x14ac:dyDescent="0.35">
      <c r="A69" s="91">
        <f>'6 - B1'!A69</f>
        <v>20</v>
      </c>
      <c r="B69">
        <f>'6 - B1'!B69</f>
        <v>610.519226</v>
      </c>
      <c r="C69">
        <f>'6 - B1'!C69</f>
        <v>568.64782700000001</v>
      </c>
      <c r="D69">
        <f>'6 - B1'!D69</f>
        <v>537.74438499999997</v>
      </c>
      <c r="E69">
        <f>'6 - B1'!E69</f>
        <v>552.87109399999997</v>
      </c>
      <c r="F69">
        <f>'6 - B1'!F69</f>
        <v>502.77056900000002</v>
      </c>
      <c r="G69">
        <f>'6 - B1'!G69</f>
        <v>610.519226</v>
      </c>
      <c r="H69">
        <f>'6 - B1'!H69</f>
        <v>568.64782700000001</v>
      </c>
      <c r="I69">
        <f>'6 - B1'!I69</f>
        <v>537.74438499999997</v>
      </c>
      <c r="J69">
        <f>'6 - B1'!J69</f>
        <v>552.87109399999997</v>
      </c>
      <c r="K69">
        <f>'6 - B1'!K69</f>
        <v>502.77056900000002</v>
      </c>
      <c r="L69">
        <f>'6 - B1'!L69</f>
        <v>610.519226</v>
      </c>
      <c r="M69">
        <f>'6 - B1'!M69</f>
        <v>568.64782700000001</v>
      </c>
      <c r="N69">
        <f>'6 - B1'!N69</f>
        <v>537.74438499999997</v>
      </c>
      <c r="O69">
        <f>'6 - B1'!O69</f>
        <v>552.87109399999997</v>
      </c>
      <c r="P69">
        <f>'6 - B1'!P69</f>
        <v>502.77056900000002</v>
      </c>
    </row>
    <row r="70" spans="1:16" x14ac:dyDescent="0.35">
      <c r="A70" s="91">
        <f>'6 - B1'!A70</f>
        <v>21</v>
      </c>
      <c r="B70">
        <f>'6 - B1'!B70</f>
        <v>471.87539700000002</v>
      </c>
      <c r="C70">
        <f>'6 - B1'!C70</f>
        <v>432.17236300000002</v>
      </c>
      <c r="D70">
        <f>'6 - B1'!D70</f>
        <v>413.67672700000003</v>
      </c>
      <c r="E70">
        <f>'6 - B1'!E70</f>
        <v>428.12792999999999</v>
      </c>
      <c r="F70">
        <f>'6 - B1'!F70</f>
        <v>375.930725</v>
      </c>
      <c r="G70">
        <f>'6 - B1'!G70</f>
        <v>471.87539700000002</v>
      </c>
      <c r="H70">
        <f>'6 - B1'!H70</f>
        <v>432.17236300000002</v>
      </c>
      <c r="I70">
        <f>'6 - B1'!I70</f>
        <v>413.67672700000003</v>
      </c>
      <c r="J70">
        <f>'6 - B1'!J70</f>
        <v>428.12792999999999</v>
      </c>
      <c r="K70">
        <f>'6 - B1'!K70</f>
        <v>375.930725</v>
      </c>
      <c r="L70">
        <f>'6 - B1'!L70</f>
        <v>471.87539700000002</v>
      </c>
      <c r="M70">
        <f>'6 - B1'!M70</f>
        <v>432.17236300000002</v>
      </c>
      <c r="N70">
        <f>'6 - B1'!N70</f>
        <v>413.67672700000003</v>
      </c>
      <c r="O70">
        <f>'6 - B1'!O70</f>
        <v>428.12792999999999</v>
      </c>
      <c r="P70">
        <f>'6 - B1'!P70</f>
        <v>375.930725</v>
      </c>
    </row>
    <row r="71" spans="1:16" x14ac:dyDescent="0.35">
      <c r="A71" s="91">
        <f>'6 - B1'!A71</f>
        <v>22</v>
      </c>
      <c r="B71">
        <f>'6 - B1'!B71</f>
        <v>362.67581200000001</v>
      </c>
      <c r="C71">
        <f>'6 - B1'!C71</f>
        <v>338.124481</v>
      </c>
      <c r="D71">
        <f>'6 - B1'!D71</f>
        <v>318.94699100000003</v>
      </c>
      <c r="E71">
        <f>'6 - B1'!E71</f>
        <v>328.56875600000001</v>
      </c>
      <c r="F71">
        <f>'6 - B1'!F71</f>
        <v>283.33056599999998</v>
      </c>
      <c r="G71">
        <f>'6 - B1'!G71</f>
        <v>362.67581200000001</v>
      </c>
      <c r="H71">
        <f>'6 - B1'!H71</f>
        <v>338.124481</v>
      </c>
      <c r="I71">
        <f>'6 - B1'!I71</f>
        <v>318.94699100000003</v>
      </c>
      <c r="J71">
        <f>'6 - B1'!J71</f>
        <v>328.56875600000001</v>
      </c>
      <c r="K71">
        <f>'6 - B1'!K71</f>
        <v>283.33056599999998</v>
      </c>
      <c r="L71">
        <f>'6 - B1'!L71</f>
        <v>362.67581200000001</v>
      </c>
      <c r="M71">
        <f>'6 - B1'!M71</f>
        <v>338.124481</v>
      </c>
      <c r="N71">
        <f>'6 - B1'!N71</f>
        <v>318.94699100000003</v>
      </c>
      <c r="O71">
        <f>'6 - B1'!O71</f>
        <v>328.56875600000001</v>
      </c>
      <c r="P71">
        <f>'6 - B1'!P71</f>
        <v>283.33056599999998</v>
      </c>
    </row>
    <row r="72" spans="1:16" x14ac:dyDescent="0.35">
      <c r="A72" s="91">
        <f>'6 - B1'!A72</f>
        <v>23</v>
      </c>
      <c r="B72">
        <f>'6 - B1'!B72</f>
        <v>277.287598</v>
      </c>
      <c r="C72">
        <f>'6 - B1'!C72</f>
        <v>260.81195100000002</v>
      </c>
      <c r="D72">
        <f>'6 - B1'!D72</f>
        <v>240.123367</v>
      </c>
      <c r="E72">
        <f>'6 - B1'!E72</f>
        <v>252.192993</v>
      </c>
      <c r="F72">
        <f>'6 - B1'!F72</f>
        <v>213.43924000000001</v>
      </c>
      <c r="G72">
        <f>'6 - B1'!G72</f>
        <v>277.287598</v>
      </c>
      <c r="H72">
        <f>'6 - B1'!H72</f>
        <v>260.81195100000002</v>
      </c>
      <c r="I72">
        <f>'6 - B1'!I72</f>
        <v>240.123367</v>
      </c>
      <c r="J72">
        <f>'6 - B1'!J72</f>
        <v>252.192993</v>
      </c>
      <c r="K72">
        <f>'6 - B1'!K72</f>
        <v>213.43924000000001</v>
      </c>
      <c r="L72">
        <f>'6 - B1'!L72</f>
        <v>277.287598</v>
      </c>
      <c r="M72">
        <f>'6 - B1'!M72</f>
        <v>260.81195100000002</v>
      </c>
      <c r="N72">
        <f>'6 - B1'!N72</f>
        <v>240.123367</v>
      </c>
      <c r="O72">
        <f>'6 - B1'!O72</f>
        <v>252.192993</v>
      </c>
      <c r="P72">
        <f>'6 - B1'!P72</f>
        <v>213.43924000000001</v>
      </c>
    </row>
    <row r="73" spans="1:16" x14ac:dyDescent="0.35">
      <c r="A73" s="91">
        <f>'6 - B1'!A73</f>
        <v>24</v>
      </c>
      <c r="B73">
        <f>'6 - B1'!B73</f>
        <v>211.998276</v>
      </c>
      <c r="C73">
        <f>'6 - B1'!C73</f>
        <v>201.649002</v>
      </c>
      <c r="D73">
        <f>'6 - B1'!D73</f>
        <v>181.447495</v>
      </c>
      <c r="E73">
        <f>'6 - B1'!E73</f>
        <v>192.99884</v>
      </c>
      <c r="F73">
        <f>'6 - B1'!F73</f>
        <v>157.43202199999999</v>
      </c>
      <c r="G73">
        <f>'6 - B1'!G73</f>
        <v>211.998276</v>
      </c>
      <c r="H73">
        <f>'6 - B1'!H73</f>
        <v>201.649002</v>
      </c>
      <c r="I73">
        <f>'6 - B1'!I73</f>
        <v>181.447495</v>
      </c>
      <c r="J73">
        <f>'6 - B1'!J73</f>
        <v>192.99884</v>
      </c>
      <c r="K73">
        <f>'6 - B1'!K73</f>
        <v>157.43202199999999</v>
      </c>
      <c r="L73">
        <f>'6 - B1'!L73</f>
        <v>211.998276</v>
      </c>
      <c r="M73">
        <f>'6 - B1'!M73</f>
        <v>201.649002</v>
      </c>
      <c r="N73">
        <f>'6 - B1'!N73</f>
        <v>181.447495</v>
      </c>
      <c r="O73">
        <f>'6 - B1'!O73</f>
        <v>192.99884</v>
      </c>
      <c r="P73">
        <f>'6 - B1'!P73</f>
        <v>157.43202199999999</v>
      </c>
    </row>
    <row r="74" spans="1:16" x14ac:dyDescent="0.35">
      <c r="A74" s="91">
        <f>'6 - B1'!A74</f>
        <v>25</v>
      </c>
      <c r="B74">
        <f>'6 - B1'!B74</f>
        <v>154.39004499999999</v>
      </c>
      <c r="C74">
        <f>'6 - B1'!C74</f>
        <v>156.98216199999999</v>
      </c>
      <c r="D74">
        <f>'6 - B1'!D74</f>
        <v>137.97079500000001</v>
      </c>
      <c r="E74">
        <f>'6 - B1'!E74</f>
        <v>146.04364000000001</v>
      </c>
      <c r="F74">
        <f>'6 - B1'!F74</f>
        <v>117.42688</v>
      </c>
      <c r="G74">
        <f>'6 - B1'!G74</f>
        <v>154.39004499999999</v>
      </c>
      <c r="H74">
        <f>'6 - B1'!H74</f>
        <v>156.98216199999999</v>
      </c>
      <c r="I74">
        <f>'6 - B1'!I74</f>
        <v>137.97079500000001</v>
      </c>
      <c r="J74">
        <f>'6 - B1'!J74</f>
        <v>146.04364000000001</v>
      </c>
      <c r="K74">
        <f>'6 - B1'!K74</f>
        <v>117.42688</v>
      </c>
      <c r="L74">
        <f>'6 - B1'!L74</f>
        <v>154.39004499999999</v>
      </c>
      <c r="M74">
        <f>'6 - B1'!M74</f>
        <v>156.98216199999999</v>
      </c>
      <c r="N74">
        <f>'6 - B1'!N74</f>
        <v>137.97079500000001</v>
      </c>
      <c r="O74">
        <f>'6 - B1'!O74</f>
        <v>146.04364000000001</v>
      </c>
      <c r="P74">
        <f>'6 - B1'!P74</f>
        <v>117.42688</v>
      </c>
    </row>
    <row r="75" spans="1:16" x14ac:dyDescent="0.35">
      <c r="A75" s="91">
        <f>'6 - B1'!A75</f>
        <v>26</v>
      </c>
      <c r="B75">
        <f>'6 - B1'!B75</f>
        <v>116.752678</v>
      </c>
      <c r="C75">
        <f>'6 - B1'!C75</f>
        <v>118.915161</v>
      </c>
      <c r="D75">
        <f>'6 - B1'!D75</f>
        <v>107.925911</v>
      </c>
      <c r="E75">
        <f>'6 - B1'!E75</f>
        <v>109.915192</v>
      </c>
      <c r="F75">
        <f>'6 - B1'!F75</f>
        <v>87.893660999999994</v>
      </c>
      <c r="G75">
        <f>'6 - B1'!G75</f>
        <v>116.752678</v>
      </c>
      <c r="H75">
        <f>'6 - B1'!H75</f>
        <v>118.915161</v>
      </c>
      <c r="I75">
        <f>'6 - B1'!I75</f>
        <v>107.925911</v>
      </c>
      <c r="J75">
        <f>'6 - B1'!J75</f>
        <v>109.915192</v>
      </c>
      <c r="K75">
        <f>'6 - B1'!K75</f>
        <v>87.893660999999994</v>
      </c>
      <c r="L75">
        <f>'6 - B1'!L75</f>
        <v>116.752678</v>
      </c>
      <c r="M75">
        <f>'6 - B1'!M75</f>
        <v>118.915161</v>
      </c>
      <c r="N75">
        <f>'6 - B1'!N75</f>
        <v>107.925911</v>
      </c>
      <c r="O75">
        <f>'6 - B1'!O75</f>
        <v>109.915192</v>
      </c>
      <c r="P75">
        <f>'6 - B1'!P75</f>
        <v>87.893660999999994</v>
      </c>
    </row>
    <row r="76" spans="1:16" x14ac:dyDescent="0.35">
      <c r="A76" s="91">
        <f>'6 - B1'!A76</f>
        <v>27</v>
      </c>
      <c r="B76">
        <f>'6 - B1'!B76</f>
        <v>84.492064999999997</v>
      </c>
      <c r="C76">
        <f>'6 - B1'!C76</f>
        <v>89.922966000000002</v>
      </c>
      <c r="D76">
        <f>'6 - B1'!D76</f>
        <v>78.470153999999994</v>
      </c>
      <c r="E76">
        <f>'6 - B1'!E76</f>
        <v>79.788544000000002</v>
      </c>
      <c r="F76">
        <f>'6 - B1'!F76</f>
        <v>64.008240000000001</v>
      </c>
      <c r="G76">
        <f>'6 - B1'!G76</f>
        <v>84.492064999999997</v>
      </c>
      <c r="H76">
        <f>'6 - B1'!H76</f>
        <v>89.922966000000002</v>
      </c>
      <c r="I76">
        <f>'6 - B1'!I76</f>
        <v>78.470153999999994</v>
      </c>
      <c r="J76">
        <f>'6 - B1'!J76</f>
        <v>79.788544000000002</v>
      </c>
      <c r="K76">
        <f>'6 - B1'!K76</f>
        <v>64.008240000000001</v>
      </c>
      <c r="L76">
        <f>'6 - B1'!L76</f>
        <v>84.492064999999997</v>
      </c>
      <c r="M76">
        <f>'6 - B1'!M76</f>
        <v>89.922966000000002</v>
      </c>
      <c r="N76">
        <f>'6 - B1'!N76</f>
        <v>78.470153999999994</v>
      </c>
      <c r="O76">
        <f>'6 - B1'!O76</f>
        <v>79.788544000000002</v>
      </c>
      <c r="P76">
        <f>'6 - B1'!P76</f>
        <v>64.008240000000001</v>
      </c>
    </row>
    <row r="77" spans="1:16" x14ac:dyDescent="0.35">
      <c r="A77" s="91">
        <f>'6 - B1'!A77</f>
        <v>28</v>
      </c>
      <c r="B77">
        <f>'6 - B1'!B77</f>
        <v>61.064720000000001</v>
      </c>
      <c r="C77">
        <f>'6 - B1'!C77</f>
        <v>69.298430999999994</v>
      </c>
      <c r="D77">
        <f>'6 - B1'!D77</f>
        <v>60.678871000000001</v>
      </c>
      <c r="E77">
        <f>'6 - B1'!E77</f>
        <v>56.016734999999997</v>
      </c>
      <c r="F77">
        <f>'6 - B1'!F77</f>
        <v>47.064880000000002</v>
      </c>
      <c r="G77">
        <f>'6 - B1'!G77</f>
        <v>61.064720000000001</v>
      </c>
      <c r="H77">
        <f>'6 - B1'!H77</f>
        <v>69.298430999999994</v>
      </c>
      <c r="I77">
        <f>'6 - B1'!I77</f>
        <v>60.678871000000001</v>
      </c>
      <c r="J77">
        <f>'6 - B1'!J77</f>
        <v>56.016734999999997</v>
      </c>
      <c r="K77">
        <f>'6 - B1'!K77</f>
        <v>47.064880000000002</v>
      </c>
      <c r="L77">
        <f>'6 - B1'!L77</f>
        <v>61.064720000000001</v>
      </c>
      <c r="M77">
        <f>'6 - B1'!M77</f>
        <v>69.298430999999994</v>
      </c>
      <c r="N77">
        <f>'6 - B1'!N77</f>
        <v>60.678871000000001</v>
      </c>
      <c r="O77">
        <f>'6 - B1'!O77</f>
        <v>56.016734999999997</v>
      </c>
      <c r="P77">
        <f>'6 - B1'!P77</f>
        <v>47.064880000000002</v>
      </c>
    </row>
    <row r="78" spans="1:16" x14ac:dyDescent="0.35">
      <c r="A78" s="91">
        <f>'6 - B1'!A78</f>
        <v>29</v>
      </c>
      <c r="B78">
        <f>'6 - B1'!B78</f>
        <v>46.086582</v>
      </c>
      <c r="C78">
        <f>'6 - B1'!C78</f>
        <v>51.266697000000001</v>
      </c>
      <c r="D78">
        <f>'6 - B1'!D78</f>
        <v>42.769767999999999</v>
      </c>
      <c r="E78">
        <f>'6 - B1'!E78</f>
        <v>41.306457999999999</v>
      </c>
      <c r="F78">
        <f>'6 - B1'!F78</f>
        <v>32.121780000000001</v>
      </c>
      <c r="G78">
        <f>'6 - B1'!G78</f>
        <v>46.086582</v>
      </c>
      <c r="H78">
        <f>'6 - B1'!H78</f>
        <v>51.266697000000001</v>
      </c>
      <c r="I78">
        <f>'6 - B1'!I78</f>
        <v>42.769767999999999</v>
      </c>
      <c r="J78">
        <f>'6 - B1'!J78</f>
        <v>41.306457999999999</v>
      </c>
      <c r="K78">
        <f>'6 - B1'!K78</f>
        <v>32.121780000000001</v>
      </c>
      <c r="L78">
        <f>'6 - B1'!L78</f>
        <v>46.086582</v>
      </c>
      <c r="M78">
        <f>'6 - B1'!M78</f>
        <v>51.266697000000001</v>
      </c>
      <c r="N78">
        <f>'6 - B1'!N78</f>
        <v>42.769767999999999</v>
      </c>
      <c r="O78">
        <f>'6 - B1'!O78</f>
        <v>41.306457999999999</v>
      </c>
      <c r="P78">
        <f>'6 - B1'!P78</f>
        <v>32.121780000000001</v>
      </c>
    </row>
    <row r="79" spans="1:16" x14ac:dyDescent="0.35">
      <c r="A79" s="91">
        <f>'6 - B1'!A79</f>
        <v>30</v>
      </c>
      <c r="B79">
        <f>'6 - B1'!B79</f>
        <v>35.973137000000001</v>
      </c>
      <c r="C79">
        <f>'6 - B1'!C79</f>
        <v>37.006306000000002</v>
      </c>
      <c r="D79">
        <f>'6 - B1'!D79</f>
        <v>30.751816000000002</v>
      </c>
      <c r="E79">
        <f>'6 - B1'!E79</f>
        <v>28.832144</v>
      </c>
      <c r="F79">
        <f>'6 - B1'!F79</f>
        <v>20.943871999999999</v>
      </c>
      <c r="G79">
        <f>'6 - B1'!G79</f>
        <v>35.973137000000001</v>
      </c>
      <c r="H79">
        <f>'6 - B1'!H79</f>
        <v>37.006306000000002</v>
      </c>
      <c r="I79">
        <f>'6 - B1'!I79</f>
        <v>30.751816000000002</v>
      </c>
      <c r="J79">
        <f>'6 - B1'!J79</f>
        <v>28.832144</v>
      </c>
      <c r="K79">
        <f>'6 - B1'!K79</f>
        <v>20.943871999999999</v>
      </c>
      <c r="L79">
        <f>'6 - B1'!L79</f>
        <v>35.973137000000001</v>
      </c>
      <c r="M79">
        <f>'6 - B1'!M79</f>
        <v>37.006306000000002</v>
      </c>
      <c r="N79">
        <f>'6 - B1'!N79</f>
        <v>30.751816000000002</v>
      </c>
      <c r="O79">
        <f>'6 - B1'!O79</f>
        <v>28.832144</v>
      </c>
      <c r="P79">
        <f>'6 - B1'!P79</f>
        <v>20.943871999999999</v>
      </c>
    </row>
    <row r="80" spans="1:16" x14ac:dyDescent="0.35">
      <c r="A80" s="91">
        <f>'6 - B1'!A80</f>
        <v>38</v>
      </c>
      <c r="B80">
        <f>'6 - B1'!B80</f>
        <v>25.731674000000002</v>
      </c>
      <c r="C80">
        <f>'6 - B1'!C80</f>
        <v>25.927983999999999</v>
      </c>
      <c r="D80">
        <f>'6 - B1'!D80</f>
        <v>21.090326000000001</v>
      </c>
      <c r="E80">
        <f>'6 - B1'!E80</f>
        <v>19.652930999999999</v>
      </c>
      <c r="F80">
        <f>'6 - B1'!F80</f>
        <v>14.707775</v>
      </c>
      <c r="G80">
        <f>'6 - B1'!G80</f>
        <v>25.731674000000002</v>
      </c>
      <c r="H80">
        <f>'6 - B1'!H80</f>
        <v>25.927983999999999</v>
      </c>
      <c r="I80">
        <f>'6 - B1'!I80</f>
        <v>21.090326000000001</v>
      </c>
      <c r="J80">
        <f>'6 - B1'!J80</f>
        <v>19.652930999999999</v>
      </c>
      <c r="K80">
        <f>'6 - B1'!K80</f>
        <v>14.707775</v>
      </c>
      <c r="L80">
        <f>'6 - B1'!L80</f>
        <v>25.731674000000002</v>
      </c>
      <c r="M80">
        <f>'6 - B1'!M80</f>
        <v>25.927983999999999</v>
      </c>
      <c r="N80">
        <f>'6 - B1'!N80</f>
        <v>21.090326000000001</v>
      </c>
      <c r="O80">
        <f>'6 - B1'!O80</f>
        <v>19.652930999999999</v>
      </c>
      <c r="P80">
        <f>'6 - B1'!P80</f>
        <v>14.707775</v>
      </c>
    </row>
    <row r="81" spans="1:16" x14ac:dyDescent="0.35">
      <c r="A81" s="91">
        <f>'6 - B1'!A81</f>
        <v>50</v>
      </c>
      <c r="B81">
        <f>'6 - B1'!B81</f>
        <v>17.282468999999999</v>
      </c>
      <c r="C81">
        <f>'6 - B1'!C81</f>
        <v>17.796026000000001</v>
      </c>
      <c r="D81">
        <f>'6 - B1'!D81</f>
        <v>13.903119999999999</v>
      </c>
      <c r="E81">
        <f>'6 - B1'!E81</f>
        <v>13.76882</v>
      </c>
      <c r="F81">
        <f>'6 - B1'!F81</f>
        <v>9.6483000000000008</v>
      </c>
      <c r="G81">
        <f>'6 - B1'!G81</f>
        <v>17.282468999999999</v>
      </c>
      <c r="H81">
        <f>'6 - B1'!H81</f>
        <v>17.796026000000001</v>
      </c>
      <c r="I81">
        <f>'6 - B1'!I81</f>
        <v>13.903119999999999</v>
      </c>
      <c r="J81">
        <f>'6 - B1'!J81</f>
        <v>13.76882</v>
      </c>
      <c r="K81">
        <f>'6 - B1'!K81</f>
        <v>9.6483000000000008</v>
      </c>
      <c r="L81">
        <f>'6 - B1'!L81</f>
        <v>17.282468999999999</v>
      </c>
      <c r="M81">
        <f>'6 - B1'!M81</f>
        <v>17.796026000000001</v>
      </c>
      <c r="N81">
        <f>'6 - B1'!N81</f>
        <v>13.903119999999999</v>
      </c>
      <c r="O81">
        <f>'6 - B1'!O81</f>
        <v>13.76882</v>
      </c>
      <c r="P81">
        <f>'6 - B1'!P81</f>
        <v>9.6483000000000008</v>
      </c>
    </row>
    <row r="82" spans="1:16" x14ac:dyDescent="0.35">
      <c r="A82" s="91">
        <f>'6 - B1'!A82</f>
        <v>70</v>
      </c>
      <c r="B82">
        <f>'6 - B1'!B82</f>
        <v>11.521646</v>
      </c>
      <c r="C82">
        <f>'6 - B1'!C82</f>
        <v>11.314030000000001</v>
      </c>
      <c r="D82">
        <f>'6 - B1'!D82</f>
        <v>9.8971359999999997</v>
      </c>
      <c r="E82">
        <f>'6 - B1'!E82</f>
        <v>10.826764000000001</v>
      </c>
      <c r="F82">
        <f>'6 - B1'!F82</f>
        <v>6.4714210000000003</v>
      </c>
      <c r="G82">
        <f>'6 - B1'!G82</f>
        <v>11.521646</v>
      </c>
      <c r="H82">
        <f>'6 - B1'!H82</f>
        <v>11.314030000000001</v>
      </c>
      <c r="I82">
        <f>'6 - B1'!I82</f>
        <v>9.8971359999999997</v>
      </c>
      <c r="J82">
        <f>'6 - B1'!J82</f>
        <v>10.826764000000001</v>
      </c>
      <c r="K82">
        <f>'6 - B1'!K82</f>
        <v>6.4714210000000003</v>
      </c>
      <c r="L82">
        <f>'6 - B1'!L82</f>
        <v>11.521646</v>
      </c>
      <c r="M82">
        <f>'6 - B1'!M82</f>
        <v>11.314030000000001</v>
      </c>
      <c r="N82">
        <f>'6 - B1'!N82</f>
        <v>9.8971359999999997</v>
      </c>
      <c r="O82">
        <f>'6 - B1'!O82</f>
        <v>10.826764000000001</v>
      </c>
      <c r="P82">
        <f>'6 - B1'!P82</f>
        <v>6.4714210000000003</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27" priority="2" operator="greaterThan">
      <formula>1000</formula>
    </cfRule>
  </conditionalFormatting>
  <conditionalFormatting sqref="K9:K40">
    <cfRule type="cellIs" dxfId="26"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N128"/>
  <sheetViews>
    <sheetView zoomScale="85" zoomScaleNormal="85" workbookViewId="0">
      <selection activeCell="F33" sqref="F33"/>
    </sheetView>
  </sheetViews>
  <sheetFormatPr defaultColWidth="11.53125" defaultRowHeight="12.75" x14ac:dyDescent="0.35"/>
  <cols>
    <col min="11" max="11" width="27.6640625" customWidth="1"/>
    <col min="12" max="12" width="15.3984375" customWidth="1"/>
  </cols>
  <sheetData>
    <row r="1" spans="1:16" ht="37.25" customHeight="1" x14ac:dyDescent="0.7">
      <c r="B1" s="217"/>
      <c r="K1" s="262"/>
      <c r="L1" s="262"/>
      <c r="M1" s="262"/>
      <c r="N1" s="262"/>
      <c r="O1" s="262"/>
    </row>
    <row r="2" spans="1:16" ht="52.15" x14ac:dyDescent="0.5">
      <c r="B2" s="218" t="s">
        <v>184</v>
      </c>
      <c r="C2" s="218" t="s">
        <v>185</v>
      </c>
      <c r="D2" s="218" t="s">
        <v>186</v>
      </c>
      <c r="E2" s="218" t="s">
        <v>379</v>
      </c>
      <c r="F2" s="219" t="s">
        <v>187</v>
      </c>
      <c r="G2" s="228" t="s">
        <v>138</v>
      </c>
      <c r="H2" s="229" t="s">
        <v>188</v>
      </c>
      <c r="K2" s="220" t="s">
        <v>189</v>
      </c>
      <c r="L2" s="221" t="s">
        <v>381</v>
      </c>
      <c r="M2" s="221" t="s">
        <v>190</v>
      </c>
      <c r="O2" s="68"/>
      <c r="P2" s="68"/>
    </row>
    <row r="3" spans="1:16" ht="26.25" x14ac:dyDescent="0.45">
      <c r="B3" s="219" t="s">
        <v>192</v>
      </c>
      <c r="C3" s="219" t="s">
        <v>192</v>
      </c>
      <c r="D3" s="219" t="s">
        <v>192</v>
      </c>
      <c r="E3" s="219" t="s">
        <v>192</v>
      </c>
      <c r="F3" s="219"/>
      <c r="G3" s="230" t="s">
        <v>194</v>
      </c>
      <c r="H3" s="230" t="s">
        <v>38</v>
      </c>
      <c r="K3" s="222" t="s">
        <v>195</v>
      </c>
      <c r="L3" s="221" t="str">
        <f>"/ml"</f>
        <v>/ml</v>
      </c>
      <c r="M3" s="221"/>
      <c r="O3" s="94"/>
      <c r="P3" s="216"/>
    </row>
    <row r="4" spans="1:16" ht="13.15" x14ac:dyDescent="0.4">
      <c r="A4">
        <v>30</v>
      </c>
      <c r="B4" s="43">
        <f>'6 - B1'!$L38</f>
        <v>10.006199399999998</v>
      </c>
      <c r="C4" s="43">
        <f>'6 - B2'!$L38</f>
        <v>10.006199399999998</v>
      </c>
      <c r="D4" s="43">
        <f>'6 - B3'!$L38</f>
        <v>10.006199399999998</v>
      </c>
      <c r="E4" s="227">
        <f t="shared" ref="E4:E33" si="0">AVERAGE(B4:D4)</f>
        <v>10.006199399999998</v>
      </c>
      <c r="F4" s="42">
        <f>'Clause 6'!D19</f>
        <v>6000.0000000000146</v>
      </c>
      <c r="G4">
        <f>'6 - B1'!$M38+'6 - B2'!$M38+'6 - B3'!$M38</f>
        <v>15</v>
      </c>
      <c r="H4" s="43">
        <f>STDEVP('6 - B1'!$B38:F38,'6 - B2'!B38:F38,'6 - B3'!B38:F38)/SQRT(G4)</f>
        <v>0.47870490145596445</v>
      </c>
      <c r="K4" s="225">
        <v>4</v>
      </c>
      <c r="L4" s="223">
        <v>10750.3</v>
      </c>
      <c r="M4" s="224">
        <f t="shared" ref="M4:M9" si="1">CubicSpline(L4,$E$4:$E$33,$F$4:$F$33)</f>
        <v>56.373774227433167</v>
      </c>
    </row>
    <row r="5" spans="1:16" ht="13.15" x14ac:dyDescent="0.4">
      <c r="A5">
        <v>29</v>
      </c>
      <c r="B5" s="43">
        <f>'6 - B1'!$L37</f>
        <v>14.479747</v>
      </c>
      <c r="C5" s="43">
        <f>'6 - B2'!$L37</f>
        <v>14.479747</v>
      </c>
      <c r="D5" s="43">
        <f>'6 - B3'!$L37</f>
        <v>14.479747</v>
      </c>
      <c r="E5" s="226">
        <f t="shared" si="0"/>
        <v>14.479746999999998</v>
      </c>
      <c r="F5" s="42">
        <f>'Clause 6'!D20</f>
        <v>5074.2113273781742</v>
      </c>
      <c r="G5">
        <f>'6 - B1'!$M37+'6 - B2'!$M37+'6 - B3'!$M37</f>
        <v>15</v>
      </c>
      <c r="H5" s="43">
        <f>STDEVP('6 - B1'!$B37:F37,'6 - B2'!B37:F37,'6 - B3'!B37:F37)/SQRT(G5)</f>
        <v>0.75748489996295632</v>
      </c>
      <c r="K5" s="225">
        <v>5</v>
      </c>
      <c r="L5" s="223">
        <v>7121.1</v>
      </c>
      <c r="M5" s="224">
        <f t="shared" si="1"/>
        <v>93.378383844046184</v>
      </c>
    </row>
    <row r="6" spans="1:16" ht="13.15" x14ac:dyDescent="0.4">
      <c r="A6">
        <v>28</v>
      </c>
      <c r="B6" s="43">
        <f>'6 - B1'!$L36</f>
        <v>21.422137999999997</v>
      </c>
      <c r="C6" s="43">
        <f>'6 - B2'!$L36</f>
        <v>21.422137999999997</v>
      </c>
      <c r="D6" s="43">
        <f>'6 - B3'!$L36</f>
        <v>21.422137999999997</v>
      </c>
      <c r="E6" s="226">
        <f t="shared" si="0"/>
        <v>21.422138</v>
      </c>
      <c r="F6" s="42">
        <f>'Clause 6'!D21</f>
        <v>4291.2700991488182</v>
      </c>
      <c r="G6">
        <f>'6 - B1'!$M36+'6 - B2'!$M36+'6 - B3'!$M36</f>
        <v>15</v>
      </c>
      <c r="H6" s="43">
        <f>STDEVP('6 - B1'!$B36:F36,'6 - B2'!B36:F36,'6 - B3'!B36:F36)/SQRT(G6)</f>
        <v>1.078255454079867</v>
      </c>
      <c r="K6" s="225">
        <v>6</v>
      </c>
      <c r="L6" s="223">
        <v>4729.1000000000004</v>
      </c>
      <c r="M6" s="224">
        <f t="shared" si="1"/>
        <v>146.20388070254049</v>
      </c>
    </row>
    <row r="7" spans="1:16" ht="13.15" x14ac:dyDescent="0.4">
      <c r="A7">
        <v>27</v>
      </c>
      <c r="B7" s="43">
        <f>'6 - B1'!$L35</f>
        <v>30.701454999999999</v>
      </c>
      <c r="C7" s="43">
        <f>'6 - B2'!$L35</f>
        <v>30.701454999999999</v>
      </c>
      <c r="D7" s="43">
        <f>'6 - B3'!$L35</f>
        <v>30.701454999999999</v>
      </c>
      <c r="E7" s="226">
        <f t="shared" si="0"/>
        <v>30.701454999999999</v>
      </c>
      <c r="F7" s="42">
        <f>'Clause 6'!D22</f>
        <v>3629.1352243233573</v>
      </c>
      <c r="G7">
        <f>'6 - B1'!$M35+'6 - B2'!$M35+'6 - B3'!$M35</f>
        <v>15</v>
      </c>
      <c r="H7" s="43">
        <f>STDEVP('6 - B1'!$B35:F35,'6 - B2'!B35:F35,'6 - B3'!B35:F35)/SQRT(G7)</f>
        <v>1.4888432336918633</v>
      </c>
      <c r="K7" s="225">
        <v>7</v>
      </c>
      <c r="L7" s="223">
        <v>3199.3</v>
      </c>
      <c r="M7" s="224">
        <f t="shared" si="1"/>
        <v>209.21288607751393</v>
      </c>
    </row>
    <row r="8" spans="1:16" ht="13.15" x14ac:dyDescent="0.4">
      <c r="A8">
        <v>26</v>
      </c>
      <c r="B8" s="43">
        <f>'6 - B1'!$L34</f>
        <v>42.710256999999999</v>
      </c>
      <c r="C8" s="43">
        <f>'6 - B2'!$L34</f>
        <v>42.710256999999999</v>
      </c>
      <c r="D8" s="43">
        <f>'6 - B3'!$L34</f>
        <v>42.710256999999999</v>
      </c>
      <c r="E8" s="226">
        <f t="shared" si="0"/>
        <v>42.710256999999991</v>
      </c>
      <c r="F8" s="42">
        <f>'Clause 6'!D23</f>
        <v>3069.1665106414443</v>
      </c>
      <c r="G8">
        <f>'6 - B1'!$M34+'6 - B2'!$M34+'6 - B3'!$M34</f>
        <v>15</v>
      </c>
      <c r="H8" s="43">
        <f>STDEVP('6 - B1'!$B34:F34,'6 - B2'!B34:F34,'6 - B3'!B34:F34)/SQRT(G8)</f>
        <v>1.6276865969847147</v>
      </c>
      <c r="K8" s="225">
        <v>8</v>
      </c>
      <c r="L8" s="223">
        <v>2280.6</v>
      </c>
      <c r="M8" s="224">
        <f t="shared" si="1"/>
        <v>273.51327940883499</v>
      </c>
    </row>
    <row r="9" spans="1:16" ht="13.15" x14ac:dyDescent="0.4">
      <c r="A9">
        <v>25</v>
      </c>
      <c r="B9" s="43">
        <f>'6 - B1'!$L33</f>
        <v>58.824727399999993</v>
      </c>
      <c r="C9" s="43">
        <f>'6 - B2'!$L33</f>
        <v>58.824727399999993</v>
      </c>
      <c r="D9" s="43">
        <f>'6 - B3'!$L33</f>
        <v>58.824727399999993</v>
      </c>
      <c r="E9" s="226">
        <f t="shared" si="0"/>
        <v>58.824727399999993</v>
      </c>
      <c r="F9" s="42">
        <f>'Clause 6'!D24</f>
        <v>2595.5999123177544</v>
      </c>
      <c r="G9">
        <f>'6 - B1'!$M33+'6 - B2'!$M33+'6 - B3'!$M33</f>
        <v>15</v>
      </c>
      <c r="H9" s="43">
        <f>STDEVP('6 - B1'!$B33:F33,'6 - B2'!B33:F33,'6 - B3'!B33:F33)/SQRT(G9)</f>
        <v>1.8773481816216882</v>
      </c>
      <c r="K9" s="225">
        <v>9</v>
      </c>
      <c r="L9" s="223">
        <v>1615</v>
      </c>
      <c r="M9" s="224">
        <f t="shared" si="1"/>
        <v>348.98971315768063</v>
      </c>
    </row>
    <row r="10" spans="1:16" ht="13.15" x14ac:dyDescent="0.4">
      <c r="A10">
        <v>24</v>
      </c>
      <c r="B10" s="43">
        <f>'6 - B1'!$L32</f>
        <v>79.336393799999996</v>
      </c>
      <c r="C10" s="43">
        <f>'6 - B2'!$L32</f>
        <v>79.336393799999996</v>
      </c>
      <c r="D10" s="43">
        <f>'6 - B3'!$L32</f>
        <v>79.336393799999996</v>
      </c>
      <c r="E10" s="226">
        <f t="shared" si="0"/>
        <v>79.336393799999996</v>
      </c>
      <c r="F10" s="42">
        <f>'Clause 6'!D25</f>
        <v>2195.1037460707521</v>
      </c>
      <c r="G10">
        <f>'6 - B1'!$M32+'6 - B2'!$M32+'6 - B3'!$M32</f>
        <v>15</v>
      </c>
      <c r="H10" s="43">
        <f>STDEVP('6 - B1'!$B32:F32,'6 - B2'!B32:F32,'6 - B3'!B32:F32)/SQRT(G10)</f>
        <v>2.2347664056279046</v>
      </c>
      <c r="K10" s="225">
        <v>10</v>
      </c>
      <c r="L10" s="223">
        <v>1130.5</v>
      </c>
      <c r="M10" s="224">
        <f t="shared" ref="M10:M30" si="2">CubicSpline(L10,$E$4:$E$33,$F$4:$F$33)</f>
        <v>439.28325476561287</v>
      </c>
    </row>
    <row r="11" spans="1:16" ht="13.15" x14ac:dyDescent="0.4">
      <c r="A11">
        <v>23</v>
      </c>
      <c r="B11" s="43">
        <f>'6 - B1'!$L31</f>
        <v>108.2805206</v>
      </c>
      <c r="C11" s="43">
        <f>'6 - B2'!$L31</f>
        <v>108.2805206</v>
      </c>
      <c r="D11" s="43">
        <f>'6 - B3'!$L31</f>
        <v>108.2805206</v>
      </c>
      <c r="E11" s="226">
        <f t="shared" si="0"/>
        <v>108.2805206</v>
      </c>
      <c r="F11" s="42">
        <f>'Clause 6'!D26</f>
        <v>1856.403382180408</v>
      </c>
      <c r="G11">
        <f>'6 - B1'!$M31+'6 - B2'!$M31+'6 - B3'!$M31</f>
        <v>15</v>
      </c>
      <c r="H11" s="43">
        <f>STDEVP('6 - B1'!$B31:F31,'6 - B2'!B31:F31,'6 - B3'!B31:F31)/SQRT(G11)</f>
        <v>2.836182811108765</v>
      </c>
      <c r="K11" s="225">
        <v>11</v>
      </c>
      <c r="L11" s="223">
        <v>816.2</v>
      </c>
      <c r="M11" s="224">
        <f t="shared" si="2"/>
        <v>536.93474276608219</v>
      </c>
    </row>
    <row r="12" spans="1:16" ht="13.15" x14ac:dyDescent="0.4">
      <c r="A12">
        <v>22</v>
      </c>
      <c r="B12" s="43">
        <f>'6 - B1'!$L30</f>
        <v>142.5627044</v>
      </c>
      <c r="C12" s="43">
        <f>'6 - B2'!$L30</f>
        <v>142.5627044</v>
      </c>
      <c r="D12" s="43">
        <f>'6 - B3'!$L30</f>
        <v>142.5627044</v>
      </c>
      <c r="E12" s="226">
        <f t="shared" si="0"/>
        <v>142.5627044</v>
      </c>
      <c r="F12" s="42">
        <f>'Clause 6'!D27</f>
        <v>1569.9638450071595</v>
      </c>
      <c r="G12">
        <f>'6 - B1'!$M30+'6 - B2'!$M30+'6 - B3'!$M30</f>
        <v>15</v>
      </c>
      <c r="H12" s="43">
        <f>STDEVP('6 - B1'!$B30:F30,'6 - B2'!B30:F30,'6 - B3'!B30:F30)/SQRT(G12)</f>
        <v>3.6748132941296419</v>
      </c>
      <c r="K12" s="225">
        <v>12</v>
      </c>
      <c r="L12" s="223">
        <v>618.6</v>
      </c>
      <c r="M12" s="224">
        <f t="shared" si="2"/>
        <v>635.53211445242005</v>
      </c>
    </row>
    <row r="13" spans="1:16" ht="13.15" x14ac:dyDescent="0.4">
      <c r="A13">
        <v>21</v>
      </c>
      <c r="B13" s="43">
        <f>'6 - B1'!$L29</f>
        <v>189.10512699999998</v>
      </c>
      <c r="C13" s="43">
        <f>'6 - B2'!$L29</f>
        <v>189.10512699999998</v>
      </c>
      <c r="D13" s="43">
        <f>'6 - B3'!$L29</f>
        <v>189.10512699999998</v>
      </c>
      <c r="E13" s="226">
        <f t="shared" si="0"/>
        <v>189.10512699999995</v>
      </c>
      <c r="F13" s="42">
        <f>'Clause 6'!D28</f>
        <v>1327.7213876515837</v>
      </c>
      <c r="G13">
        <f>'6 - B1'!$M29+'6 - B2'!$M29+'6 - B3'!$M29</f>
        <v>15</v>
      </c>
      <c r="H13" s="43">
        <f>STDEVP('6 - B1'!$B29:F29,'6 - B2'!B29:F29,'6 - B3'!B29:F29)/SQRT(G13)</f>
        <v>4.8420807927537997</v>
      </c>
      <c r="K13" s="225">
        <v>13</v>
      </c>
      <c r="L13" s="223">
        <v>481.9</v>
      </c>
      <c r="M13" s="224">
        <f t="shared" si="2"/>
        <v>741.4037911810334</v>
      </c>
    </row>
    <row r="14" spans="1:16" ht="13.15" x14ac:dyDescent="0.4">
      <c r="A14">
        <v>20</v>
      </c>
      <c r="B14" s="43">
        <f>'6 - B1'!$L28</f>
        <v>248.77102980000001</v>
      </c>
      <c r="C14" s="43">
        <f>'6 - B2'!$L28</f>
        <v>248.77102980000001</v>
      </c>
      <c r="D14" s="43">
        <f>'6 - B3'!$L28</f>
        <v>248.77102980000001</v>
      </c>
      <c r="E14" s="226">
        <f t="shared" si="0"/>
        <v>248.77102980000004</v>
      </c>
      <c r="F14" s="42">
        <f>'Clause 6'!D29</f>
        <v>1122.8564841373195</v>
      </c>
      <c r="G14">
        <f>'6 - B1'!$M28+'6 - B2'!$M28+'6 - B3'!$M28</f>
        <v>15</v>
      </c>
      <c r="H14" s="43">
        <f>STDEVP('6 - B1'!$B28:F28,'6 - B2'!B28:F28,'6 - B3'!B28:F28)/SQRT(G14)</f>
        <v>5.5293227068854183</v>
      </c>
      <c r="K14" s="225">
        <v>14</v>
      </c>
      <c r="L14" s="223">
        <v>384.7</v>
      </c>
      <c r="M14" s="224">
        <f t="shared" si="2"/>
        <v>854.86318962192786</v>
      </c>
    </row>
    <row r="15" spans="1:16" ht="13.15" x14ac:dyDescent="0.4">
      <c r="A15">
        <v>19</v>
      </c>
      <c r="B15" s="43">
        <f>'6 - B1'!$L27</f>
        <v>326.32932120000004</v>
      </c>
      <c r="C15" s="43">
        <f>'6 - B2'!$L27</f>
        <v>326.32932120000004</v>
      </c>
      <c r="D15" s="43">
        <f>'6 - B3'!$L27</f>
        <v>326.32932120000004</v>
      </c>
      <c r="E15" s="226">
        <f t="shared" si="0"/>
        <v>326.32932120000004</v>
      </c>
      <c r="F15" s="42">
        <f>'Clause 6'!D30</f>
        <v>949.60184847160065</v>
      </c>
      <c r="G15">
        <f>'6 - B1'!$M27+'6 - B2'!$M27+'6 - B3'!$M27</f>
        <v>15</v>
      </c>
      <c r="H15" s="43">
        <f>STDEVP('6 - B1'!$B27:F27,'6 - B2'!B27:F27,'6 - B3'!B27:F27)/SQRT(G15)</f>
        <v>6.701840547528052</v>
      </c>
      <c r="K15" s="225">
        <v>15</v>
      </c>
      <c r="L15" s="223">
        <v>314.60000000000002</v>
      </c>
      <c r="M15" s="224">
        <f t="shared" si="2"/>
        <v>971.34961616754276</v>
      </c>
    </row>
    <row r="16" spans="1:16" ht="13.15" x14ac:dyDescent="0.4">
      <c r="A16">
        <v>18</v>
      </c>
      <c r="B16" s="43">
        <f>'6 - B1'!$L26</f>
        <v>424.35662840000003</v>
      </c>
      <c r="C16" s="43">
        <f>'6 - B2'!$L26</f>
        <v>424.35662840000003</v>
      </c>
      <c r="D16" s="43">
        <f>'6 - B3'!$L26</f>
        <v>424.35662840000003</v>
      </c>
      <c r="E16" s="226">
        <f t="shared" si="0"/>
        <v>424.35662840000003</v>
      </c>
      <c r="F16" s="42">
        <f>'Clause 6'!D31</f>
        <v>803.08007600230621</v>
      </c>
      <c r="G16">
        <f>'6 - B1'!$M26+'6 - B2'!$M26+'6 - B3'!$M26</f>
        <v>15</v>
      </c>
      <c r="H16" s="43">
        <f>STDEVP('6 - B1'!$B26:F26,'6 - B2'!B26:F26,'6 - B3'!B26:F26)/SQRT(G16)</f>
        <v>7.9937227092062688</v>
      </c>
      <c r="K16" s="225">
        <v>16</v>
      </c>
      <c r="L16" s="223">
        <v>261.8</v>
      </c>
      <c r="M16" s="224">
        <f t="shared" si="2"/>
        <v>1088.6802599175317</v>
      </c>
    </row>
    <row r="17" spans="1:13" ht="13.15" x14ac:dyDescent="0.4">
      <c r="A17">
        <v>17</v>
      </c>
      <c r="B17" s="43">
        <f>'6 - B1'!$L25</f>
        <v>554.51062020000006</v>
      </c>
      <c r="C17" s="43">
        <f>'6 - B2'!$L25</f>
        <v>554.51062020000006</v>
      </c>
      <c r="D17" s="43">
        <f>'6 - B3'!$L25</f>
        <v>554.51062020000006</v>
      </c>
      <c r="E17" s="226">
        <f t="shared" si="0"/>
        <v>554.51062020000006</v>
      </c>
      <c r="F17" s="42">
        <f>'Clause 6'!D32</f>
        <v>679.1663364071029</v>
      </c>
      <c r="G17">
        <f>'6 - B1'!$M25+'6 - B2'!$M25+'6 - B3'!$M25</f>
        <v>15</v>
      </c>
      <c r="H17" s="43">
        <f>STDEVP('6 - B1'!$B25:F25,'6 - B2'!B25:F25,'6 - B3'!B25:F25)/SQRT(G17)</f>
        <v>9.1634434043734068</v>
      </c>
      <c r="K17" s="225">
        <v>17</v>
      </c>
      <c r="L17" s="223">
        <v>221.2</v>
      </c>
      <c r="M17" s="224">
        <f t="shared" si="2"/>
        <v>1206.8995893566339</v>
      </c>
    </row>
    <row r="18" spans="1:13" ht="13.15" x14ac:dyDescent="0.4">
      <c r="A18">
        <v>16</v>
      </c>
      <c r="B18" s="43">
        <f>'6 - B1'!$L24</f>
        <v>730.40490740000007</v>
      </c>
      <c r="C18" s="43">
        <f>'6 - B2'!$L24</f>
        <v>730.40490740000007</v>
      </c>
      <c r="D18" s="43">
        <f>'6 - B3'!$L24</f>
        <v>730.40490740000007</v>
      </c>
      <c r="E18" s="226">
        <f t="shared" si="0"/>
        <v>730.40490740000007</v>
      </c>
      <c r="F18" s="42">
        <f>'Clause 6'!D33</f>
        <v>574.37225289514151</v>
      </c>
      <c r="G18">
        <f>'6 - B1'!$M24+'6 - B2'!$M24+'6 - B3'!$M24</f>
        <v>15</v>
      </c>
      <c r="H18" s="43">
        <f>STDEVP('6 - B1'!$B24:F24,'6 - B2'!B24:F24,'6 - B3'!B24:F24)/SQRT(G18)</f>
        <v>11.332119314599742</v>
      </c>
      <c r="K18" s="225">
        <v>18</v>
      </c>
      <c r="L18" s="223">
        <v>188.7</v>
      </c>
      <c r="M18" s="224">
        <f t="shared" si="2"/>
        <v>1329.4008916497762</v>
      </c>
    </row>
    <row r="19" spans="1:13" ht="13.15" x14ac:dyDescent="0.4">
      <c r="A19">
        <v>15</v>
      </c>
      <c r="B19" s="43">
        <f>'6 - B1'!$L23</f>
        <v>972.88392625000006</v>
      </c>
      <c r="C19" s="43">
        <f>'6 - B2'!$L23</f>
        <v>954.42392560000008</v>
      </c>
      <c r="D19" s="43">
        <f>'6 - B3'!$L23</f>
        <v>954.42392560000008</v>
      </c>
      <c r="E19" s="226">
        <f t="shared" si="0"/>
        <v>960.57725915000003</v>
      </c>
      <c r="F19" s="42">
        <f>'Clause 6'!D34</f>
        <v>485.74769862870693</v>
      </c>
      <c r="G19">
        <f>'6 - B1'!$M23+'6 - B2'!$M23+'6 - B3'!$M23</f>
        <v>14</v>
      </c>
      <c r="H19" s="43">
        <f>STDEVP('6 - B1'!$B23:F23,'6 - B2'!B23:F23,'6 - B3'!B23:F23)/SQRT(G19)</f>
        <v>12.996900990010323</v>
      </c>
      <c r="K19" s="225">
        <v>19</v>
      </c>
      <c r="L19" s="223">
        <v>161</v>
      </c>
      <c r="M19" s="224">
        <f t="shared" si="2"/>
        <v>1461.1650125488522</v>
      </c>
    </row>
    <row r="20" spans="1:13" ht="13.15" x14ac:dyDescent="0.4">
      <c r="A20">
        <v>14</v>
      </c>
      <c r="B20" s="43">
        <f>'6 - B1'!$L22</f>
        <v>1272.40386975</v>
      </c>
      <c r="C20" s="43">
        <f>'6 - B2'!$L22</f>
        <v>1250.5177248</v>
      </c>
      <c r="D20" s="43">
        <f>'6 - B3'!$L22</f>
        <v>1250.5177248</v>
      </c>
      <c r="E20" s="226">
        <f t="shared" si="0"/>
        <v>1257.8131064500001</v>
      </c>
      <c r="F20" s="42">
        <f>'Clause 6'!D35</f>
        <v>410.79774577160975</v>
      </c>
      <c r="G20">
        <f>'6 - B1'!$M22+'6 - B2'!$M22+'6 - B3'!$M22</f>
        <v>14</v>
      </c>
      <c r="H20" s="43">
        <f>STDEVP('6 - B1'!$B22:F22,'6 - B2'!B22:F22,'6 - B3'!B22:F22)/SQRT(G20)</f>
        <v>16.077001299201864</v>
      </c>
      <c r="K20" s="225">
        <v>20</v>
      </c>
      <c r="L20" s="223">
        <v>136.4</v>
      </c>
      <c r="M20" s="224">
        <f t="shared" si="2"/>
        <v>1612.1396246428449</v>
      </c>
    </row>
    <row r="21" spans="1:13" ht="13.15" x14ac:dyDescent="0.4">
      <c r="A21">
        <v>13</v>
      </c>
      <c r="B21" s="43">
        <f>'6 - B1'!$L21</f>
        <v>1641.4917300000002</v>
      </c>
      <c r="C21" s="43">
        <f>'6 - B2'!$L21</f>
        <v>1618.2444094000002</v>
      </c>
      <c r="D21" s="43">
        <f>'6 - B3'!$L21</f>
        <v>1618.2444094000002</v>
      </c>
      <c r="E21" s="226">
        <f t="shared" si="0"/>
        <v>1625.9935162666668</v>
      </c>
      <c r="F21" s="42">
        <f>'Clause 6'!D36</f>
        <v>347.41242914261943</v>
      </c>
      <c r="G21">
        <f>'6 - B1'!$M21+'6 - B2'!$M21+'6 - B3'!$M21</f>
        <v>14</v>
      </c>
      <c r="H21" s="43">
        <f>STDEVP('6 - B1'!$B21:F21,'6 - B2'!B21:F21,'6 - B3'!B21:F21)/SQRT(G21)</f>
        <v>18.374538675594927</v>
      </c>
      <c r="K21" s="225">
        <v>21</v>
      </c>
      <c r="L21" s="223">
        <v>114.4</v>
      </c>
      <c r="M21" s="224">
        <f t="shared" si="2"/>
        <v>1797.7737378078166</v>
      </c>
    </row>
    <row r="22" spans="1:13" ht="13.15" x14ac:dyDescent="0.4">
      <c r="A22">
        <v>12</v>
      </c>
      <c r="B22" s="43">
        <f>'6 - B1'!$L20</f>
        <v>2084.59637475</v>
      </c>
      <c r="C22" s="43">
        <f>'6 - B2'!$L20</f>
        <v>2056.7389405999998</v>
      </c>
      <c r="D22" s="43">
        <f>'6 - B3'!$L20</f>
        <v>2056.7389405999998</v>
      </c>
      <c r="E22" s="226">
        <f t="shared" si="0"/>
        <v>2066.0247519833333</v>
      </c>
      <c r="F22" s="42">
        <f>'Clause 6'!D37</f>
        <v>293.80734720457377</v>
      </c>
      <c r="G22">
        <f>'6 - B1'!$M20+'6 - B2'!$M20+'6 - B3'!$M20</f>
        <v>14</v>
      </c>
      <c r="H22" s="43">
        <f>STDEVP('6 - B1'!$B20:F20,'6 - B2'!B20:F20,'6 - B3'!B20:F20)/SQRT(G22)</f>
        <v>22.831041710528822</v>
      </c>
      <c r="K22" s="225">
        <v>22</v>
      </c>
      <c r="L22" s="223">
        <v>95.3</v>
      </c>
      <c r="M22" s="224">
        <f t="shared" si="2"/>
        <v>1991.1778011423132</v>
      </c>
    </row>
    <row r="23" spans="1:13" ht="13.15" x14ac:dyDescent="0.4">
      <c r="A23">
        <v>11</v>
      </c>
      <c r="B23" s="43">
        <f>'6 - B1'!$L19</f>
        <v>2590.4258787999997</v>
      </c>
      <c r="C23" s="43">
        <f>'6 - B2'!$L19</f>
        <v>2590.4258787999997</v>
      </c>
      <c r="D23" s="43">
        <f>'6 - B3'!$L19</f>
        <v>2590.4258787999997</v>
      </c>
      <c r="E23" s="226">
        <f t="shared" si="0"/>
        <v>2590.4258787999997</v>
      </c>
      <c r="F23" s="42">
        <f>'Clause 6'!D38</f>
        <v>248.47342820872947</v>
      </c>
      <c r="G23">
        <f>'6 - B1'!$M19+'6 - B2'!$M19+'6 - B3'!$M19</f>
        <v>15</v>
      </c>
      <c r="H23" s="43">
        <f>STDEVP('6 - B1'!$B19:F19,'6 - B2'!B19:F19,'6 - B3'!B19:F19)/SQRT(G23)</f>
        <v>26.07992726211204</v>
      </c>
      <c r="K23" s="225">
        <v>23</v>
      </c>
      <c r="L23" s="223">
        <v>79</v>
      </c>
      <c r="M23" s="224">
        <f t="shared" si="2"/>
        <v>2200.058555676017</v>
      </c>
    </row>
    <row r="24" spans="1:13" ht="13.15" x14ac:dyDescent="0.4">
      <c r="A24">
        <v>10</v>
      </c>
      <c r="B24" s="43">
        <f>'6 - B1'!$L18</f>
        <v>3182.7956542000002</v>
      </c>
      <c r="C24" s="43">
        <f>'6 - B2'!$L18</f>
        <v>3182.7956542000002</v>
      </c>
      <c r="D24" s="43">
        <f>'6 - B3'!$L18</f>
        <v>3182.7956542000002</v>
      </c>
      <c r="E24" s="226">
        <f t="shared" si="0"/>
        <v>3182.7956542000006</v>
      </c>
      <c r="F24" s="42">
        <f>'Clause 6'!D39</f>
        <v>210.13444732820327</v>
      </c>
      <c r="G24">
        <f>'6 - B1'!$M18+'6 - B2'!$M18+'6 - B3'!$M18</f>
        <v>15</v>
      </c>
      <c r="H24" s="43">
        <f>STDEVP('6 - B1'!$B18:F18,'6 - B2'!B18:F18,'6 - B3'!B18:F18)/SQRT(G24)</f>
        <v>30.495421778253846</v>
      </c>
      <c r="K24" s="225">
        <v>24</v>
      </c>
      <c r="L24" s="223">
        <v>65.3</v>
      </c>
      <c r="M24" s="224">
        <f t="shared" si="2"/>
        <v>2450.3878526020017</v>
      </c>
    </row>
    <row r="25" spans="1:13" ht="13.15" x14ac:dyDescent="0.4">
      <c r="A25">
        <v>9</v>
      </c>
      <c r="B25" s="43">
        <f>'6 - B1'!$L17</f>
        <v>3840.1930662</v>
      </c>
      <c r="C25" s="43">
        <f>'6 - B2'!$L17</f>
        <v>3840.1930662</v>
      </c>
      <c r="D25" s="43">
        <f>'6 - B3'!$L17</f>
        <v>3840.1930662</v>
      </c>
      <c r="E25" s="226">
        <f t="shared" si="0"/>
        <v>3840.1930662</v>
      </c>
      <c r="F25" s="42">
        <f>'Clause 6'!D40</f>
        <v>177.7110988175198</v>
      </c>
      <c r="G25">
        <f>'6 - B1'!$M17+'6 - B2'!$M17+'6 - B3'!$M17</f>
        <v>15</v>
      </c>
      <c r="H25" s="43">
        <f>STDEVP('6 - B1'!$B17:F17,'6 - B2'!B17:F17,'6 - B3'!B17:F17)/SQRT(G25)</f>
        <v>36.773484371798318</v>
      </c>
      <c r="K25" s="225">
        <v>25</v>
      </c>
      <c r="L25" s="223">
        <v>53.8</v>
      </c>
      <c r="M25" s="224">
        <f t="shared" si="2"/>
        <v>2721.9768471918637</v>
      </c>
    </row>
    <row r="26" spans="1:13" ht="13.15" x14ac:dyDescent="0.4">
      <c r="A26">
        <v>8</v>
      </c>
      <c r="B26" s="43">
        <f>'6 - B1'!$L16</f>
        <v>4599.3637693999999</v>
      </c>
      <c r="C26" s="43">
        <f>'6 - B2'!$L16</f>
        <v>4599.3637693999999</v>
      </c>
      <c r="D26" s="43">
        <f>'6 - B3'!$L16</f>
        <v>4599.3637693999999</v>
      </c>
      <c r="E26" s="226">
        <f t="shared" si="0"/>
        <v>4599.3637693999999</v>
      </c>
      <c r="F26" s="42">
        <f>'Clause 6'!D41</f>
        <v>150.29061177011314</v>
      </c>
      <c r="G26">
        <f>'6 - B1'!$M16+'6 - B2'!$M16+'6 - B3'!$M16</f>
        <v>15</v>
      </c>
      <c r="H26" s="43">
        <f>STDEVP('6 - B1'!$B16:F16,'6 - B2'!B16:F16,'6 - B3'!B16:F16)/SQRT(G26)</f>
        <v>38.852647710318188</v>
      </c>
      <c r="K26" s="225">
        <v>26</v>
      </c>
      <c r="L26" s="223">
        <v>44.6</v>
      </c>
      <c r="M26" s="224">
        <f t="shared" si="2"/>
        <v>3002.6569572390667</v>
      </c>
    </row>
    <row r="27" spans="1:13" ht="13.15" x14ac:dyDescent="0.4">
      <c r="A27">
        <v>7</v>
      </c>
      <c r="B27" s="43">
        <f>'6 - B1'!$L15</f>
        <v>5410.0138669999997</v>
      </c>
      <c r="C27" s="43">
        <f>'6 - B2'!$L15</f>
        <v>5410.0138669999997</v>
      </c>
      <c r="D27" s="43">
        <f>'6 - B3'!$L15</f>
        <v>5410.0138669999997</v>
      </c>
      <c r="E27" s="226">
        <f t="shared" si="0"/>
        <v>5410.0138669999997</v>
      </c>
      <c r="F27" s="42">
        <f>'Clause 6'!D42</f>
        <v>127.10105410708364</v>
      </c>
      <c r="G27">
        <f>'6 - B1'!$M15+'6 - B2'!$M15+'6 - B3'!$M15</f>
        <v>15</v>
      </c>
      <c r="H27" s="43">
        <f>STDEVP('6 - B1'!$B15:F15,'6 - B2'!B15:F15,'6 - B3'!B15:F15)/SQRT(G27)</f>
        <v>44.051700555945523</v>
      </c>
      <c r="K27" s="225">
        <v>27</v>
      </c>
      <c r="L27" s="223">
        <v>37</v>
      </c>
      <c r="M27" s="224">
        <f t="shared" si="2"/>
        <v>3304.9038617650313</v>
      </c>
    </row>
    <row r="28" spans="1:13" ht="13.15" x14ac:dyDescent="0.4">
      <c r="A28">
        <v>6</v>
      </c>
      <c r="B28" s="43">
        <f>'6 - B1'!$L14</f>
        <v>6325.1593749999993</v>
      </c>
      <c r="C28" s="43">
        <f>'6 - B2'!$L14</f>
        <v>6325.1593749999993</v>
      </c>
      <c r="D28" s="43">
        <f>'6 - B3'!$L14</f>
        <v>6325.1593749999993</v>
      </c>
      <c r="E28" s="226">
        <f t="shared" si="0"/>
        <v>6325.1593749999993</v>
      </c>
      <c r="F28" s="42">
        <f>'Clause 6'!D43</f>
        <v>107.48960141197809</v>
      </c>
      <c r="G28">
        <f>'6 - B1'!$M14+'6 - B2'!$M14+'6 - B3'!$M14</f>
        <v>15</v>
      </c>
      <c r="H28" s="43">
        <f>STDEVP('6 - B1'!$B14:F14,'6 - B2'!B14:F14,'6 - B3'!B14:F14)/SQRT(G28)</f>
        <v>48.034110657462577</v>
      </c>
      <c r="K28" s="225">
        <v>28</v>
      </c>
      <c r="L28" s="223">
        <v>30.7</v>
      </c>
      <c r="M28" s="224">
        <f t="shared" si="2"/>
        <v>3629.2172924134661</v>
      </c>
    </row>
    <row r="29" spans="1:13" ht="13.15" x14ac:dyDescent="0.4">
      <c r="A29">
        <v>5</v>
      </c>
      <c r="B29" s="43">
        <f>'6 - B1'!$L13</f>
        <v>7282.6878906000002</v>
      </c>
      <c r="C29" s="43">
        <f>'6 - B2'!$L13</f>
        <v>7282.6878906000002</v>
      </c>
      <c r="D29" s="43">
        <f>'6 - B3'!$L13</f>
        <v>7282.6878906000002</v>
      </c>
      <c r="E29" s="226">
        <f t="shared" si="0"/>
        <v>7282.6878906000011</v>
      </c>
      <c r="F29" s="42">
        <f>'Clause 6'!D44</f>
        <v>90.904158843337143</v>
      </c>
      <c r="G29">
        <f>'6 - B1'!$M13+'6 - B2'!$M13+'6 - B3'!$M13</f>
        <v>15</v>
      </c>
      <c r="H29" s="43">
        <f>STDEVP('6 - B1'!$B13:F13,'6 - B2'!B13:F13,'6 - B3'!B13:F13)/SQRT(G29)</f>
        <v>54.048913744152053</v>
      </c>
      <c r="K29" s="225">
        <v>29</v>
      </c>
      <c r="L29" s="223">
        <v>25.2</v>
      </c>
      <c r="M29" s="224">
        <f t="shared" si="2"/>
        <v>3986.74565172232</v>
      </c>
    </row>
    <row r="30" spans="1:13" ht="13.15" x14ac:dyDescent="0.4">
      <c r="A30">
        <v>4</v>
      </c>
      <c r="B30" s="43">
        <f>'6 - B1'!$L12</f>
        <v>8370.1229490000005</v>
      </c>
      <c r="C30" s="43">
        <f>'6 - B2'!$L12</f>
        <v>8370.1229490000005</v>
      </c>
      <c r="D30" s="43">
        <f>'6 - B3'!$L12</f>
        <v>8370.1229490000005</v>
      </c>
      <c r="E30" s="226">
        <f t="shared" si="0"/>
        <v>8370.1229490000005</v>
      </c>
      <c r="F30" s="42">
        <f>'Clause 6'!D45</f>
        <v>76.877818751440842</v>
      </c>
      <c r="G30">
        <f>'6 - B1'!$M12+'6 - B2'!$M12+'6 - B3'!$M12</f>
        <v>15</v>
      </c>
      <c r="H30" s="43">
        <f>STDEVP('6 - B1'!$B12:F12,'6 - B2'!B12:F12,'6 - B3'!B12:F12)/SQRT(G30)</f>
        <v>58.475096484339367</v>
      </c>
      <c r="K30" s="225">
        <v>30</v>
      </c>
      <c r="L30" s="223">
        <v>20.100000000000001</v>
      </c>
      <c r="M30" s="224">
        <f t="shared" si="2"/>
        <v>4411.6231647171417</v>
      </c>
    </row>
    <row r="31" spans="1:13" x14ac:dyDescent="0.35">
      <c r="A31">
        <v>3</v>
      </c>
      <c r="B31" s="43">
        <f>'6 - B1'!$L11</f>
        <v>9600.4685546000001</v>
      </c>
      <c r="C31" s="43">
        <f>'6 - B2'!$L11</f>
        <v>9600.4685546000001</v>
      </c>
      <c r="D31" s="43">
        <f>'6 - B3'!$L11</f>
        <v>9600.4685546000001</v>
      </c>
      <c r="E31" s="226">
        <f t="shared" si="0"/>
        <v>9600.4685546000001</v>
      </c>
      <c r="F31" s="42">
        <f>'Clause 6'!D46</f>
        <v>65.01571645544773</v>
      </c>
      <c r="G31">
        <f>'6 - B1'!$M11+'6 - B2'!$M11+'6 - B3'!$M11</f>
        <v>15</v>
      </c>
      <c r="H31" s="43">
        <f>STDEVP('6 - B1'!$B11:F11,'6 - B2'!B11:F11,'6 - B3'!B11:F11)/SQRT(G31)</f>
        <v>65.892880619637779</v>
      </c>
    </row>
    <row r="32" spans="1:13" x14ac:dyDescent="0.35">
      <c r="A32">
        <v>2</v>
      </c>
      <c r="B32" s="43">
        <f>'6 - B1'!$L10</f>
        <v>10959.051562600001</v>
      </c>
      <c r="C32" s="43">
        <f>'6 - B2'!$L10</f>
        <v>10959.051562600001</v>
      </c>
      <c r="D32" s="43">
        <f>'6 - B3'!$L10</f>
        <v>10959.051562600001</v>
      </c>
      <c r="E32" s="226">
        <f t="shared" si="0"/>
        <v>10959.051562600003</v>
      </c>
      <c r="F32" s="42">
        <f>'Clause 6'!D47</f>
        <v>54.983914149306607</v>
      </c>
      <c r="G32">
        <f>'6 - B1'!$M10+'6 - B2'!$M10+'6 - B3'!$M10</f>
        <v>15</v>
      </c>
      <c r="H32" s="43">
        <f>STDEVP('6 - B1'!$B10:F10,'6 - B2'!B10:F10,'6 - B3'!B10:F10)/SQRT(G32)</f>
        <v>72.049939045040787</v>
      </c>
    </row>
    <row r="33" spans="1:40" x14ac:dyDescent="0.35">
      <c r="A33">
        <v>1</v>
      </c>
      <c r="B33" s="43">
        <f>'6 - B1'!$L9</f>
        <v>12401.340625000001</v>
      </c>
      <c r="C33" s="43">
        <f>'6 - B2'!$L9</f>
        <v>12401.340625000001</v>
      </c>
      <c r="D33" s="43">
        <f>'6 - B3'!$L9</f>
        <v>12401.340625000001</v>
      </c>
      <c r="E33" s="226">
        <f t="shared" si="0"/>
        <v>12401.340625000003</v>
      </c>
      <c r="F33" s="42">
        <f>'Clause 6'!D48</f>
        <v>46.5</v>
      </c>
      <c r="G33">
        <f>'6 - B1'!$M9+'6 - B2'!$M9+'6 - B3'!$M9</f>
        <v>15</v>
      </c>
      <c r="H33" s="43">
        <f>STDEVP('6 - B1'!$B9:F9,'6 - B2'!B9:F9,'6 - B3'!B9:F9)/SQRT(G33)</f>
        <v>80.954001244371469</v>
      </c>
    </row>
    <row r="34" spans="1:40" x14ac:dyDescent="0.35">
      <c r="B34" s="43"/>
      <c r="C34" s="43"/>
      <c r="D34" s="43"/>
      <c r="E34" s="43"/>
      <c r="F34" s="43"/>
    </row>
    <row r="35" spans="1:40" x14ac:dyDescent="0.35">
      <c r="B35" s="43"/>
      <c r="C35" s="43"/>
      <c r="D35" s="43"/>
      <c r="E35" s="43"/>
      <c r="F35" s="43"/>
    </row>
    <row r="36" spans="1:40" x14ac:dyDescent="0.35">
      <c r="B36" s="43"/>
      <c r="C36" s="43"/>
      <c r="D36" s="43"/>
      <c r="E36" s="43"/>
      <c r="F36" s="43"/>
    </row>
    <row r="37" spans="1:40" x14ac:dyDescent="0.35">
      <c r="B37" s="43"/>
      <c r="C37" s="43"/>
      <c r="D37" s="43"/>
      <c r="E37" s="43"/>
      <c r="F37" s="43"/>
    </row>
    <row r="38" spans="1:40" x14ac:dyDescent="0.35">
      <c r="B38" s="43"/>
      <c r="C38" s="43"/>
      <c r="D38" s="43"/>
      <c r="E38" s="43"/>
      <c r="F38" s="43"/>
    </row>
    <row r="42" spans="1:40" x14ac:dyDescent="0.3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row>
    <row r="45" spans="1:40" x14ac:dyDescent="0.35">
      <c r="M45" s="95"/>
    </row>
    <row r="46" spans="1:40" x14ac:dyDescent="0.35">
      <c r="M46" s="95"/>
    </row>
    <row r="47" spans="1:40" x14ac:dyDescent="0.35">
      <c r="M47" s="95"/>
    </row>
    <row r="48" spans="1:40" x14ac:dyDescent="0.35">
      <c r="M48" s="95"/>
    </row>
    <row r="49" spans="13:13" x14ac:dyDescent="0.35">
      <c r="M49" s="95"/>
    </row>
    <row r="50" spans="13:13" x14ac:dyDescent="0.35">
      <c r="M50" s="95"/>
    </row>
    <row r="51" spans="13:13" x14ac:dyDescent="0.35">
      <c r="M51" s="95"/>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sortState xmlns:xlrd2="http://schemas.microsoft.com/office/spreadsheetml/2017/richdata2" ref="A4:H33">
    <sortCondition descending="1" ref="A4:A33"/>
  </sortState>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Q46"/>
  <sheetViews>
    <sheetView zoomScale="85" zoomScaleNormal="85" workbookViewId="0">
      <selection activeCell="M25" sqref="M25"/>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10" t="s">
        <v>22</v>
      </c>
      <c r="B1" s="10"/>
      <c r="C1" s="67"/>
      <c r="D1" s="14" t="s">
        <v>364</v>
      </c>
    </row>
    <row r="2" spans="1:17" ht="13.15" x14ac:dyDescent="0.4">
      <c r="A2" s="10" t="s">
        <v>24</v>
      </c>
      <c r="B2" s="10"/>
      <c r="C2" s="10"/>
      <c r="D2" s="10" t="s">
        <v>349</v>
      </c>
    </row>
    <row r="3" spans="1:17" ht="13.15" x14ac:dyDescent="0.4">
      <c r="A3" s="10" t="s">
        <v>28</v>
      </c>
      <c r="B3" s="10"/>
      <c r="C3" s="10"/>
      <c r="D3" s="96"/>
    </row>
    <row r="4" spans="1:17" ht="13.15" x14ac:dyDescent="0.4">
      <c r="A4" s="10" t="s">
        <v>27</v>
      </c>
      <c r="B4" s="10"/>
      <c r="C4" s="10"/>
      <c r="D4" s="10" t="s">
        <v>349</v>
      </c>
    </row>
    <row r="5" spans="1:17" ht="13.15" x14ac:dyDescent="0.4">
      <c r="A5" s="10" t="s">
        <v>26</v>
      </c>
      <c r="B5" s="10"/>
      <c r="C5" s="10"/>
      <c r="D5" s="14" t="s">
        <v>364</v>
      </c>
    </row>
    <row r="6" spans="1:17" ht="13.15" x14ac:dyDescent="0.4">
      <c r="A6" s="67" t="s">
        <v>117</v>
      </c>
      <c r="B6" s="10"/>
      <c r="C6" s="10"/>
      <c r="D6" s="12" t="s">
        <v>391</v>
      </c>
    </row>
    <row r="7" spans="1:17" ht="13.15" x14ac:dyDescent="0.4">
      <c r="A7" s="10" t="s">
        <v>29</v>
      </c>
      <c r="B7" s="10"/>
      <c r="C7" s="10"/>
      <c r="D7" s="13" t="s">
        <v>30</v>
      </c>
    </row>
    <row r="10" spans="1:17" x14ac:dyDescent="0.35">
      <c r="A10" s="26" t="s">
        <v>196</v>
      </c>
      <c r="B10" s="26"/>
      <c r="C10" s="26"/>
      <c r="D10" s="26"/>
    </row>
    <row r="11" spans="1:17" ht="13.15" x14ac:dyDescent="0.4">
      <c r="A11" s="26"/>
      <c r="B11" s="26"/>
      <c r="C11" s="26"/>
      <c r="D11" s="26"/>
      <c r="H11" s="8"/>
    </row>
    <row r="12" spans="1:17" ht="13.15" x14ac:dyDescent="0.4">
      <c r="A12" s="97">
        <v>49.4</v>
      </c>
      <c r="B12" s="98" t="s">
        <v>197</v>
      </c>
      <c r="C12" s="98" t="s">
        <v>198</v>
      </c>
      <c r="D12" s="99"/>
      <c r="F12" s="100">
        <v>39</v>
      </c>
      <c r="G12" s="98" t="s">
        <v>197</v>
      </c>
      <c r="H12" s="98" t="s">
        <v>198</v>
      </c>
      <c r="I12" s="36"/>
      <c r="J12" s="85"/>
      <c r="M12" s="97">
        <v>69.7</v>
      </c>
      <c r="N12" s="98" t="s">
        <v>197</v>
      </c>
      <c r="O12" s="98" t="s">
        <v>198</v>
      </c>
      <c r="P12" s="36"/>
      <c r="Q12" s="85"/>
    </row>
    <row r="13" spans="1:17" x14ac:dyDescent="0.35">
      <c r="A13" s="101">
        <f>(4/3)*(3.1415936)*((A12*0.000001/2)^3)</f>
        <v>6.3121832711697054E-14</v>
      </c>
      <c r="B13" s="26" t="s">
        <v>199</v>
      </c>
      <c r="C13" s="26" t="s">
        <v>200</v>
      </c>
      <c r="D13" s="102"/>
      <c r="F13" s="101">
        <f>(4/3)*(3.1415936)*((F12*0.000001/2)^3)</f>
        <v>3.1059365126399994E-14</v>
      </c>
      <c r="G13" s="26" t="s">
        <v>199</v>
      </c>
      <c r="H13" s="26" t="s">
        <v>200</v>
      </c>
      <c r="J13" s="45"/>
      <c r="M13" s="101">
        <f>(4/3)*(3.1415936)*((M12*0.000001/2)^3)</f>
        <v>1.7729524472000214E-13</v>
      </c>
      <c r="N13" s="26" t="s">
        <v>199</v>
      </c>
      <c r="O13" s="26" t="s">
        <v>200</v>
      </c>
      <c r="Q13" s="45"/>
    </row>
    <row r="14" spans="1:17" x14ac:dyDescent="0.35">
      <c r="A14" s="101">
        <f>A13*1.05*1000</f>
        <v>6.6277924347281912E-11</v>
      </c>
      <c r="B14" s="26" t="s">
        <v>201</v>
      </c>
      <c r="C14" s="26" t="s">
        <v>202</v>
      </c>
      <c r="D14" s="102"/>
      <c r="F14" s="101">
        <f>F13*1.05*1000</f>
        <v>3.2612333382719997E-11</v>
      </c>
      <c r="G14" s="26" t="s">
        <v>201</v>
      </c>
      <c r="H14" s="26" t="s">
        <v>202</v>
      </c>
      <c r="J14" s="45"/>
      <c r="M14" s="101">
        <f>M13*1.05*1000</f>
        <v>1.8616000695600225E-10</v>
      </c>
      <c r="N14" s="26" t="s">
        <v>201</v>
      </c>
      <c r="O14" s="26" t="s">
        <v>202</v>
      </c>
      <c r="Q14" s="45"/>
    </row>
    <row r="15" spans="1:17" x14ac:dyDescent="0.35">
      <c r="A15" s="101">
        <f>0.000001/A14</f>
        <v>15087.980045364991</v>
      </c>
      <c r="B15" s="26" t="s">
        <v>203</v>
      </c>
      <c r="C15" s="26" t="s">
        <v>204</v>
      </c>
      <c r="D15" s="102"/>
      <c r="F15" s="101">
        <f>0.000001/F14</f>
        <v>30663.245964787693</v>
      </c>
      <c r="G15" s="26" t="s">
        <v>203</v>
      </c>
      <c r="H15" s="26" t="s">
        <v>204</v>
      </c>
      <c r="J15" s="45"/>
      <c r="M15" s="101">
        <f>0.000001/M14</f>
        <v>5371.7230480999269</v>
      </c>
      <c r="N15" s="26" t="s">
        <v>203</v>
      </c>
      <c r="O15" s="26" t="s">
        <v>204</v>
      </c>
      <c r="Q15" s="45"/>
    </row>
    <row r="16" spans="1:17" ht="13.15" x14ac:dyDescent="0.4">
      <c r="A16" s="103">
        <v>5000</v>
      </c>
      <c r="B16" s="26"/>
      <c r="C16" s="26" t="s">
        <v>205</v>
      </c>
      <c r="D16" s="102"/>
      <c r="F16" s="103">
        <v>3000</v>
      </c>
      <c r="G16" s="26"/>
      <c r="H16" s="26" t="s">
        <v>205</v>
      </c>
      <c r="J16" s="45"/>
      <c r="M16" s="103">
        <v>2000</v>
      </c>
      <c r="N16" s="26"/>
      <c r="O16" s="26" t="s">
        <v>205</v>
      </c>
      <c r="Q16" s="45"/>
    </row>
    <row r="17" spans="1:17" x14ac:dyDescent="0.35">
      <c r="A17" s="104">
        <f>A16/A15*1000</f>
        <v>331.38962173640959</v>
      </c>
      <c r="B17" s="26" t="s">
        <v>71</v>
      </c>
      <c r="C17" s="26" t="s">
        <v>206</v>
      </c>
      <c r="D17" s="102"/>
      <c r="F17" s="104">
        <f>F16/F15*1000</f>
        <v>97.837000148159987</v>
      </c>
      <c r="G17" s="26" t="s">
        <v>71</v>
      </c>
      <c r="H17" s="26" t="s">
        <v>206</v>
      </c>
      <c r="J17" s="45"/>
      <c r="M17" s="104">
        <f>M16/M15*1000</f>
        <v>372.32001391200447</v>
      </c>
      <c r="N17" s="26" t="s">
        <v>71</v>
      </c>
      <c r="O17" s="26" t="s">
        <v>206</v>
      </c>
      <c r="Q17" s="45"/>
    </row>
    <row r="18" spans="1:17" ht="13.15" x14ac:dyDescent="0.4">
      <c r="A18" s="103">
        <v>0.20280000000000001</v>
      </c>
      <c r="B18" s="26" t="s">
        <v>207</v>
      </c>
      <c r="C18" s="26" t="s">
        <v>208</v>
      </c>
      <c r="D18" s="102"/>
      <c r="F18" s="103">
        <v>0.2</v>
      </c>
      <c r="G18" s="26" t="s">
        <v>207</v>
      </c>
      <c r="H18" s="26" t="s">
        <v>208</v>
      </c>
      <c r="J18" s="45"/>
      <c r="M18" s="103">
        <v>0.2</v>
      </c>
      <c r="N18" s="26" t="s">
        <v>207</v>
      </c>
      <c r="O18" s="26" t="s">
        <v>208</v>
      </c>
      <c r="Q18" s="45"/>
    </row>
    <row r="19" spans="1:17" x14ac:dyDescent="0.35">
      <c r="A19" s="104">
        <f>A18*A17</f>
        <v>67.205815288143867</v>
      </c>
      <c r="B19" s="26" t="s">
        <v>68</v>
      </c>
      <c r="C19" s="26" t="s">
        <v>209</v>
      </c>
      <c r="D19" s="102"/>
      <c r="F19" s="104">
        <f>F18*F17</f>
        <v>19.567400029631997</v>
      </c>
      <c r="G19" s="26" t="s">
        <v>68</v>
      </c>
      <c r="H19" s="26" t="s">
        <v>209</v>
      </c>
      <c r="J19" s="45"/>
      <c r="M19" s="104">
        <f>M18*M17</f>
        <v>74.464002782400897</v>
      </c>
      <c r="N19" s="26" t="s">
        <v>68</v>
      </c>
      <c r="O19" s="26" t="s">
        <v>209</v>
      </c>
      <c r="Q19" s="45"/>
    </row>
    <row r="20" spans="1:17" ht="13.15" x14ac:dyDescent="0.4">
      <c r="A20" s="103">
        <v>67.2</v>
      </c>
      <c r="B20" s="26" t="s">
        <v>68</v>
      </c>
      <c r="C20" s="26" t="s">
        <v>210</v>
      </c>
      <c r="D20" s="102"/>
      <c r="F20" s="103">
        <v>20.8</v>
      </c>
      <c r="G20" s="26" t="s">
        <v>68</v>
      </c>
      <c r="H20" s="26" t="s">
        <v>210</v>
      </c>
      <c r="J20" s="45"/>
      <c r="M20" s="103">
        <v>77.569999999999993</v>
      </c>
      <c r="N20" s="26" t="s">
        <v>68</v>
      </c>
      <c r="O20" s="26" t="s">
        <v>210</v>
      </c>
      <c r="Q20" s="45"/>
    </row>
    <row r="21" spans="1:17" ht="13.15" x14ac:dyDescent="0.4">
      <c r="A21" s="105">
        <f>A20/A19*A16</f>
        <v>4999.5673523102923</v>
      </c>
      <c r="B21" s="26" t="s">
        <v>211</v>
      </c>
      <c r="C21" s="26" t="s">
        <v>212</v>
      </c>
      <c r="D21" s="102"/>
      <c r="F21" s="243">
        <f>F20/F19*F16</f>
        <v>3188.9775803379202</v>
      </c>
      <c r="G21" s="26" t="s">
        <v>211</v>
      </c>
      <c r="H21" s="26" t="s">
        <v>212</v>
      </c>
      <c r="J21" s="45"/>
      <c r="M21" s="105">
        <f>M20/M19*M16</f>
        <v>2083.4227842055566</v>
      </c>
      <c r="N21" s="26" t="s">
        <v>211</v>
      </c>
      <c r="O21" s="26" t="s">
        <v>212</v>
      </c>
      <c r="Q21" s="45"/>
    </row>
    <row r="22" spans="1:17" x14ac:dyDescent="0.35">
      <c r="A22" s="38"/>
      <c r="D22" s="45"/>
      <c r="F22" s="106">
        <f>F20*F15</f>
        <v>637795.51606758405</v>
      </c>
      <c r="H22" t="s">
        <v>213</v>
      </c>
      <c r="J22" s="45"/>
      <c r="M22" s="106">
        <f>M20*M15</f>
        <v>416684.55684111128</v>
      </c>
      <c r="O22" t="s">
        <v>213</v>
      </c>
      <c r="Q22" s="45"/>
    </row>
    <row r="23" spans="1:17" x14ac:dyDescent="0.35">
      <c r="A23" s="38"/>
      <c r="D23" s="45"/>
      <c r="F23" s="106">
        <f>F21/F16*F18*1000</f>
        <v>212.59850535586136</v>
      </c>
      <c r="G23" t="s">
        <v>53</v>
      </c>
      <c r="H23" t="s">
        <v>214</v>
      </c>
      <c r="J23" s="45"/>
      <c r="M23" s="106">
        <f>M21/M16*M18*1000</f>
        <v>208.34227842055566</v>
      </c>
      <c r="N23" t="s">
        <v>53</v>
      </c>
      <c r="O23" t="s">
        <v>214</v>
      </c>
      <c r="Q23" s="45"/>
    </row>
    <row r="24" spans="1:17" x14ac:dyDescent="0.35">
      <c r="A24" s="38"/>
      <c r="D24" s="45"/>
      <c r="F24" s="106">
        <f>F23-F18*1000</f>
        <v>12.598505355861363</v>
      </c>
      <c r="G24" t="s">
        <v>53</v>
      </c>
      <c r="H24" t="s">
        <v>215</v>
      </c>
      <c r="J24" s="45"/>
      <c r="M24" s="106">
        <f>M23-M18*1000</f>
        <v>8.3422784205556582</v>
      </c>
      <c r="N24" t="s">
        <v>53</v>
      </c>
      <c r="O24" t="s">
        <v>215</v>
      </c>
      <c r="Q24" s="45"/>
    </row>
    <row r="25" spans="1:17" ht="13.15" x14ac:dyDescent="0.4">
      <c r="A25" s="38"/>
      <c r="D25" s="45"/>
      <c r="F25" s="244">
        <f>F22/(F23)</f>
        <v>3000</v>
      </c>
      <c r="H25" t="s">
        <v>315</v>
      </c>
      <c r="J25" s="45"/>
      <c r="M25" s="38">
        <f>M22/(M23)</f>
        <v>1999.9999999999998</v>
      </c>
      <c r="O25" t="s">
        <v>315</v>
      </c>
      <c r="Q25" s="45"/>
    </row>
    <row r="26" spans="1:17" x14ac:dyDescent="0.35">
      <c r="A26" s="38"/>
      <c r="D26" s="45"/>
      <c r="F26" s="38"/>
      <c r="J26" s="45"/>
      <c r="M26" s="38"/>
      <c r="Q26" s="45"/>
    </row>
    <row r="27" spans="1:17" x14ac:dyDescent="0.35">
      <c r="A27" s="38" t="s">
        <v>191</v>
      </c>
      <c r="D27" s="45"/>
      <c r="F27" s="38" t="s">
        <v>191</v>
      </c>
      <c r="J27" s="45"/>
      <c r="M27" s="38" t="s">
        <v>191</v>
      </c>
      <c r="Q27" s="45"/>
    </row>
    <row r="28" spans="1:17" x14ac:dyDescent="0.35">
      <c r="A28" s="38">
        <v>100</v>
      </c>
      <c r="B28" t="s">
        <v>53</v>
      </c>
      <c r="C28" t="s">
        <v>216</v>
      </c>
      <c r="D28" s="45"/>
      <c r="F28" s="38">
        <v>100</v>
      </c>
      <c r="G28" t="s">
        <v>53</v>
      </c>
      <c r="H28" t="s">
        <v>216</v>
      </c>
      <c r="J28" s="45"/>
      <c r="M28" s="38">
        <v>100</v>
      </c>
      <c r="N28" t="s">
        <v>53</v>
      </c>
      <c r="O28" t="s">
        <v>216</v>
      </c>
      <c r="Q28" s="45"/>
    </row>
    <row r="29" spans="1:17" x14ac:dyDescent="0.35">
      <c r="A29" s="38">
        <v>300</v>
      </c>
      <c r="B29" t="s">
        <v>38</v>
      </c>
      <c r="C29" t="s">
        <v>217</v>
      </c>
      <c r="D29" s="45"/>
      <c r="F29" s="38">
        <v>300</v>
      </c>
      <c r="G29" t="s">
        <v>38</v>
      </c>
      <c r="H29" t="s">
        <v>218</v>
      </c>
      <c r="J29" s="45"/>
      <c r="M29" s="38">
        <v>300</v>
      </c>
      <c r="N29" t="s">
        <v>38</v>
      </c>
      <c r="O29" t="s">
        <v>218</v>
      </c>
      <c r="Q29" s="45"/>
    </row>
    <row r="30" spans="1:17" x14ac:dyDescent="0.35">
      <c r="A30" s="38">
        <f>A28*A29</f>
        <v>30000</v>
      </c>
      <c r="B30" t="s">
        <v>219</v>
      </c>
      <c r="C30" t="s">
        <v>220</v>
      </c>
      <c r="D30" s="45"/>
      <c r="F30" s="38">
        <f>F28*F29</f>
        <v>30000</v>
      </c>
      <c r="G30" t="s">
        <v>219</v>
      </c>
      <c r="H30" t="s">
        <v>220</v>
      </c>
      <c r="J30" s="45"/>
      <c r="M30" s="38">
        <f>M28*M29</f>
        <v>30000</v>
      </c>
      <c r="N30" t="s">
        <v>219</v>
      </c>
      <c r="O30" t="s">
        <v>220</v>
      </c>
      <c r="Q30" s="45"/>
    </row>
    <row r="31" spans="1:17" x14ac:dyDescent="0.35">
      <c r="A31" s="106">
        <f>A30/A21</f>
        <v>6.0005192221557024</v>
      </c>
      <c r="B31" t="s">
        <v>53</v>
      </c>
      <c r="C31" t="s">
        <v>221</v>
      </c>
      <c r="D31" s="45"/>
      <c r="F31" s="106">
        <f>F30/F25</f>
        <v>10</v>
      </c>
      <c r="G31" t="s">
        <v>53</v>
      </c>
      <c r="H31" t="s">
        <v>221</v>
      </c>
      <c r="J31" s="45"/>
      <c r="M31" s="106">
        <f>M30/M25</f>
        <v>15.000000000000002</v>
      </c>
      <c r="N31" t="s">
        <v>53</v>
      </c>
      <c r="O31" t="s">
        <v>221</v>
      </c>
      <c r="Q31" s="45"/>
    </row>
    <row r="32" spans="1:17" x14ac:dyDescent="0.35">
      <c r="A32" s="106">
        <f>A28-A31</f>
        <v>93.999480777844298</v>
      </c>
      <c r="B32" t="s">
        <v>53</v>
      </c>
      <c r="C32" t="s">
        <v>222</v>
      </c>
      <c r="D32" s="45"/>
      <c r="F32" s="106">
        <f>F28-F31</f>
        <v>90</v>
      </c>
      <c r="G32" t="s">
        <v>53</v>
      </c>
      <c r="H32" t="s">
        <v>222</v>
      </c>
      <c r="J32" s="45"/>
      <c r="M32" s="106">
        <f>M28-M31</f>
        <v>85</v>
      </c>
      <c r="N32" t="s">
        <v>53</v>
      </c>
      <c r="O32" t="s">
        <v>222</v>
      </c>
      <c r="Q32" s="45"/>
    </row>
    <row r="33" spans="1:17" x14ac:dyDescent="0.35">
      <c r="A33" s="38"/>
      <c r="D33" s="45"/>
      <c r="F33" s="38"/>
      <c r="J33" s="45"/>
      <c r="M33" s="38"/>
      <c r="Q33" s="45"/>
    </row>
    <row r="34" spans="1:17" x14ac:dyDescent="0.35">
      <c r="A34" s="47"/>
      <c r="B34" s="48"/>
      <c r="C34" s="48"/>
      <c r="D34" s="89"/>
      <c r="F34" s="47"/>
      <c r="G34" s="48"/>
      <c r="H34" s="48"/>
      <c r="I34" s="48"/>
      <c r="J34" s="89"/>
      <c r="M34" s="47"/>
      <c r="N34" s="48"/>
      <c r="O34" s="48"/>
      <c r="P34" s="48"/>
      <c r="Q34" s="89"/>
    </row>
    <row r="37" spans="1:17" ht="13.15" x14ac:dyDescent="0.4">
      <c r="A37" s="8" t="s">
        <v>223</v>
      </c>
    </row>
    <row r="39" spans="1:17" x14ac:dyDescent="0.35">
      <c r="F39" s="29"/>
    </row>
    <row r="40" spans="1:17" ht="13.15" x14ac:dyDescent="0.4">
      <c r="A40" t="s">
        <v>224</v>
      </c>
      <c r="C40" s="8">
        <f>A12</f>
        <v>49.4</v>
      </c>
      <c r="D40" t="s">
        <v>225</v>
      </c>
      <c r="G40" s="8">
        <f>F12</f>
        <v>39</v>
      </c>
      <c r="H40" t="s">
        <v>225</v>
      </c>
      <c r="N40" s="8">
        <v>70</v>
      </c>
    </row>
    <row r="42" spans="1:17" ht="13.15" x14ac:dyDescent="0.4">
      <c r="A42" t="s">
        <v>226</v>
      </c>
      <c r="B42" s="107">
        <f>0.56*C42</f>
        <v>8736</v>
      </c>
      <c r="C42" s="108">
        <v>15600</v>
      </c>
      <c r="D42" s="109">
        <f>1.56*C42</f>
        <v>24336</v>
      </c>
      <c r="F42" s="107">
        <f>0.56*G42</f>
        <v>10248.000000000002</v>
      </c>
      <c r="G42" s="108">
        <v>18300</v>
      </c>
      <c r="H42" s="109">
        <f>1.56*G42</f>
        <v>28548</v>
      </c>
      <c r="M42" s="107">
        <f>0.56*N42</f>
        <v>14000.000000000002</v>
      </c>
      <c r="N42" s="108">
        <v>25000</v>
      </c>
      <c r="O42" s="109">
        <f>1.56*N42</f>
        <v>39000</v>
      </c>
    </row>
    <row r="43" spans="1:17" x14ac:dyDescent="0.35">
      <c r="A43" t="s">
        <v>227</v>
      </c>
      <c r="B43" s="47">
        <v>41252</v>
      </c>
      <c r="C43" s="48">
        <v>20600</v>
      </c>
      <c r="D43" s="89">
        <v>92</v>
      </c>
      <c r="F43" s="47">
        <v>43502</v>
      </c>
      <c r="G43" s="48"/>
      <c r="H43" s="89">
        <v>134</v>
      </c>
      <c r="M43" s="47">
        <v>20135</v>
      </c>
      <c r="N43" s="48">
        <v>10070</v>
      </c>
      <c r="O43" s="89">
        <v>0</v>
      </c>
    </row>
    <row r="44" spans="1:17" x14ac:dyDescent="0.35">
      <c r="A44" t="s">
        <v>228</v>
      </c>
      <c r="B44" s="110">
        <v>13047</v>
      </c>
      <c r="C44" s="110">
        <v>13354</v>
      </c>
      <c r="D44" s="110">
        <f>D43-L43</f>
        <v>92</v>
      </c>
      <c r="F44" s="110">
        <f>F43-G43</f>
        <v>43502</v>
      </c>
      <c r="G44" s="110">
        <f>G43-H43</f>
        <v>-134</v>
      </c>
      <c r="H44" s="110">
        <f>H43-P43</f>
        <v>134</v>
      </c>
      <c r="M44" s="110">
        <f>M43-N43</f>
        <v>10065</v>
      </c>
      <c r="N44" s="110">
        <f>N43-O43</f>
        <v>10070</v>
      </c>
      <c r="O44" s="110">
        <f>O43-B43</f>
        <v>-41252</v>
      </c>
    </row>
    <row r="46" spans="1:17" ht="13.15" x14ac:dyDescent="0.4">
      <c r="A46" t="s">
        <v>229</v>
      </c>
      <c r="B46" s="111">
        <f>(1-B44/C44)</f>
        <v>2.2989366481952933E-2</v>
      </c>
      <c r="F46" s="111">
        <f>(1-F44/G44)</f>
        <v>325.64179104477614</v>
      </c>
      <c r="M46" s="111">
        <f>(1-M44/N44)</f>
        <v>4.9652432969216065E-4</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J44"/>
  <sheetViews>
    <sheetView zoomScale="70" zoomScaleNormal="70" workbookViewId="0">
      <selection sqref="A1:B1"/>
    </sheetView>
  </sheetViews>
  <sheetFormatPr defaultColWidth="11.53125" defaultRowHeight="12.75" x14ac:dyDescent="0.35"/>
  <sheetData>
    <row r="1" spans="1:4" ht="14.25" x14ac:dyDescent="0.45">
      <c r="A1" s="263" t="s">
        <v>230</v>
      </c>
      <c r="B1" s="263"/>
      <c r="C1" s="263" t="s">
        <v>231</v>
      </c>
      <c r="D1" s="263"/>
    </row>
    <row r="2" spans="1:4" ht="92.85" customHeight="1" x14ac:dyDescent="0.45">
      <c r="A2" s="264" t="s">
        <v>232</v>
      </c>
      <c r="B2" s="264"/>
      <c r="C2" s="264" t="s">
        <v>233</v>
      </c>
      <c r="D2" s="264"/>
    </row>
    <row r="3" spans="1:4" ht="57" x14ac:dyDescent="0.45">
      <c r="A3" s="112" t="s">
        <v>234</v>
      </c>
      <c r="B3" s="113" t="s">
        <v>235</v>
      </c>
      <c r="C3" s="112" t="s">
        <v>189</v>
      </c>
      <c r="D3" s="114" t="s">
        <v>190</v>
      </c>
    </row>
    <row r="4" spans="1:4" ht="14.25" x14ac:dyDescent="0.45">
      <c r="A4" s="1" t="s">
        <v>195</v>
      </c>
      <c r="B4" s="114" t="s">
        <v>193</v>
      </c>
      <c r="C4" s="1" t="s">
        <v>195</v>
      </c>
      <c r="D4" s="114" t="s">
        <v>193</v>
      </c>
    </row>
    <row r="5" spans="1:4" ht="13.15" x14ac:dyDescent="0.4">
      <c r="A5">
        <v>4</v>
      </c>
      <c r="B5" s="42">
        <f>'6 - Thresholds'!$M4</f>
        <v>56.373774227433167</v>
      </c>
      <c r="C5" s="8">
        <v>4</v>
      </c>
      <c r="D5" s="58">
        <f t="shared" ref="D5:D30" si="0">CubicSpline(C5,$A$5:$A$34,$B$5:$B$34)</f>
        <v>56.373774227433159</v>
      </c>
    </row>
    <row r="6" spans="1:4" ht="13.15" x14ac:dyDescent="0.4">
      <c r="A6">
        <v>5</v>
      </c>
      <c r="B6" s="42">
        <f>'6 - Thresholds'!$M5</f>
        <v>93.378383844046184</v>
      </c>
      <c r="C6">
        <v>5</v>
      </c>
      <c r="D6" s="58">
        <f t="shared" si="0"/>
        <v>93.378383844046169</v>
      </c>
    </row>
    <row r="7" spans="1:4" ht="13.15" x14ac:dyDescent="0.4">
      <c r="A7">
        <v>6</v>
      </c>
      <c r="B7" s="42">
        <f>'6 - Thresholds'!$M6</f>
        <v>146.20388070254049</v>
      </c>
      <c r="C7" s="8">
        <v>6</v>
      </c>
      <c r="D7" s="58">
        <f t="shared" si="0"/>
        <v>146.20388070254046</v>
      </c>
    </row>
    <row r="8" spans="1:4" ht="13.15" x14ac:dyDescent="0.4">
      <c r="A8">
        <v>7</v>
      </c>
      <c r="B8" s="42">
        <f>'6 - Thresholds'!$M7</f>
        <v>209.21288607751393</v>
      </c>
      <c r="C8">
        <v>7</v>
      </c>
      <c r="D8" s="58">
        <f t="shared" si="0"/>
        <v>209.21288607751393</v>
      </c>
    </row>
    <row r="9" spans="1:4" ht="13.15" x14ac:dyDescent="0.4">
      <c r="A9">
        <v>8</v>
      </c>
      <c r="B9" s="42">
        <f>'6 - Thresholds'!$M8</f>
        <v>273.51327940883499</v>
      </c>
      <c r="C9">
        <v>8</v>
      </c>
      <c r="D9" s="58">
        <f t="shared" si="0"/>
        <v>273.51327940883493</v>
      </c>
    </row>
    <row r="10" spans="1:4" ht="13.15" x14ac:dyDescent="0.4">
      <c r="A10">
        <v>9</v>
      </c>
      <c r="B10" s="42">
        <f>'6 - Thresholds'!$M9</f>
        <v>348.98971315768063</v>
      </c>
      <c r="C10">
        <v>9</v>
      </c>
      <c r="D10" s="58">
        <f t="shared" si="0"/>
        <v>348.98971315768063</v>
      </c>
    </row>
    <row r="11" spans="1:4" ht="13.15" x14ac:dyDescent="0.4">
      <c r="A11">
        <v>10</v>
      </c>
      <c r="B11" s="42">
        <f>'6 - Thresholds'!$M10</f>
        <v>439.28325476561287</v>
      </c>
      <c r="C11">
        <v>10</v>
      </c>
      <c r="D11" s="58">
        <f t="shared" si="0"/>
        <v>439.28325476561304</v>
      </c>
    </row>
    <row r="12" spans="1:4" ht="13.15" x14ac:dyDescent="0.4">
      <c r="A12">
        <v>11</v>
      </c>
      <c r="B12" s="42">
        <f>'6 - Thresholds'!$M11</f>
        <v>536.93474276608219</v>
      </c>
      <c r="C12">
        <v>11</v>
      </c>
      <c r="D12" s="58">
        <f t="shared" si="0"/>
        <v>536.93474276608208</v>
      </c>
    </row>
    <row r="13" spans="1:4" ht="13.15" x14ac:dyDescent="0.4">
      <c r="A13">
        <v>12</v>
      </c>
      <c r="B13" s="42">
        <f>'6 - Thresholds'!$M12</f>
        <v>635.53211445242005</v>
      </c>
      <c r="C13">
        <v>12</v>
      </c>
      <c r="D13" s="58">
        <f t="shared" si="0"/>
        <v>635.53211445242027</v>
      </c>
    </row>
    <row r="14" spans="1:4" ht="13.15" x14ac:dyDescent="0.4">
      <c r="A14">
        <v>13</v>
      </c>
      <c r="B14" s="42">
        <f>'6 - Thresholds'!$M13</f>
        <v>741.4037911810334</v>
      </c>
      <c r="C14">
        <v>13</v>
      </c>
      <c r="D14" s="58">
        <f t="shared" si="0"/>
        <v>741.4037911810334</v>
      </c>
    </row>
    <row r="15" spans="1:4" ht="13.15" x14ac:dyDescent="0.4">
      <c r="A15">
        <v>14</v>
      </c>
      <c r="B15" s="42">
        <f>'6 - Thresholds'!$M14</f>
        <v>854.86318962192786</v>
      </c>
      <c r="C15" s="8">
        <v>14</v>
      </c>
      <c r="D15" s="58">
        <f t="shared" si="0"/>
        <v>854.86318962192752</v>
      </c>
    </row>
    <row r="16" spans="1:4" ht="13.15" x14ac:dyDescent="0.4">
      <c r="A16">
        <v>15</v>
      </c>
      <c r="B16" s="42">
        <f>'6 - Thresholds'!$M15</f>
        <v>971.34961616754276</v>
      </c>
      <c r="C16">
        <v>15</v>
      </c>
      <c r="D16" s="58">
        <f t="shared" si="0"/>
        <v>971.34961616754288</v>
      </c>
    </row>
    <row r="17" spans="1:36" ht="13.15" x14ac:dyDescent="0.4">
      <c r="A17">
        <v>16</v>
      </c>
      <c r="B17" s="42">
        <f>'6 - Thresholds'!$M16</f>
        <v>1088.6802599175317</v>
      </c>
      <c r="C17">
        <v>16</v>
      </c>
      <c r="D17" s="58">
        <f t="shared" si="0"/>
        <v>1088.6802599175317</v>
      </c>
    </row>
    <row r="18" spans="1:36" ht="13.15" x14ac:dyDescent="0.4">
      <c r="A18">
        <v>17</v>
      </c>
      <c r="B18" s="42">
        <f>'6 - Thresholds'!$M17</f>
        <v>1206.8995893566339</v>
      </c>
      <c r="C18">
        <v>17</v>
      </c>
      <c r="D18" s="58">
        <f t="shared" si="0"/>
        <v>1206.8995893566339</v>
      </c>
    </row>
    <row r="19" spans="1:36" ht="13.15" x14ac:dyDescent="0.4">
      <c r="A19">
        <v>18</v>
      </c>
      <c r="B19" s="42">
        <f>'6 - Thresholds'!$M18</f>
        <v>1329.4008916497762</v>
      </c>
      <c r="C19">
        <v>18</v>
      </c>
      <c r="D19" s="58">
        <f t="shared" si="0"/>
        <v>1329.4008916497762</v>
      </c>
    </row>
    <row r="20" spans="1:36" ht="13.15" x14ac:dyDescent="0.4">
      <c r="A20">
        <v>19</v>
      </c>
      <c r="B20" s="42">
        <f>'6 - Thresholds'!$M19</f>
        <v>1461.1650125488522</v>
      </c>
      <c r="C20">
        <v>19</v>
      </c>
      <c r="D20" s="58">
        <f t="shared" si="0"/>
        <v>1461.1650125488532</v>
      </c>
    </row>
    <row r="21" spans="1:36" ht="13.15" x14ac:dyDescent="0.4">
      <c r="A21">
        <v>20</v>
      </c>
      <c r="B21" s="42">
        <f>'6 - Thresholds'!$M20</f>
        <v>1612.1396246428449</v>
      </c>
      <c r="C21">
        <v>20</v>
      </c>
      <c r="D21" s="58">
        <f t="shared" si="0"/>
        <v>1612.139624642843</v>
      </c>
      <c r="F21" t="s">
        <v>292</v>
      </c>
    </row>
    <row r="22" spans="1:36" ht="13.15" x14ac:dyDescent="0.4">
      <c r="A22">
        <v>21</v>
      </c>
      <c r="B22" s="42">
        <f>'6 - Thresholds'!$M21</f>
        <v>1797.7737378078166</v>
      </c>
      <c r="C22" s="8">
        <v>21</v>
      </c>
      <c r="D22" s="58">
        <f t="shared" si="0"/>
        <v>1797.7737378078068</v>
      </c>
      <c r="G22" s="42">
        <f>'6 - Curve'!$D$5</f>
        <v>56.373774227433159</v>
      </c>
      <c r="H22" s="42">
        <f>'6 - Curve'!$D$6</f>
        <v>93.378383844046169</v>
      </c>
      <c r="I22" s="42">
        <f>'6 - Curve'!$D$7</f>
        <v>146.20388070254046</v>
      </c>
      <c r="J22" s="42">
        <f>'6 - Curve'!$D$8</f>
        <v>209.21288607751393</v>
      </c>
      <c r="K22" s="42">
        <f>'6 - Curve'!$D$9</f>
        <v>273.51327940883493</v>
      </c>
      <c r="L22" s="42">
        <f>'6 - Curve'!$D$10</f>
        <v>348.98971315768063</v>
      </c>
      <c r="M22" s="42">
        <f>'6 - Curve'!$D$11</f>
        <v>439.28325476561304</v>
      </c>
      <c r="N22" s="42">
        <f>'6 - Curve'!$D$12</f>
        <v>536.93474276608208</v>
      </c>
      <c r="O22" s="42">
        <f>'6 - Curve'!$D$13</f>
        <v>635.53211445242027</v>
      </c>
      <c r="P22" s="42">
        <f>'6 - Curve'!$D$14</f>
        <v>741.4037911810334</v>
      </c>
      <c r="Q22" s="42">
        <f>'6 - Curve'!$D$15</f>
        <v>854.86318962192752</v>
      </c>
      <c r="R22" s="42">
        <f>'6 - Curve'!$D$16</f>
        <v>971.34961616754288</v>
      </c>
      <c r="S22" s="42">
        <f>'6 - Curve'!$D$17</f>
        <v>1088.6802599175317</v>
      </c>
      <c r="T22" s="42">
        <f>'6 - Curve'!$D$18</f>
        <v>1206.8995893566339</v>
      </c>
      <c r="U22" s="42">
        <f>'6 - Curve'!$D$19</f>
        <v>1329.4008916497762</v>
      </c>
      <c r="V22" s="42">
        <f>'6 - Curve'!$D$20</f>
        <v>1461.1650125488532</v>
      </c>
      <c r="W22" s="42">
        <f>'6 - Curve'!$D$21</f>
        <v>1612.139624642843</v>
      </c>
      <c r="X22" s="42">
        <f>'6 - Curve'!$D$22</f>
        <v>1797.7737378078068</v>
      </c>
      <c r="Y22" s="42">
        <f>'6 - Curve'!$D$23</f>
        <v>1991.1778011423148</v>
      </c>
      <c r="Z22" s="42">
        <f>'6 - Curve'!$D$24</f>
        <v>2200.058555676017</v>
      </c>
      <c r="AA22" s="42">
        <f>'6 - Curve'!$D$25</f>
        <v>2450.3878526020053</v>
      </c>
      <c r="AB22" s="42">
        <f>'6 - Curve'!$D$26</f>
        <v>2721.976847191856</v>
      </c>
      <c r="AC22" s="42">
        <f>'6 - Curve'!$D$27</f>
        <v>3002.6569572390699</v>
      </c>
      <c r="AD22" s="42">
        <f>'6 - Curve'!$D$28</f>
        <v>3304.9038617650303</v>
      </c>
      <c r="AE22" s="42">
        <f>'6 - Curve'!$D$29</f>
        <v>3629.2172924134729</v>
      </c>
      <c r="AF22" s="42">
        <f>'6 - Curve'!$D$30</f>
        <v>3986.7456517223354</v>
      </c>
      <c r="AG22" s="42">
        <f>'6 - Curve'!$D$31</f>
        <v>4411.6231647171353</v>
      </c>
      <c r="AH22" s="58">
        <f>'6 - Curve'!$D$32</f>
        <v>17889.525787712497</v>
      </c>
      <c r="AI22" s="58">
        <f>'6 - Curve'!$D$33</f>
        <v>15611.845410610362</v>
      </c>
      <c r="AJ22" s="58">
        <f>'6 - Curve'!$D$34</f>
        <v>25000.000000000018</v>
      </c>
    </row>
    <row r="23" spans="1:36" ht="13.15" x14ac:dyDescent="0.4">
      <c r="A23">
        <v>22</v>
      </c>
      <c r="B23" s="42">
        <f>'6 - Thresholds'!$M22</f>
        <v>1991.1778011423132</v>
      </c>
      <c r="C23">
        <v>22</v>
      </c>
      <c r="D23" s="58">
        <f t="shared" si="0"/>
        <v>1991.1778011423148</v>
      </c>
      <c r="F23" s="135" t="s">
        <v>236</v>
      </c>
      <c r="G23" s="135">
        <f t="shared" ref="G23:AJ23" si="1">INT(G22+0.5)</f>
        <v>56</v>
      </c>
      <c r="H23" s="135">
        <f t="shared" si="1"/>
        <v>93</v>
      </c>
      <c r="I23" s="135">
        <f t="shared" si="1"/>
        <v>146</v>
      </c>
      <c r="J23" s="135">
        <f t="shared" si="1"/>
        <v>209</v>
      </c>
      <c r="K23" s="135">
        <f t="shared" si="1"/>
        <v>274</v>
      </c>
      <c r="L23" s="135">
        <f t="shared" si="1"/>
        <v>349</v>
      </c>
      <c r="M23" s="135">
        <f t="shared" si="1"/>
        <v>439</v>
      </c>
      <c r="N23" s="135">
        <f t="shared" si="1"/>
        <v>537</v>
      </c>
      <c r="O23" s="135">
        <f t="shared" si="1"/>
        <v>636</v>
      </c>
      <c r="P23" s="135">
        <f t="shared" si="1"/>
        <v>741</v>
      </c>
      <c r="Q23" s="135">
        <f t="shared" si="1"/>
        <v>855</v>
      </c>
      <c r="R23" s="135">
        <f t="shared" si="1"/>
        <v>971</v>
      </c>
      <c r="S23" s="135">
        <f t="shared" si="1"/>
        <v>1089</v>
      </c>
      <c r="T23" s="135">
        <f t="shared" si="1"/>
        <v>1207</v>
      </c>
      <c r="U23" s="135">
        <f t="shared" si="1"/>
        <v>1329</v>
      </c>
      <c r="V23" s="135">
        <f t="shared" si="1"/>
        <v>1461</v>
      </c>
      <c r="W23" s="135">
        <f t="shared" si="1"/>
        <v>1612</v>
      </c>
      <c r="X23" s="135">
        <f t="shared" si="1"/>
        <v>1798</v>
      </c>
      <c r="Y23" s="135">
        <f t="shared" si="1"/>
        <v>1991</v>
      </c>
      <c r="Z23" s="135">
        <f t="shared" si="1"/>
        <v>2200</v>
      </c>
      <c r="AA23" s="135">
        <f t="shared" si="1"/>
        <v>2450</v>
      </c>
      <c r="AB23" s="135">
        <f t="shared" si="1"/>
        <v>2722</v>
      </c>
      <c r="AC23" s="135">
        <f t="shared" si="1"/>
        <v>3003</v>
      </c>
      <c r="AD23" s="135">
        <f t="shared" si="1"/>
        <v>3305</v>
      </c>
      <c r="AE23" s="135">
        <f t="shared" si="1"/>
        <v>3629</v>
      </c>
      <c r="AF23" s="135">
        <f t="shared" si="1"/>
        <v>3987</v>
      </c>
      <c r="AG23" s="135">
        <f t="shared" si="1"/>
        <v>4412</v>
      </c>
      <c r="AH23" s="241">
        <f t="shared" si="1"/>
        <v>17890</v>
      </c>
      <c r="AI23" s="241">
        <f t="shared" si="1"/>
        <v>15612</v>
      </c>
      <c r="AJ23" s="241">
        <f t="shared" si="1"/>
        <v>25000</v>
      </c>
    </row>
    <row r="24" spans="1:36" ht="13.15" x14ac:dyDescent="0.4">
      <c r="A24">
        <v>23</v>
      </c>
      <c r="B24" s="42">
        <f>'6 - Thresholds'!$M23</f>
        <v>2200.058555676017</v>
      </c>
      <c r="C24">
        <v>23</v>
      </c>
      <c r="D24" s="58">
        <f t="shared" si="0"/>
        <v>2200.058555676017</v>
      </c>
    </row>
    <row r="25" spans="1:36" ht="13.15" x14ac:dyDescent="0.4">
      <c r="A25">
        <v>24</v>
      </c>
      <c r="B25" s="42">
        <f>'6 - Thresholds'!$M24</f>
        <v>2450.3878526020017</v>
      </c>
      <c r="C25">
        <v>24</v>
      </c>
      <c r="D25" s="58">
        <f t="shared" si="0"/>
        <v>2450.3878526020053</v>
      </c>
    </row>
    <row r="26" spans="1:36" ht="13.15" x14ac:dyDescent="0.4">
      <c r="A26">
        <v>25</v>
      </c>
      <c r="B26" s="42">
        <f>'6 - Thresholds'!$M25</f>
        <v>2721.9768471918637</v>
      </c>
      <c r="C26" s="8">
        <v>25</v>
      </c>
      <c r="D26" s="58">
        <f t="shared" si="0"/>
        <v>2721.976847191856</v>
      </c>
    </row>
    <row r="27" spans="1:36" ht="13.15" x14ac:dyDescent="0.4">
      <c r="A27">
        <v>26</v>
      </c>
      <c r="B27" s="42">
        <f>'6 - Thresholds'!$M26</f>
        <v>3002.6569572390667</v>
      </c>
      <c r="C27">
        <v>26</v>
      </c>
      <c r="D27" s="58">
        <f t="shared" si="0"/>
        <v>3002.6569572390699</v>
      </c>
      <c r="F27" s="50">
        <v>10</v>
      </c>
      <c r="G27">
        <f>CubicSpline(F27, $A$5:$A$107, $B$5:$B$107)</f>
        <v>439.28325476561304</v>
      </c>
    </row>
    <row r="28" spans="1:36" ht="13.15" x14ac:dyDescent="0.4">
      <c r="A28">
        <v>27</v>
      </c>
      <c r="B28" s="42">
        <f>'6 - Thresholds'!$M27</f>
        <v>3304.9038617650313</v>
      </c>
      <c r="C28">
        <v>27</v>
      </c>
      <c r="D28" s="58">
        <f t="shared" si="0"/>
        <v>3304.9038617650303</v>
      </c>
      <c r="F28" s="50">
        <v>11</v>
      </c>
      <c r="G28">
        <f>CubicSpline(F28, $A$5:$A$107, $B$5:$B$107)</f>
        <v>536.93474276608208</v>
      </c>
    </row>
    <row r="29" spans="1:36" ht="13.15" x14ac:dyDescent="0.4">
      <c r="A29">
        <v>28</v>
      </c>
      <c r="B29" s="42">
        <f>'6 - Thresholds'!$M28</f>
        <v>3629.2172924134661</v>
      </c>
      <c r="C29">
        <v>28</v>
      </c>
      <c r="D29" s="58">
        <f t="shared" si="0"/>
        <v>3629.2172924134729</v>
      </c>
      <c r="F29">
        <v>9</v>
      </c>
      <c r="G29">
        <f>CubicSpline(F29, $A$5:$A$107, $B$5:$B$107)</f>
        <v>348.98971315768063</v>
      </c>
    </row>
    <row r="30" spans="1:36" ht="13.15" x14ac:dyDescent="0.4">
      <c r="A30">
        <v>29</v>
      </c>
      <c r="B30" s="42">
        <f>'6 - Thresholds'!$M29</f>
        <v>3986.74565172232</v>
      </c>
      <c r="C30">
        <v>29</v>
      </c>
      <c r="D30" s="58">
        <f t="shared" si="0"/>
        <v>3986.7456517223354</v>
      </c>
    </row>
    <row r="31" spans="1:36" ht="13.15" x14ac:dyDescent="0.4">
      <c r="A31">
        <v>30</v>
      </c>
      <c r="B31" s="42">
        <f>'6 - Thresholds'!$M30</f>
        <v>4411.6231647171417</v>
      </c>
      <c r="C31">
        <v>30</v>
      </c>
      <c r="D31" s="58">
        <f>CubicSpline(C31,$A$5:$A$34,$B$5:$B$34)</f>
        <v>4411.6231647171353</v>
      </c>
    </row>
    <row r="32" spans="1:36" ht="13.15" x14ac:dyDescent="0.4">
      <c r="A32">
        <f>'6 - Spheres'!$G$40</f>
        <v>39</v>
      </c>
      <c r="B32">
        <f>'6 - Spheres'!$G$42</f>
        <v>18300</v>
      </c>
      <c r="C32" s="8">
        <v>38</v>
      </c>
      <c r="D32" s="58">
        <f t="shared" ref="D32:D34" si="2">CubicSpline(C32,$A$5:$A$34,$B$5:$B$34)</f>
        <v>17889.525787712497</v>
      </c>
    </row>
    <row r="33" spans="1:4" ht="13.15" x14ac:dyDescent="0.4">
      <c r="A33">
        <f>'6 - Spheres'!$C$40</f>
        <v>49.4</v>
      </c>
      <c r="B33">
        <f>'6 - Spheres'!$C$42</f>
        <v>15600</v>
      </c>
      <c r="C33" s="8">
        <v>50</v>
      </c>
      <c r="D33" s="58">
        <f t="shared" si="2"/>
        <v>15611.845410610362</v>
      </c>
    </row>
    <row r="34" spans="1:4" ht="13.15" x14ac:dyDescent="0.4">
      <c r="A34">
        <f>'6 - Spheres'!$N$40</f>
        <v>70</v>
      </c>
      <c r="B34">
        <f>'6 - Spheres'!$N$42</f>
        <v>25000</v>
      </c>
      <c r="C34" s="8">
        <v>70</v>
      </c>
      <c r="D34" s="58">
        <f t="shared" si="2"/>
        <v>25000.000000000018</v>
      </c>
    </row>
    <row r="36" spans="1:4" ht="40.15" x14ac:dyDescent="0.35">
      <c r="A36" s="115" t="s">
        <v>237</v>
      </c>
    </row>
    <row r="39" spans="1:4" ht="13.15" x14ac:dyDescent="0.4">
      <c r="A39" t="s">
        <v>238</v>
      </c>
    </row>
    <row r="40" spans="1:4" ht="13.15" x14ac:dyDescent="0.4">
      <c r="A40" t="s">
        <v>239</v>
      </c>
    </row>
    <row r="41" spans="1:4" x14ac:dyDescent="0.35">
      <c r="A41" t="s">
        <v>240</v>
      </c>
    </row>
    <row r="42" spans="1:4" x14ac:dyDescent="0.35">
      <c r="A42" t="s">
        <v>241</v>
      </c>
    </row>
    <row r="44" spans="1:4" x14ac:dyDescent="0.35">
      <c r="A44" t="s">
        <v>242</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O34"/>
  <sheetViews>
    <sheetView zoomScaleNormal="100" workbookViewId="0">
      <selection activeCell="A15" sqref="A15"/>
    </sheetView>
  </sheetViews>
  <sheetFormatPr defaultColWidth="11.53125" defaultRowHeight="12.75" x14ac:dyDescent="0.35"/>
  <cols>
    <col min="2" max="2" width="15.19921875" customWidth="1"/>
  </cols>
  <sheetData>
    <row r="1" spans="1:15" ht="27.75" x14ac:dyDescent="0.4">
      <c r="A1" s="265" t="s">
        <v>293</v>
      </c>
      <c r="B1" s="265"/>
      <c r="C1" s="265"/>
      <c r="D1" s="265"/>
      <c r="E1" s="265"/>
      <c r="F1" s="10"/>
      <c r="G1" s="10"/>
      <c r="H1" s="10"/>
      <c r="I1" s="10"/>
      <c r="J1" s="10"/>
      <c r="K1" s="10"/>
      <c r="L1" s="10"/>
      <c r="M1" s="10"/>
      <c r="N1" s="10"/>
      <c r="O1" s="10"/>
    </row>
    <row r="2" spans="1:15" ht="13.15" x14ac:dyDescent="0.4">
      <c r="A2" s="10"/>
      <c r="B2" s="10"/>
      <c r="C2" s="10"/>
      <c r="D2" s="10"/>
      <c r="E2" s="10"/>
      <c r="F2" s="10"/>
      <c r="G2" s="10"/>
      <c r="H2" s="10"/>
      <c r="I2" s="10"/>
      <c r="J2" s="10"/>
      <c r="K2" s="10"/>
      <c r="L2" s="10"/>
      <c r="M2" s="10"/>
      <c r="N2" s="10"/>
      <c r="O2" s="10"/>
    </row>
    <row r="3" spans="1:15" ht="15.75" x14ac:dyDescent="0.5">
      <c r="A3" s="11" t="s">
        <v>243</v>
      </c>
      <c r="B3" s="10"/>
      <c r="C3" s="10"/>
      <c r="D3" s="10"/>
      <c r="E3" s="10"/>
      <c r="F3" s="10"/>
      <c r="G3" s="11"/>
      <c r="H3" s="10"/>
      <c r="I3" s="10"/>
      <c r="J3" s="10"/>
      <c r="K3" s="10"/>
      <c r="L3" s="11"/>
      <c r="M3" s="10"/>
      <c r="N3" s="10"/>
      <c r="O3" s="10"/>
    </row>
    <row r="4" spans="1:15" ht="13.15" x14ac:dyDescent="0.4">
      <c r="A4" s="10"/>
      <c r="B4" s="10"/>
      <c r="C4" s="10"/>
      <c r="E4" s="10"/>
      <c r="F4" s="10"/>
      <c r="G4" s="10"/>
      <c r="H4" s="10"/>
      <c r="I4" s="10"/>
      <c r="J4" s="10"/>
      <c r="K4" s="10"/>
      <c r="L4" s="10"/>
      <c r="M4" s="10"/>
      <c r="N4" s="10"/>
      <c r="O4" s="10"/>
    </row>
    <row r="5" spans="1:15" ht="13.15" x14ac:dyDescent="0.4">
      <c r="A5" s="10" t="s">
        <v>117</v>
      </c>
      <c r="B5" s="10"/>
      <c r="C5" s="12" t="s">
        <v>244</v>
      </c>
      <c r="E5" s="10"/>
      <c r="K5" s="10"/>
      <c r="L5" s="10"/>
      <c r="M5" s="10"/>
      <c r="N5" s="10"/>
      <c r="O5" s="10"/>
    </row>
    <row r="6" spans="1:15" ht="13.15" x14ac:dyDescent="0.4">
      <c r="A6" s="10" t="s">
        <v>22</v>
      </c>
      <c r="B6" s="10"/>
      <c r="C6" s="12" t="s">
        <v>23</v>
      </c>
      <c r="E6" s="10"/>
      <c r="K6" s="10"/>
      <c r="L6" s="10"/>
      <c r="M6" s="10"/>
      <c r="N6" s="10"/>
      <c r="O6" s="10"/>
    </row>
    <row r="7" spans="1:15" ht="13.15" x14ac:dyDescent="0.4">
      <c r="A7" s="10" t="s">
        <v>24</v>
      </c>
      <c r="B7" s="10"/>
      <c r="C7" s="12" t="s">
        <v>25</v>
      </c>
      <c r="E7" s="10"/>
      <c r="K7" s="10"/>
      <c r="L7" s="10"/>
      <c r="M7" s="10"/>
      <c r="N7" s="10"/>
      <c r="O7" s="10"/>
    </row>
    <row r="8" spans="1:15" ht="13.15" x14ac:dyDescent="0.4">
      <c r="A8" s="10" t="s">
        <v>26</v>
      </c>
      <c r="B8" s="10"/>
      <c r="C8" s="12" t="s">
        <v>23</v>
      </c>
      <c r="E8" s="10"/>
      <c r="K8" s="10"/>
      <c r="L8" s="10"/>
      <c r="M8" s="10"/>
      <c r="N8" s="10"/>
      <c r="O8" s="10"/>
    </row>
    <row r="9" spans="1:15" ht="13.15" x14ac:dyDescent="0.4">
      <c r="A9" s="10" t="s">
        <v>27</v>
      </c>
      <c r="B9" s="10"/>
      <c r="C9" s="12" t="s">
        <v>25</v>
      </c>
      <c r="E9" s="10"/>
      <c r="K9" s="10"/>
      <c r="L9" s="10"/>
      <c r="M9" s="10"/>
      <c r="N9" s="10"/>
      <c r="O9" s="10"/>
    </row>
    <row r="10" spans="1:15" ht="13.15" x14ac:dyDescent="0.4">
      <c r="A10" s="10" t="s">
        <v>28</v>
      </c>
      <c r="B10" s="10"/>
      <c r="C10" s="96">
        <v>45820</v>
      </c>
      <c r="E10" s="10"/>
      <c r="K10" s="10"/>
      <c r="L10" s="10"/>
      <c r="M10" s="10"/>
      <c r="N10" s="10"/>
      <c r="O10" s="10"/>
    </row>
    <row r="11" spans="1:15" ht="13.15" x14ac:dyDescent="0.4">
      <c r="A11" s="10" t="s">
        <v>29</v>
      </c>
      <c r="B11" s="10"/>
      <c r="C11" s="13" t="s">
        <v>30</v>
      </c>
      <c r="E11" s="10"/>
      <c r="K11" s="10"/>
      <c r="L11" s="10"/>
      <c r="M11" s="10"/>
      <c r="N11" s="10"/>
      <c r="O11" s="10"/>
    </row>
    <row r="12" spans="1:15" ht="13.15" x14ac:dyDescent="0.4">
      <c r="A12" s="10" t="s">
        <v>31</v>
      </c>
      <c r="B12" s="10"/>
      <c r="C12" s="14">
        <v>36</v>
      </c>
      <c r="E12" s="10"/>
      <c r="F12" s="46"/>
      <c r="K12" s="10"/>
      <c r="L12" s="10"/>
      <c r="M12" s="10"/>
      <c r="N12" s="10"/>
      <c r="O12" s="10"/>
    </row>
    <row r="13" spans="1:15" ht="13.15" x14ac:dyDescent="0.4">
      <c r="A13" s="10"/>
      <c r="B13" s="10"/>
      <c r="C13" s="10"/>
      <c r="D13" s="12"/>
      <c r="E13" s="10"/>
      <c r="F13" s="50"/>
      <c r="K13" s="10"/>
      <c r="L13" s="10"/>
      <c r="M13" s="10"/>
      <c r="N13" s="10"/>
      <c r="O13" s="10"/>
    </row>
    <row r="14" spans="1:15" ht="13.15" x14ac:dyDescent="0.4">
      <c r="A14" s="8" t="s">
        <v>245</v>
      </c>
      <c r="E14" s="10"/>
      <c r="I14" s="10"/>
      <c r="J14" s="12"/>
      <c r="K14" s="10"/>
      <c r="L14" s="10"/>
      <c r="M14" s="10"/>
      <c r="N14" s="10"/>
      <c r="O14" s="10"/>
    </row>
    <row r="15" spans="1:15" ht="13.15" x14ac:dyDescent="0.4">
      <c r="E15" s="10"/>
      <c r="F15" s="50"/>
      <c r="I15" s="10"/>
      <c r="J15" s="10"/>
      <c r="K15" s="10"/>
      <c r="L15" s="10"/>
      <c r="M15" s="10"/>
      <c r="N15" s="10"/>
      <c r="O15" s="10"/>
    </row>
    <row r="16" spans="1:15" ht="13.15" x14ac:dyDescent="0.4">
      <c r="A16" s="10"/>
      <c r="E16" s="10"/>
      <c r="F16" s="46"/>
      <c r="I16" s="10"/>
      <c r="M16" s="10"/>
      <c r="N16" s="12"/>
      <c r="O16" s="10"/>
    </row>
    <row r="17" spans="1:15" ht="13.15" x14ac:dyDescent="0.4">
      <c r="A17" s="10"/>
      <c r="E17" s="10"/>
      <c r="I17" s="10"/>
      <c r="M17" s="10"/>
      <c r="N17" s="16"/>
      <c r="O17" s="10"/>
    </row>
    <row r="18" spans="1:15" ht="13.15" x14ac:dyDescent="0.4">
      <c r="A18" s="10"/>
      <c r="B18" s="12" t="s">
        <v>246</v>
      </c>
      <c r="C18" s="12" t="s">
        <v>39</v>
      </c>
      <c r="E18" s="10"/>
      <c r="I18" s="10"/>
      <c r="M18" s="10"/>
      <c r="N18" s="16"/>
      <c r="O18" s="10"/>
    </row>
    <row r="19" spans="1:15" ht="13.15" x14ac:dyDescent="0.4">
      <c r="A19" s="10"/>
      <c r="B19" s="10"/>
      <c r="C19" s="10"/>
      <c r="F19" s="10"/>
      <c r="G19" s="10"/>
      <c r="H19" s="27"/>
      <c r="I19" s="26"/>
      <c r="J19" s="26"/>
    </row>
    <row r="20" spans="1:15" ht="13.15" x14ac:dyDescent="0.4">
      <c r="A20" s="10" t="s">
        <v>247</v>
      </c>
      <c r="B20" s="17">
        <v>9105</v>
      </c>
      <c r="C20" s="18">
        <f>(B20-$B$26)/$B$26</f>
        <v>-2.9347992728705483E-3</v>
      </c>
      <c r="F20" s="10"/>
      <c r="G20" s="10"/>
      <c r="H20" s="28"/>
      <c r="I20" s="26"/>
      <c r="J20" s="26"/>
    </row>
    <row r="21" spans="1:15" ht="13.15" x14ac:dyDescent="0.4">
      <c r="A21" s="10" t="s">
        <v>248</v>
      </c>
      <c r="B21" s="19">
        <v>9129</v>
      </c>
      <c r="C21" s="18">
        <f>(B21-$B$26)/$B$26</f>
        <v>-3.0662081955356804E-4</v>
      </c>
      <c r="E21" s="10"/>
      <c r="F21" s="10"/>
      <c r="G21" s="10"/>
      <c r="H21" s="27"/>
      <c r="I21" s="26"/>
      <c r="J21" s="26"/>
    </row>
    <row r="22" spans="1:15" ht="13.15" x14ac:dyDescent="0.4">
      <c r="A22" s="10" t="s">
        <v>249</v>
      </c>
      <c r="B22" s="19">
        <v>9164</v>
      </c>
      <c r="C22" s="18">
        <f>(B22-$B$26)/$B$26</f>
        <v>3.5261394248670285E-3</v>
      </c>
      <c r="E22" s="10"/>
      <c r="F22" s="10"/>
      <c r="G22" s="10"/>
      <c r="H22" s="28"/>
      <c r="I22" s="26"/>
      <c r="J22" s="26"/>
    </row>
    <row r="23" spans="1:15" ht="13.15" x14ac:dyDescent="0.4">
      <c r="A23" s="10" t="s">
        <v>250</v>
      </c>
      <c r="B23" s="19">
        <v>9170</v>
      </c>
      <c r="C23" s="18">
        <f>(B23-$B$26)/$B$26</f>
        <v>4.1831840381962738E-3</v>
      </c>
      <c r="E23" s="10"/>
      <c r="F23" s="10"/>
      <c r="G23" s="10"/>
      <c r="H23" s="27"/>
      <c r="I23" s="26"/>
      <c r="J23" s="26"/>
    </row>
    <row r="24" spans="1:15" ht="13.15" x14ac:dyDescent="0.4">
      <c r="A24" s="10" t="s">
        <v>251</v>
      </c>
      <c r="B24" s="20">
        <v>9091</v>
      </c>
      <c r="C24" s="18">
        <f>(B24-$B$26)/$B$26</f>
        <v>-4.4679033706387867E-3</v>
      </c>
      <c r="E24" s="30"/>
      <c r="F24" s="10"/>
      <c r="G24" s="10"/>
      <c r="H24" s="31"/>
      <c r="I24" s="26"/>
      <c r="J24" s="26"/>
    </row>
    <row r="25" spans="1:15" ht="13.15" x14ac:dyDescent="0.4">
      <c r="A25" s="10"/>
      <c r="B25" s="10"/>
      <c r="C25" s="10"/>
      <c r="E25" s="10"/>
      <c r="F25" s="10"/>
      <c r="G25" s="10"/>
      <c r="H25" s="10"/>
      <c r="I25" s="10"/>
    </row>
    <row r="26" spans="1:15" ht="13.15" x14ac:dyDescent="0.4">
      <c r="A26" s="10" t="s">
        <v>50</v>
      </c>
      <c r="B26" s="21">
        <f>AVERAGE(B20:B24)</f>
        <v>9131.7999999999993</v>
      </c>
      <c r="C26" s="10"/>
      <c r="E26" s="10"/>
      <c r="F26" s="10"/>
      <c r="G26" s="10"/>
      <c r="H26" s="10"/>
      <c r="I26" s="18"/>
    </row>
    <row r="27" spans="1:15" ht="13.15" x14ac:dyDescent="0.4">
      <c r="A27" s="10" t="s">
        <v>51</v>
      </c>
      <c r="B27" s="21">
        <f>STDEVP(B20:B24)</f>
        <v>31.262757395981563</v>
      </c>
      <c r="C27" s="10"/>
      <c r="E27" s="10"/>
      <c r="F27" s="10"/>
      <c r="G27" s="10"/>
      <c r="H27" s="10"/>
      <c r="I27" s="10"/>
    </row>
    <row r="28" spans="1:15" ht="13.15" x14ac:dyDescent="0.4">
      <c r="A28" s="10"/>
      <c r="B28" s="21"/>
      <c r="C28" s="10"/>
      <c r="E28" s="10"/>
      <c r="F28" s="10"/>
      <c r="G28" s="10"/>
      <c r="H28" s="10"/>
      <c r="I28" s="10"/>
    </row>
    <row r="29" spans="1:15" ht="13.15" x14ac:dyDescent="0.4">
      <c r="A29" s="10"/>
      <c r="B29" s="10"/>
      <c r="C29" s="10"/>
      <c r="E29" s="10"/>
      <c r="F29" s="10"/>
      <c r="G29" s="10"/>
      <c r="H29" s="10"/>
      <c r="I29" s="10"/>
    </row>
    <row r="30" spans="1:15" ht="13.15" x14ac:dyDescent="0.4">
      <c r="A30" s="10"/>
      <c r="B30" s="18"/>
      <c r="C30" s="10"/>
      <c r="E30" s="10"/>
      <c r="F30" s="10"/>
      <c r="G30" s="10"/>
      <c r="H30" s="10"/>
      <c r="I30" s="18"/>
    </row>
    <row r="31" spans="1:15" ht="13.15" x14ac:dyDescent="0.4">
      <c r="A31" s="10"/>
      <c r="B31" s="10"/>
      <c r="C31" s="10"/>
    </row>
    <row r="32" spans="1:15" ht="13.15" x14ac:dyDescent="0.4">
      <c r="A32" s="10"/>
      <c r="B32" s="10"/>
      <c r="C32" s="10"/>
    </row>
    <row r="33" spans="1:3" ht="13.15" x14ac:dyDescent="0.4">
      <c r="A33" s="10"/>
      <c r="B33" s="10"/>
      <c r="C33" s="10"/>
    </row>
    <row r="34" spans="1:3" ht="15.4" x14ac:dyDescent="0.55000000000000004">
      <c r="A34" s="10" t="s">
        <v>58</v>
      </c>
      <c r="B34" s="18">
        <f>B27/B26</f>
        <v>3.4235043908081172E-3</v>
      </c>
      <c r="C34" s="10" t="str">
        <f>IF(B34&lt;0.03,"&lt;3% = PASS","&gt;3% = FAIL")</f>
        <v>&lt;3% = PASS</v>
      </c>
    </row>
  </sheetData>
  <mergeCells count="1">
    <mergeCell ref="A1:E1"/>
  </mergeCells>
  <conditionalFormatting sqref="B34">
    <cfRule type="cellIs" dxfId="25" priority="2" operator="lessThan">
      <formula>0.03</formula>
    </cfRule>
    <cfRule type="cellIs" dxfId="24" priority="3" operator="notEqual">
      <formula>"&lt;3% = PASS"</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6537-F891-4181-B028-9D8BB02807D6}">
  <sheetPr codeName="Sheet22"/>
  <dimension ref="A1:AW117"/>
  <sheetViews>
    <sheetView topLeftCell="D1" zoomScale="70" zoomScaleNormal="70" workbookViewId="0">
      <selection activeCell="D9" sqref="D9"/>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267</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 t="shared" ref="B8:F23" si="0">B52</f>
        <v>9.4013469999999995</v>
      </c>
      <c r="C8" s="46">
        <f t="shared" si="0"/>
        <v>9.8436819999999994</v>
      </c>
      <c r="D8" s="46">
        <f t="shared" si="0"/>
        <v>9.7738219999999991</v>
      </c>
      <c r="E8" s="46">
        <f t="shared" si="0"/>
        <v>9.8394490000000001</v>
      </c>
      <c r="F8" s="46">
        <f t="shared" si="0"/>
        <v>9.8386399999999998</v>
      </c>
      <c r="G8" s="78">
        <f>AVERAGE(B$8:F$8)*5</f>
        <v>48.696939999999998</v>
      </c>
      <c r="I8" s="79"/>
      <c r="K8" s="79"/>
    </row>
    <row r="9" spans="1:49" ht="13.15" x14ac:dyDescent="0.4">
      <c r="A9" s="68" t="s">
        <v>140</v>
      </c>
      <c r="B9" s="42">
        <f t="shared" si="0"/>
        <v>1838.779053</v>
      </c>
      <c r="C9" s="42">
        <f t="shared" si="0"/>
        <v>1741.0151370000001</v>
      </c>
      <c r="D9" s="42">
        <f t="shared" si="0"/>
        <v>1871.9392089999999</v>
      </c>
      <c r="E9" s="42">
        <f t="shared" si="0"/>
        <v>1865.043457</v>
      </c>
      <c r="F9" s="42">
        <f t="shared" si="0"/>
        <v>1799.740601</v>
      </c>
      <c r="G9" s="80">
        <f t="shared" ref="G9:G38" si="1">AVERAGE(B9:F9)</f>
        <v>1823.3034914</v>
      </c>
      <c r="H9" s="81">
        <f t="shared" ref="H9:H38" si="2">G9*G$8</f>
        <v>88789.300722496308</v>
      </c>
      <c r="I9" s="79">
        <f t="shared" ref="I9:I38" si="3">STDEVP(B9:F9)/AVERAGE(B9:F9)</f>
        <v>2.6500918577882115E-2</v>
      </c>
      <c r="J9" s="79">
        <f t="shared" ref="J9:J38" si="4">IF(H9&gt;$A$43, $C$43, IF(H9&gt;$A$44, $C$44, IF(H9&gt;$A$45,$C$45,IF(H9&gt;$A$46,$C$46, IF(H9&gt;$A$47,$C$47,IF(H9&gt;$A$48,$C$48,$C$49))))))/100</f>
        <v>0.11</v>
      </c>
      <c r="K9" s="79">
        <f t="shared" ref="K9:K38" si="5">(MAX(B9:F9)-MIN(B9:F9))/G9</f>
        <v>7.1805967913477445E-2</v>
      </c>
      <c r="L9">
        <f t="shared" ref="L9:L38" si="6">COUNTA(B9:F9)</f>
        <v>5</v>
      </c>
      <c r="P9" s="42"/>
    </row>
    <row r="10" spans="1:49" ht="13.15" x14ac:dyDescent="0.4">
      <c r="A10" s="68" t="s">
        <v>141</v>
      </c>
      <c r="B10" s="42">
        <f t="shared" si="0"/>
        <v>1813.7825929999999</v>
      </c>
      <c r="C10" s="42">
        <f t="shared" si="0"/>
        <v>1715.1102289999999</v>
      </c>
      <c r="D10" s="42">
        <f t="shared" si="0"/>
        <v>1844.825928</v>
      </c>
      <c r="E10" s="42">
        <f t="shared" si="0"/>
        <v>1840.3469239999999</v>
      </c>
      <c r="F10" s="42">
        <f t="shared" si="0"/>
        <v>1776.6683350000001</v>
      </c>
      <c r="G10" s="80">
        <f t="shared" si="1"/>
        <v>1798.1468018</v>
      </c>
      <c r="H10" s="81">
        <f t="shared" si="2"/>
        <v>87564.246918446486</v>
      </c>
      <c r="I10" s="79">
        <f t="shared" si="3"/>
        <v>2.6741223952166202E-2</v>
      </c>
      <c r="J10" s="79">
        <f t="shared" si="4"/>
        <v>0.11</v>
      </c>
      <c r="K10" s="79">
        <f t="shared" si="5"/>
        <v>7.2138547792733446E-2</v>
      </c>
      <c r="L10">
        <f t="shared" si="6"/>
        <v>5</v>
      </c>
      <c r="P10" s="42"/>
    </row>
    <row r="11" spans="1:49" ht="13.15" x14ac:dyDescent="0.4">
      <c r="A11" s="68" t="s">
        <v>142</v>
      </c>
      <c r="B11" s="42">
        <f t="shared" si="0"/>
        <v>1798.5720209999999</v>
      </c>
      <c r="C11" s="42">
        <f t="shared" si="0"/>
        <v>1700.684692</v>
      </c>
      <c r="D11" s="42">
        <f t="shared" si="0"/>
        <v>1830.501953</v>
      </c>
      <c r="E11" s="42">
        <f t="shared" si="0"/>
        <v>1827.134888</v>
      </c>
      <c r="F11" s="42">
        <f t="shared" si="0"/>
        <v>1764.0649410000001</v>
      </c>
      <c r="G11" s="80">
        <f t="shared" si="1"/>
        <v>1784.1916990000002</v>
      </c>
      <c r="H11" s="81">
        <f t="shared" si="2"/>
        <v>86884.676114701069</v>
      </c>
      <c r="I11" s="79">
        <f t="shared" si="3"/>
        <v>2.6965985632613126E-2</v>
      </c>
      <c r="J11" s="79">
        <f t="shared" si="4"/>
        <v>0.11</v>
      </c>
      <c r="K11" s="79">
        <f t="shared" si="5"/>
        <v>7.2759704617367971E-2</v>
      </c>
      <c r="L11">
        <f t="shared" si="6"/>
        <v>5</v>
      </c>
      <c r="P11" s="42"/>
    </row>
    <row r="12" spans="1:49" ht="13.15" x14ac:dyDescent="0.4">
      <c r="A12" s="68" t="s">
        <v>143</v>
      </c>
      <c r="B12" s="42">
        <f t="shared" si="0"/>
        <v>1788.041626</v>
      </c>
      <c r="C12" s="42">
        <f t="shared" si="0"/>
        <v>1691.033813</v>
      </c>
      <c r="D12" s="42">
        <f t="shared" si="0"/>
        <v>1820.5775149999999</v>
      </c>
      <c r="E12" s="42">
        <f t="shared" si="0"/>
        <v>1818.5977780000001</v>
      </c>
      <c r="F12" s="42">
        <f t="shared" si="0"/>
        <v>1754.7139890000001</v>
      </c>
      <c r="G12" s="80">
        <f t="shared" si="1"/>
        <v>1774.5929442000001</v>
      </c>
      <c r="H12" s="81">
        <f t="shared" si="2"/>
        <v>86417.246128130748</v>
      </c>
      <c r="I12" s="79">
        <f t="shared" si="3"/>
        <v>2.7152943518870386E-2</v>
      </c>
      <c r="J12" s="79">
        <f t="shared" si="4"/>
        <v>0.11</v>
      </c>
      <c r="K12" s="79">
        <f t="shared" si="5"/>
        <v>7.2999108005807611E-2</v>
      </c>
      <c r="L12">
        <f t="shared" si="6"/>
        <v>5</v>
      </c>
      <c r="P12" s="42"/>
    </row>
    <row r="13" spans="1:49" ht="13.15" x14ac:dyDescent="0.4">
      <c r="A13" s="68" t="s">
        <v>144</v>
      </c>
      <c r="B13" s="42">
        <f t="shared" si="0"/>
        <v>1782.4041749999999</v>
      </c>
      <c r="C13" s="42">
        <f t="shared" si="0"/>
        <v>1685.2432859999999</v>
      </c>
      <c r="D13" s="42">
        <f t="shared" si="0"/>
        <v>1814.3363039999999</v>
      </c>
      <c r="E13" s="42">
        <f t="shared" si="0"/>
        <v>1812.9063719999999</v>
      </c>
      <c r="F13" s="42">
        <f t="shared" si="0"/>
        <v>1749.5303960000001</v>
      </c>
      <c r="G13" s="80">
        <f t="shared" si="1"/>
        <v>1768.8841065999998</v>
      </c>
      <c r="H13" s="81">
        <f t="shared" si="2"/>
        <v>86139.243206053783</v>
      </c>
      <c r="I13" s="79">
        <f t="shared" si="3"/>
        <v>2.7179302823088679E-2</v>
      </c>
      <c r="J13" s="79">
        <f t="shared" si="4"/>
        <v>0.11</v>
      </c>
      <c r="K13" s="79">
        <f t="shared" si="5"/>
        <v>7.2979918536399638E-2</v>
      </c>
      <c r="L13">
        <f t="shared" si="6"/>
        <v>5</v>
      </c>
      <c r="P13" s="42"/>
    </row>
    <row r="14" spans="1:49" ht="13.15" x14ac:dyDescent="0.4">
      <c r="A14" s="68" t="s">
        <v>145</v>
      </c>
      <c r="B14" s="42">
        <f t="shared" si="0"/>
        <v>1779.4257809999999</v>
      </c>
      <c r="C14" s="42">
        <f t="shared" si="0"/>
        <v>1679.8591309999999</v>
      </c>
      <c r="D14" s="42">
        <f t="shared" si="0"/>
        <v>1809.322876</v>
      </c>
      <c r="E14" s="42">
        <f t="shared" si="0"/>
        <v>1808.536255</v>
      </c>
      <c r="F14" s="42">
        <f t="shared" si="0"/>
        <v>1745.7696530000001</v>
      </c>
      <c r="G14" s="80">
        <f t="shared" si="1"/>
        <v>1764.5827391999999</v>
      </c>
      <c r="H14" s="81">
        <f t="shared" si="2"/>
        <v>85929.779775858042</v>
      </c>
      <c r="I14" s="79">
        <f t="shared" si="3"/>
        <v>2.7397100194296871E-2</v>
      </c>
      <c r="J14" s="79">
        <f t="shared" si="4"/>
        <v>0.11</v>
      </c>
      <c r="K14" s="79">
        <f t="shared" si="5"/>
        <v>7.3367908528162495E-2</v>
      </c>
      <c r="L14">
        <f t="shared" si="6"/>
        <v>5</v>
      </c>
      <c r="P14" s="42"/>
    </row>
    <row r="15" spans="1:49" ht="13.15" x14ac:dyDescent="0.4">
      <c r="A15" s="68" t="s">
        <v>146</v>
      </c>
      <c r="B15" s="42">
        <f t="shared" si="0"/>
        <v>1771.2354740000001</v>
      </c>
      <c r="C15" s="42">
        <f t="shared" si="0"/>
        <v>1670.411499</v>
      </c>
      <c r="D15" s="42">
        <f t="shared" si="0"/>
        <v>1800.5239260000001</v>
      </c>
      <c r="E15" s="42">
        <f t="shared" si="0"/>
        <v>1799.7958980000001</v>
      </c>
      <c r="F15" s="42">
        <f t="shared" si="0"/>
        <v>1738.5532229999999</v>
      </c>
      <c r="G15" s="80">
        <f t="shared" si="1"/>
        <v>1756.104004</v>
      </c>
      <c r="H15" s="81">
        <f t="shared" si="2"/>
        <v>85516.891316547757</v>
      </c>
      <c r="I15" s="79">
        <f t="shared" si="3"/>
        <v>2.7619196150366936E-2</v>
      </c>
      <c r="J15" s="79">
        <f t="shared" si="4"/>
        <v>0.11</v>
      </c>
      <c r="K15" s="79">
        <f t="shared" si="5"/>
        <v>7.4091526870637456E-2</v>
      </c>
      <c r="L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2">
        <f t="shared" si="0"/>
        <v>1627.107178</v>
      </c>
      <c r="C16" s="42">
        <f t="shared" si="0"/>
        <v>1540.6835940000001</v>
      </c>
      <c r="D16" s="42">
        <f t="shared" si="0"/>
        <v>1664.2414550000001</v>
      </c>
      <c r="E16" s="42">
        <f t="shared" si="0"/>
        <v>1658.527832</v>
      </c>
      <c r="F16" s="42">
        <f t="shared" si="0"/>
        <v>1624.20813</v>
      </c>
      <c r="G16" s="80">
        <f t="shared" si="1"/>
        <v>1622.9536378</v>
      </c>
      <c r="H16" s="81">
        <f t="shared" si="2"/>
        <v>79032.87592272833</v>
      </c>
      <c r="I16" s="79">
        <f t="shared" si="3"/>
        <v>2.7219226564922851E-2</v>
      </c>
      <c r="J16" s="79">
        <f t="shared" si="4"/>
        <v>0.11</v>
      </c>
      <c r="K16" s="79">
        <f t="shared" si="5"/>
        <v>7.6131479126840151E-2</v>
      </c>
      <c r="L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2">
        <f t="shared" si="0"/>
        <v>879.66119400000002</v>
      </c>
      <c r="C17" s="42">
        <f t="shared" si="0"/>
        <v>868.88214100000005</v>
      </c>
      <c r="D17" s="42">
        <f t="shared" si="0"/>
        <v>892.79303000000004</v>
      </c>
      <c r="E17" s="42">
        <f t="shared" si="0"/>
        <v>902.99774200000002</v>
      </c>
      <c r="F17" s="42">
        <f t="shared" si="0"/>
        <v>923.80651899999998</v>
      </c>
      <c r="G17" s="80">
        <f t="shared" si="1"/>
        <v>893.62812520000011</v>
      </c>
      <c r="H17" s="81">
        <f t="shared" si="2"/>
        <v>43516.955195176888</v>
      </c>
      <c r="I17" s="79">
        <f t="shared" si="3"/>
        <v>2.1271423716939963E-2</v>
      </c>
      <c r="J17" s="79">
        <f t="shared" si="4"/>
        <v>0.11</v>
      </c>
      <c r="K17" s="79">
        <f t="shared" si="5"/>
        <v>6.1462230710014283E-2</v>
      </c>
      <c r="L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2">
        <f t="shared" si="0"/>
        <v>199.22676100000001</v>
      </c>
      <c r="C18" s="42">
        <f t="shared" si="0"/>
        <v>212.217331</v>
      </c>
      <c r="D18" s="42">
        <f t="shared" si="0"/>
        <v>212.81336999999999</v>
      </c>
      <c r="E18" s="42">
        <f t="shared" si="0"/>
        <v>217.08532700000001</v>
      </c>
      <c r="F18" s="42">
        <f t="shared" si="0"/>
        <v>215.37529000000001</v>
      </c>
      <c r="G18" s="80">
        <f t="shared" si="1"/>
        <v>211.34361580000001</v>
      </c>
      <c r="H18" s="81">
        <f t="shared" si="2"/>
        <v>10291.787377995652</v>
      </c>
      <c r="I18" s="79">
        <f t="shared" si="3"/>
        <v>2.9847807075997254E-2</v>
      </c>
      <c r="J18" s="79">
        <f t="shared" si="4"/>
        <v>0.11</v>
      </c>
      <c r="K18" s="79">
        <f t="shared" si="5"/>
        <v>8.4500144148664635E-2</v>
      </c>
      <c r="L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2">
        <f t="shared" si="0"/>
        <v>79.456695999999994</v>
      </c>
      <c r="C19" s="42">
        <f t="shared" si="0"/>
        <v>76.597351000000003</v>
      </c>
      <c r="D19" s="42">
        <f t="shared" si="0"/>
        <v>78.167991999999998</v>
      </c>
      <c r="E19" s="42">
        <f t="shared" si="0"/>
        <v>79.374367000000007</v>
      </c>
      <c r="F19" s="42">
        <f t="shared" si="0"/>
        <v>80.702208999999996</v>
      </c>
      <c r="G19" s="80">
        <f t="shared" si="1"/>
        <v>78.859723000000002</v>
      </c>
      <c r="H19" s="81">
        <f t="shared" si="2"/>
        <v>3840.2271993476202</v>
      </c>
      <c r="I19" s="79">
        <f t="shared" si="3"/>
        <v>1.7582673060056436E-2</v>
      </c>
      <c r="J19" s="79">
        <f t="shared" si="4"/>
        <v>0.11900000000000001</v>
      </c>
      <c r="K19" s="79">
        <f t="shared" si="5"/>
        <v>5.205265557425294E-2</v>
      </c>
      <c r="L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2">
        <f t="shared" si="0"/>
        <v>68.288086000000007</v>
      </c>
      <c r="C20" s="42">
        <f t="shared" si="0"/>
        <v>64.508376999999996</v>
      </c>
      <c r="D20" s="42">
        <f t="shared" si="0"/>
        <v>67.220375000000004</v>
      </c>
      <c r="E20" s="42">
        <f t="shared" si="0"/>
        <v>66.873665000000003</v>
      </c>
      <c r="F20" s="42">
        <f t="shared" si="0"/>
        <v>69.216881000000001</v>
      </c>
      <c r="G20" s="80">
        <f t="shared" si="1"/>
        <v>67.221476800000005</v>
      </c>
      <c r="H20" s="81">
        <f t="shared" si="2"/>
        <v>3273.4802224409923</v>
      </c>
      <c r="I20" s="79">
        <f t="shared" si="3"/>
        <v>2.3616336040424905E-2</v>
      </c>
      <c r="J20" s="79">
        <f t="shared" si="4"/>
        <v>0.11900000000000001</v>
      </c>
      <c r="K20" s="79">
        <f t="shared" si="5"/>
        <v>7.0044637876804344E-2</v>
      </c>
      <c r="L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2">
        <f t="shared" si="0"/>
        <v>57.864047999999997</v>
      </c>
      <c r="C21" s="42">
        <f t="shared" si="0"/>
        <v>54.654342999999997</v>
      </c>
      <c r="D21" s="42">
        <f t="shared" si="0"/>
        <v>55.863509999999998</v>
      </c>
      <c r="E21" s="42">
        <f t="shared" si="0"/>
        <v>57.421913000000004</v>
      </c>
      <c r="F21" s="42">
        <f t="shared" si="0"/>
        <v>61.797156999999999</v>
      </c>
      <c r="G21" s="80">
        <f t="shared" si="1"/>
        <v>57.520194199999992</v>
      </c>
      <c r="H21" s="81">
        <f t="shared" si="2"/>
        <v>2801.0574457457474</v>
      </c>
      <c r="I21" s="79">
        <f t="shared" si="3"/>
        <v>4.2141098203132367E-2</v>
      </c>
      <c r="J21" s="79">
        <f t="shared" si="4"/>
        <v>0.11900000000000001</v>
      </c>
      <c r="K21" s="79">
        <f t="shared" si="5"/>
        <v>0.12417923999289979</v>
      </c>
      <c r="L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2">
        <f t="shared" si="0"/>
        <v>42.866196000000002</v>
      </c>
      <c r="C22" s="42">
        <f t="shared" si="0"/>
        <v>42.971724999999999</v>
      </c>
      <c r="D22" s="42">
        <f t="shared" si="0"/>
        <v>41.027962000000002</v>
      </c>
      <c r="E22" s="42">
        <f t="shared" si="0"/>
        <v>44.514687000000002</v>
      </c>
      <c r="F22" s="42">
        <f t="shared" si="0"/>
        <v>48.990509000000003</v>
      </c>
      <c r="G22" s="80">
        <f t="shared" si="1"/>
        <v>44.074215800000005</v>
      </c>
      <c r="H22" s="81">
        <f t="shared" si="2"/>
        <v>2146.279442359652</v>
      </c>
      <c r="I22" s="79">
        <f t="shared" si="3"/>
        <v>6.1149630885245179E-2</v>
      </c>
      <c r="J22" s="79">
        <f t="shared" si="4"/>
        <v>0.11900000000000001</v>
      </c>
      <c r="K22" s="79">
        <f t="shared" si="5"/>
        <v>0.18066225014943998</v>
      </c>
      <c r="L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2">
        <f t="shared" si="0"/>
        <v>30.633907000000001</v>
      </c>
      <c r="C23" s="42">
        <f t="shared" si="0"/>
        <v>32.914512999999999</v>
      </c>
      <c r="D23" s="42">
        <f t="shared" si="0"/>
        <v>30.387295000000002</v>
      </c>
      <c r="E23" s="42">
        <f t="shared" si="0"/>
        <v>32.11562</v>
      </c>
      <c r="F23" s="42">
        <f t="shared" si="0"/>
        <v>35.065823000000002</v>
      </c>
      <c r="G23" s="80">
        <f t="shared" si="1"/>
        <v>32.223431599999998</v>
      </c>
      <c r="H23" s="81">
        <f t="shared" si="2"/>
        <v>1569.1825152193039</v>
      </c>
      <c r="I23" s="79">
        <f t="shared" si="3"/>
        <v>5.2786555145442657E-2</v>
      </c>
      <c r="J23" s="79">
        <f t="shared" si="4"/>
        <v>0.13400000000000001</v>
      </c>
      <c r="K23" s="79">
        <f t="shared" si="5"/>
        <v>0.14519024721128709</v>
      </c>
      <c r="L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2">
        <f t="shared" ref="B24:F38" si="7">B68</f>
        <v>21.486281999999999</v>
      </c>
      <c r="C24" s="42">
        <f t="shared" si="7"/>
        <v>23.670003999999999</v>
      </c>
      <c r="D24" s="42">
        <f t="shared" si="7"/>
        <v>22.09985</v>
      </c>
      <c r="E24" s="42">
        <f t="shared" si="7"/>
        <v>24.696504999999998</v>
      </c>
      <c r="F24" s="42">
        <f t="shared" si="7"/>
        <v>25.308375999999999</v>
      </c>
      <c r="G24" s="80">
        <f t="shared" si="1"/>
        <v>23.452203399999998</v>
      </c>
      <c r="H24" s="81">
        <f t="shared" si="2"/>
        <v>1142.0505418375958</v>
      </c>
      <c r="I24" s="79">
        <f t="shared" si="3"/>
        <v>6.2478193712815495E-2</v>
      </c>
      <c r="J24" s="79">
        <f t="shared" si="4"/>
        <v>0.13400000000000001</v>
      </c>
      <c r="K24" s="79">
        <f t="shared" si="5"/>
        <v>0.16297376987613882</v>
      </c>
      <c r="L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2">
        <f t="shared" si="7"/>
        <v>18.720721999999999</v>
      </c>
      <c r="C25" s="42">
        <f t="shared" si="7"/>
        <v>20.216013</v>
      </c>
      <c r="D25" s="42">
        <f t="shared" si="7"/>
        <v>18.825797999999999</v>
      </c>
      <c r="E25" s="42">
        <f t="shared" si="7"/>
        <v>21.139395</v>
      </c>
      <c r="F25" s="42">
        <f t="shared" si="7"/>
        <v>21.242773</v>
      </c>
      <c r="G25" s="80">
        <f t="shared" si="1"/>
        <v>20.028940200000001</v>
      </c>
      <c r="H25" s="81">
        <f t="shared" si="2"/>
        <v>975.34809918298799</v>
      </c>
      <c r="I25" s="79">
        <f t="shared" si="3"/>
        <v>5.4237639389496009E-2</v>
      </c>
      <c r="J25" s="79">
        <f t="shared" si="4"/>
        <v>0.156</v>
      </c>
      <c r="K25" s="79">
        <f t="shared" si="5"/>
        <v>0.12592034200591407</v>
      </c>
      <c r="L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2">
        <f t="shared" si="7"/>
        <v>16.38063</v>
      </c>
      <c r="C26" s="42">
        <f t="shared" si="7"/>
        <v>18.082664000000001</v>
      </c>
      <c r="D26" s="42">
        <f t="shared" si="7"/>
        <v>17.495714</v>
      </c>
      <c r="E26" s="42">
        <f t="shared" si="7"/>
        <v>19.208393000000001</v>
      </c>
      <c r="F26" s="42">
        <f t="shared" si="7"/>
        <v>18.600131999999999</v>
      </c>
      <c r="G26" s="80">
        <f t="shared" si="1"/>
        <v>17.953506600000004</v>
      </c>
      <c r="H26" s="81">
        <f t="shared" si="2"/>
        <v>874.28083368980413</v>
      </c>
      <c r="I26" s="79">
        <f t="shared" si="3"/>
        <v>5.3962716199754124E-2</v>
      </c>
      <c r="J26" s="79">
        <f t="shared" si="4"/>
        <v>0.156</v>
      </c>
      <c r="K26" s="79">
        <f t="shared" si="5"/>
        <v>0.15750477402559343</v>
      </c>
      <c r="L26">
        <f t="shared" si="6"/>
        <v>5</v>
      </c>
      <c r="P26" s="42"/>
    </row>
    <row r="27" spans="1:49" ht="13.15" x14ac:dyDescent="0.4">
      <c r="A27" s="68" t="s">
        <v>158</v>
      </c>
      <c r="B27" s="42">
        <f t="shared" si="7"/>
        <v>13.615069999999999</v>
      </c>
      <c r="C27" s="42">
        <f t="shared" si="7"/>
        <v>15.339788</v>
      </c>
      <c r="D27" s="42">
        <f t="shared" si="7"/>
        <v>15.551746</v>
      </c>
      <c r="E27" s="42">
        <f t="shared" si="7"/>
        <v>16.565968000000002</v>
      </c>
      <c r="F27" s="42">
        <f t="shared" si="7"/>
        <v>16.364049999999999</v>
      </c>
      <c r="G27" s="80">
        <f t="shared" si="1"/>
        <v>15.4873244</v>
      </c>
      <c r="H27" s="81">
        <f t="shared" si="2"/>
        <v>754.185307067336</v>
      </c>
      <c r="I27" s="79">
        <f t="shared" si="3"/>
        <v>6.7494602976683388E-2</v>
      </c>
      <c r="J27" s="79">
        <f t="shared" si="4"/>
        <v>0.156</v>
      </c>
      <c r="K27" s="79">
        <f t="shared" si="5"/>
        <v>0.19053633305440429</v>
      </c>
      <c r="L27">
        <f t="shared" si="6"/>
        <v>5</v>
      </c>
      <c r="P27" s="42"/>
    </row>
    <row r="28" spans="1:49" ht="13.15" x14ac:dyDescent="0.4">
      <c r="A28" s="68" t="s">
        <v>159</v>
      </c>
      <c r="B28" s="42">
        <f t="shared" si="7"/>
        <v>11.381347999999999</v>
      </c>
      <c r="C28" s="42">
        <f t="shared" si="7"/>
        <v>11.885795999999999</v>
      </c>
      <c r="D28" s="42">
        <f t="shared" si="7"/>
        <v>13.096208000000001</v>
      </c>
      <c r="E28" s="42">
        <f t="shared" si="7"/>
        <v>12.907227000000001</v>
      </c>
      <c r="F28" s="42">
        <f t="shared" si="7"/>
        <v>13.721408</v>
      </c>
      <c r="G28" s="80">
        <f t="shared" si="1"/>
        <v>12.5983974</v>
      </c>
      <c r="H28" s="81">
        <f t="shared" si="2"/>
        <v>613.50340228395601</v>
      </c>
      <c r="I28" s="79">
        <f t="shared" si="3"/>
        <v>6.7289870344604999E-2</v>
      </c>
      <c r="J28" s="79">
        <f t="shared" si="4"/>
        <v>0.156</v>
      </c>
      <c r="K28" s="79">
        <f t="shared" si="5"/>
        <v>0.18574267231798874</v>
      </c>
      <c r="L28">
        <f t="shared" si="6"/>
        <v>5</v>
      </c>
      <c r="P28" s="42"/>
    </row>
    <row r="29" spans="1:49" ht="13.15" x14ac:dyDescent="0.4">
      <c r="A29" s="68" t="s">
        <v>160</v>
      </c>
      <c r="B29" s="42">
        <f t="shared" si="7"/>
        <v>9.5730959999999996</v>
      </c>
      <c r="C29" s="42">
        <f t="shared" si="7"/>
        <v>9.9556240000000003</v>
      </c>
      <c r="D29" s="42">
        <f t="shared" si="7"/>
        <v>10.742983000000001</v>
      </c>
      <c r="E29" s="42">
        <f t="shared" si="7"/>
        <v>11.281119</v>
      </c>
      <c r="F29" s="42">
        <f t="shared" si="7"/>
        <v>11.790247000000001</v>
      </c>
      <c r="G29" s="80">
        <f t="shared" si="1"/>
        <v>10.668613800000001</v>
      </c>
      <c r="H29" s="81">
        <f t="shared" si="2"/>
        <v>519.52884610177205</v>
      </c>
      <c r="I29" s="79">
        <f t="shared" si="3"/>
        <v>7.6692387073912446E-2</v>
      </c>
      <c r="J29" s="79">
        <f t="shared" si="4"/>
        <v>0.156</v>
      </c>
      <c r="K29" s="79">
        <f t="shared" si="5"/>
        <v>0.20781997001334898</v>
      </c>
      <c r="L29">
        <f t="shared" si="6"/>
        <v>5</v>
      </c>
      <c r="P29" s="42"/>
    </row>
    <row r="30" spans="1:49" ht="13.15" x14ac:dyDescent="0.4">
      <c r="A30" s="68" t="s">
        <v>161</v>
      </c>
      <c r="B30" s="42">
        <f t="shared" si="7"/>
        <v>7.9775799999999997</v>
      </c>
      <c r="C30" s="42">
        <f t="shared" si="7"/>
        <v>8.8381559999999997</v>
      </c>
      <c r="D30" s="42">
        <f t="shared" si="7"/>
        <v>8.9013290000000005</v>
      </c>
      <c r="E30" s="42">
        <f t="shared" si="7"/>
        <v>9.5533809999999999</v>
      </c>
      <c r="F30" s="42">
        <f t="shared" si="7"/>
        <v>10.062366000000001</v>
      </c>
      <c r="G30" s="80">
        <f t="shared" si="1"/>
        <v>9.0665624000000005</v>
      </c>
      <c r="H30" s="81">
        <f t="shared" si="2"/>
        <v>441.51384519905599</v>
      </c>
      <c r="I30" s="79">
        <f t="shared" si="3"/>
        <v>7.7896523593317279E-2</v>
      </c>
      <c r="J30" s="79">
        <f t="shared" si="4"/>
        <v>0.193</v>
      </c>
      <c r="K30" s="79">
        <f t="shared" si="5"/>
        <v>0.2299422766891232</v>
      </c>
      <c r="L30">
        <f t="shared" si="6"/>
        <v>5</v>
      </c>
      <c r="P30" s="42"/>
    </row>
    <row r="31" spans="1:49" ht="13.15" x14ac:dyDescent="0.4">
      <c r="A31" s="68" t="s">
        <v>162</v>
      </c>
      <c r="B31" s="42">
        <f t="shared" si="7"/>
        <v>6.9139030000000004</v>
      </c>
      <c r="C31" s="42">
        <f t="shared" si="7"/>
        <v>7.923864</v>
      </c>
      <c r="D31" s="42">
        <f t="shared" si="7"/>
        <v>7.7758729999999998</v>
      </c>
      <c r="E31" s="42">
        <f t="shared" si="7"/>
        <v>8.5370640000000009</v>
      </c>
      <c r="F31" s="42">
        <f t="shared" si="7"/>
        <v>8.5377659999999995</v>
      </c>
      <c r="G31" s="80">
        <f t="shared" si="1"/>
        <v>7.9376940000000005</v>
      </c>
      <c r="H31" s="81">
        <f t="shared" si="2"/>
        <v>386.54140845635999</v>
      </c>
      <c r="I31" s="79">
        <f t="shared" si="3"/>
        <v>7.5459591225153611E-2</v>
      </c>
      <c r="J31" s="79">
        <f t="shared" si="4"/>
        <v>0.193</v>
      </c>
      <c r="K31" s="79">
        <f t="shared" si="5"/>
        <v>0.20457616531954986</v>
      </c>
      <c r="L31">
        <f t="shared" si="6"/>
        <v>5</v>
      </c>
      <c r="P31" s="42"/>
    </row>
    <row r="32" spans="1:49" ht="13.15" x14ac:dyDescent="0.4">
      <c r="A32" s="68" t="s">
        <v>163</v>
      </c>
      <c r="B32" s="42">
        <f t="shared" si="7"/>
        <v>5.9565929999999998</v>
      </c>
      <c r="C32" s="42">
        <f t="shared" si="7"/>
        <v>6.6032200000000003</v>
      </c>
      <c r="D32" s="42">
        <f t="shared" si="7"/>
        <v>6.8550459999999998</v>
      </c>
      <c r="E32" s="42">
        <f t="shared" si="7"/>
        <v>7.3174830000000002</v>
      </c>
      <c r="F32" s="42">
        <f t="shared" si="7"/>
        <v>7.3180839999999998</v>
      </c>
      <c r="G32" s="80">
        <f t="shared" si="1"/>
        <v>6.8100852000000005</v>
      </c>
      <c r="H32" s="81">
        <f t="shared" si="2"/>
        <v>331.63031037928801</v>
      </c>
      <c r="I32" s="79">
        <f t="shared" si="3"/>
        <v>7.4550689729966896E-2</v>
      </c>
      <c r="J32" s="79">
        <f t="shared" si="4"/>
        <v>0.193</v>
      </c>
      <c r="K32" s="79">
        <f t="shared" si="5"/>
        <v>0.1999227557387975</v>
      </c>
      <c r="L32">
        <f t="shared" si="6"/>
        <v>5</v>
      </c>
      <c r="P32" s="42"/>
    </row>
    <row r="33" spans="1:16" ht="13.15" x14ac:dyDescent="0.4">
      <c r="A33" s="68" t="s">
        <v>164</v>
      </c>
      <c r="B33" s="42">
        <f t="shared" si="7"/>
        <v>5.3183870000000004</v>
      </c>
      <c r="C33" s="42">
        <f t="shared" si="7"/>
        <v>5.6889279999999998</v>
      </c>
      <c r="D33" s="42">
        <f t="shared" si="7"/>
        <v>5.4226479999999997</v>
      </c>
      <c r="E33" s="42">
        <f t="shared" si="7"/>
        <v>6.6060610000000004</v>
      </c>
      <c r="F33" s="42">
        <f t="shared" si="7"/>
        <v>6.0984040000000004</v>
      </c>
      <c r="G33" s="80">
        <f t="shared" si="1"/>
        <v>5.8268855999999998</v>
      </c>
      <c r="H33" s="81">
        <f t="shared" si="2"/>
        <v>283.75149845006399</v>
      </c>
      <c r="I33" s="79">
        <f t="shared" si="3"/>
        <v>8.1291560179438893E-2</v>
      </c>
      <c r="J33" s="79">
        <f t="shared" si="4"/>
        <v>0.193</v>
      </c>
      <c r="K33" s="79">
        <f t="shared" si="5"/>
        <v>0.22098837842294347</v>
      </c>
      <c r="L33">
        <f t="shared" si="6"/>
        <v>5</v>
      </c>
      <c r="P33" s="42"/>
    </row>
    <row r="34" spans="1:16" ht="13.15" x14ac:dyDescent="0.4">
      <c r="A34" s="68" t="s">
        <v>165</v>
      </c>
      <c r="B34" s="42">
        <f t="shared" si="7"/>
        <v>3.9356059999999999</v>
      </c>
      <c r="C34" s="42">
        <f t="shared" si="7"/>
        <v>4.165108</v>
      </c>
      <c r="D34" s="42">
        <f t="shared" si="7"/>
        <v>4.6041359999999996</v>
      </c>
      <c r="E34" s="42">
        <f t="shared" si="7"/>
        <v>5.5897439999999996</v>
      </c>
      <c r="F34" s="42">
        <f t="shared" si="7"/>
        <v>5.2852829999999997</v>
      </c>
      <c r="G34" s="80">
        <f t="shared" si="1"/>
        <v>4.7159753999999996</v>
      </c>
      <c r="H34" s="81">
        <f t="shared" si="2"/>
        <v>229.65357109527596</v>
      </c>
      <c r="I34" s="79">
        <f t="shared" si="3"/>
        <v>0.13452834236785338</v>
      </c>
      <c r="J34" s="79">
        <f t="shared" si="4"/>
        <v>0.193</v>
      </c>
      <c r="K34" s="79">
        <f t="shared" si="5"/>
        <v>0.35075204166671431</v>
      </c>
      <c r="L34">
        <f t="shared" si="6"/>
        <v>5</v>
      </c>
      <c r="P34" s="42"/>
    </row>
    <row r="35" spans="1:16" ht="13.15" x14ac:dyDescent="0.4">
      <c r="A35" s="68" t="s">
        <v>166</v>
      </c>
      <c r="B35" s="42">
        <f t="shared" si="7"/>
        <v>2.7655609999999999</v>
      </c>
      <c r="C35" s="42">
        <f t="shared" si="7"/>
        <v>3.758756</v>
      </c>
      <c r="D35" s="42">
        <f t="shared" si="7"/>
        <v>3.580994</v>
      </c>
      <c r="E35" s="42">
        <f t="shared" si="7"/>
        <v>3.9636369999999999</v>
      </c>
      <c r="F35" s="42">
        <f t="shared" si="7"/>
        <v>4.2688829999999998</v>
      </c>
      <c r="G35" s="80">
        <f t="shared" si="1"/>
        <v>3.6675662000000004</v>
      </c>
      <c r="H35" s="81">
        <f t="shared" si="2"/>
        <v>178.59925118742802</v>
      </c>
      <c r="I35" s="79">
        <f t="shared" si="3"/>
        <v>0.13788441265442714</v>
      </c>
      <c r="J35" s="79">
        <f t="shared" si="4"/>
        <v>0.27500000000000002</v>
      </c>
      <c r="K35" s="79">
        <f t="shared" si="5"/>
        <v>0.40989635033717992</v>
      </c>
      <c r="L35">
        <f t="shared" si="6"/>
        <v>5</v>
      </c>
      <c r="P35" s="42"/>
    </row>
    <row r="36" spans="1:16" ht="13.15" x14ac:dyDescent="0.4">
      <c r="A36" s="68" t="s">
        <v>167</v>
      </c>
      <c r="B36" s="42">
        <f t="shared" si="7"/>
        <v>0.42547099999999999</v>
      </c>
      <c r="C36" s="42">
        <f t="shared" si="7"/>
        <v>0.91429199999999999</v>
      </c>
      <c r="D36" s="42">
        <f t="shared" si="7"/>
        <v>0.71619900000000003</v>
      </c>
      <c r="E36" s="42">
        <f t="shared" si="7"/>
        <v>0.81305400000000005</v>
      </c>
      <c r="F36" s="42">
        <f t="shared" si="7"/>
        <v>0.91476100000000005</v>
      </c>
      <c r="G36" s="80">
        <f t="shared" si="1"/>
        <v>0.75675540000000008</v>
      </c>
      <c r="H36" s="81">
        <f t="shared" si="2"/>
        <v>36.851672308476005</v>
      </c>
      <c r="I36" s="79">
        <f t="shared" si="3"/>
        <v>0.23957456042313463</v>
      </c>
      <c r="J36" s="79">
        <f t="shared" si="4"/>
        <v>0.27500000000000002</v>
      </c>
      <c r="K36" s="79">
        <f t="shared" si="5"/>
        <v>0.64656294490927979</v>
      </c>
      <c r="L36">
        <f t="shared" si="6"/>
        <v>5</v>
      </c>
      <c r="P36" s="42"/>
    </row>
    <row r="37" spans="1:16" ht="13.15" x14ac:dyDescent="0.4">
      <c r="A37" s="68" t="s">
        <v>168</v>
      </c>
      <c r="B37" s="42">
        <f t="shared" si="7"/>
        <v>0</v>
      </c>
      <c r="C37" s="42">
        <f t="shared" si="7"/>
        <v>0.30476399999999998</v>
      </c>
      <c r="D37" s="42">
        <f t="shared" si="7"/>
        <v>0.30694199999999999</v>
      </c>
      <c r="E37" s="42">
        <f t="shared" si="7"/>
        <v>0</v>
      </c>
      <c r="F37" s="42">
        <f t="shared" si="7"/>
        <v>0.50819999999999999</v>
      </c>
      <c r="G37" s="80">
        <f t="shared" si="1"/>
        <v>0.22398119999999996</v>
      </c>
      <c r="H37" s="81">
        <f t="shared" si="2"/>
        <v>10.907199057527997</v>
      </c>
      <c r="I37" s="79">
        <f t="shared" si="3"/>
        <v>0.88062263640917371</v>
      </c>
      <c r="J37" s="79">
        <f t="shared" si="4"/>
        <v>0.27500000000000002</v>
      </c>
      <c r="K37" s="79">
        <f t="shared" si="5"/>
        <v>2.2689404289288566</v>
      </c>
      <c r="L37">
        <f t="shared" si="6"/>
        <v>5</v>
      </c>
    </row>
    <row r="38" spans="1:16" ht="13.15" x14ac:dyDescent="0.4">
      <c r="A38" s="68" t="s">
        <v>169</v>
      </c>
      <c r="B38" s="42">
        <f t="shared" si="7"/>
        <v>0</v>
      </c>
      <c r="C38" s="42">
        <f t="shared" si="7"/>
        <v>0</v>
      </c>
      <c r="D38" s="42">
        <f t="shared" si="7"/>
        <v>0</v>
      </c>
      <c r="E38" s="42">
        <f t="shared" si="7"/>
        <v>0</v>
      </c>
      <c r="F38" s="42">
        <f t="shared" si="7"/>
        <v>0.30492000000000002</v>
      </c>
      <c r="G38" s="80">
        <f t="shared" si="1"/>
        <v>6.0984000000000003E-2</v>
      </c>
      <c r="H38" s="81">
        <f t="shared" si="2"/>
        <v>2.96973418896</v>
      </c>
      <c r="I38" s="79">
        <f t="shared" si="3"/>
        <v>2</v>
      </c>
      <c r="J38" s="79">
        <f t="shared" si="4"/>
        <v>0.27500000000000002</v>
      </c>
      <c r="K38" s="79">
        <f t="shared" si="5"/>
        <v>5</v>
      </c>
      <c r="L38">
        <f t="shared" si="6"/>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t="s">
        <v>40</v>
      </c>
      <c r="C51" s="65" t="s">
        <v>41</v>
      </c>
      <c r="D51" s="65" t="s">
        <v>43</v>
      </c>
      <c r="E51" s="65" t="s">
        <v>44</v>
      </c>
      <c r="F51" s="65" t="s">
        <v>46</v>
      </c>
      <c r="G51" s="65" t="s">
        <v>40</v>
      </c>
      <c r="H51" s="65" t="s">
        <v>41</v>
      </c>
      <c r="I51" s="65" t="s">
        <v>43</v>
      </c>
      <c r="J51" s="65" t="s">
        <v>44</v>
      </c>
      <c r="K51" s="65" t="s">
        <v>46</v>
      </c>
      <c r="L51" s="65" t="s">
        <v>40</v>
      </c>
      <c r="M51" s="65" t="s">
        <v>41</v>
      </c>
      <c r="N51" s="65" t="s">
        <v>43</v>
      </c>
      <c r="O51" s="65" t="s">
        <v>44</v>
      </c>
      <c r="P51" s="65" t="s">
        <v>46</v>
      </c>
      <c r="Q51" s="65" t="s">
        <v>40</v>
      </c>
      <c r="R51" s="65" t="s">
        <v>41</v>
      </c>
      <c r="S51" s="65" t="s">
        <v>43</v>
      </c>
      <c r="T51" s="65" t="s">
        <v>44</v>
      </c>
      <c r="U51" s="65" t="s">
        <v>46</v>
      </c>
      <c r="V51" s="65" t="s">
        <v>40</v>
      </c>
      <c r="W51" s="65" t="s">
        <v>41</v>
      </c>
      <c r="X51" s="65" t="s">
        <v>43</v>
      </c>
      <c r="Y51" s="65" t="s">
        <v>44</v>
      </c>
      <c r="Z51" s="65" t="s">
        <v>46</v>
      </c>
      <c r="AA51" s="65"/>
      <c r="AB51" s="65"/>
      <c r="AC51" s="65"/>
      <c r="AD51" s="65"/>
      <c r="AE51" s="65"/>
    </row>
    <row r="52" spans="1:31" ht="13.15" x14ac:dyDescent="0.4">
      <c r="A52" s="65" t="s">
        <v>181</v>
      </c>
      <c r="B52" s="186">
        <v>9.4013469999999995</v>
      </c>
      <c r="C52" s="186">
        <v>9.8436819999999994</v>
      </c>
      <c r="D52" s="186">
        <v>9.7738219999999991</v>
      </c>
      <c r="E52" s="186">
        <v>9.8394490000000001</v>
      </c>
      <c r="F52" s="186">
        <v>9.8386399999999998</v>
      </c>
      <c r="G52" s="186">
        <v>9.3964200000000009</v>
      </c>
      <c r="H52" s="186">
        <v>9.8391719999999996</v>
      </c>
      <c r="I52" s="186">
        <v>9.7717980000000004</v>
      </c>
      <c r="J52" s="186">
        <v>9.8409580000000005</v>
      </c>
      <c r="K52" s="186">
        <v>9.8377719999999993</v>
      </c>
      <c r="L52" s="186">
        <v>9.4034879999999994</v>
      </c>
      <c r="M52" s="186">
        <v>9.8474179999999993</v>
      </c>
      <c r="N52" s="186">
        <v>9.7709329999999994</v>
      </c>
      <c r="O52" s="186">
        <v>9.8387840000000004</v>
      </c>
      <c r="P52" s="186">
        <v>9.8422610000000006</v>
      </c>
      <c r="Q52" s="186">
        <v>9.3969489999999993</v>
      </c>
      <c r="R52" s="186">
        <v>9.8371519999999997</v>
      </c>
      <c r="S52" s="186">
        <v>9.7742649999999998</v>
      </c>
      <c r="T52" s="186">
        <v>9.8321760000000005</v>
      </c>
      <c r="U52" s="186">
        <v>9.1000800000000002</v>
      </c>
      <c r="V52" s="186">
        <v>9.3977529999999998</v>
      </c>
      <c r="W52" s="186">
        <v>9.8388399999999994</v>
      </c>
      <c r="X52" s="186">
        <v>9.7722610000000003</v>
      </c>
      <c r="Y52" s="186">
        <v>9.8395860000000006</v>
      </c>
      <c r="Z52" s="186">
        <v>9.8540539999999996</v>
      </c>
      <c r="AA52" s="50"/>
      <c r="AB52" s="50"/>
      <c r="AC52" s="50"/>
      <c r="AD52" s="50"/>
      <c r="AE52" s="50"/>
    </row>
    <row r="53" spans="1:31" ht="13.15" x14ac:dyDescent="0.4">
      <c r="A53" s="8">
        <v>4</v>
      </c>
      <c r="B53" s="186">
        <v>1838.779053</v>
      </c>
      <c r="C53" s="186">
        <v>1741.0151370000001</v>
      </c>
      <c r="D53" s="186">
        <v>1871.9392089999999</v>
      </c>
      <c r="E53" s="186">
        <v>1865.043457</v>
      </c>
      <c r="F53" s="186">
        <v>1799.740601</v>
      </c>
      <c r="G53" s="186">
        <v>1826.3339840000001</v>
      </c>
      <c r="H53" s="186">
        <v>1807.367432</v>
      </c>
      <c r="I53" s="186">
        <v>1885.8350829999999</v>
      </c>
      <c r="J53" s="186">
        <v>1797.4876710000001</v>
      </c>
      <c r="K53" s="186">
        <v>1750.1929929999999</v>
      </c>
      <c r="L53" s="186">
        <v>1868.0302730000001</v>
      </c>
      <c r="M53" s="186">
        <v>1786.965942</v>
      </c>
      <c r="N53" s="186">
        <v>1832.9876710000001</v>
      </c>
      <c r="O53" s="186">
        <v>1774.2030030000001</v>
      </c>
      <c r="P53" s="186">
        <v>1677.1552730000001</v>
      </c>
      <c r="Q53" s="186">
        <v>1752.4837649999999</v>
      </c>
      <c r="R53" s="186">
        <v>1785.7811280000001</v>
      </c>
      <c r="S53" s="186">
        <v>1859.2701420000001</v>
      </c>
      <c r="T53" s="186">
        <v>1825.231689</v>
      </c>
      <c r="U53" s="186">
        <v>1559.5467530000001</v>
      </c>
      <c r="V53" s="186">
        <v>1852.6770019999999</v>
      </c>
      <c r="W53" s="186">
        <v>1816.169312</v>
      </c>
      <c r="X53" s="186">
        <v>1907.951538</v>
      </c>
      <c r="Y53" s="186">
        <v>1826.3979489999999</v>
      </c>
      <c r="Z53" s="186">
        <v>1571.3328859999999</v>
      </c>
      <c r="AA53" s="50"/>
      <c r="AB53" s="50"/>
      <c r="AC53" s="50"/>
      <c r="AD53" s="50"/>
      <c r="AE53" s="50"/>
    </row>
    <row r="54" spans="1:31" ht="13.15" x14ac:dyDescent="0.4">
      <c r="A54" s="8">
        <v>5</v>
      </c>
      <c r="B54" s="186">
        <v>1813.7825929999999</v>
      </c>
      <c r="C54" s="186">
        <v>1715.1102289999999</v>
      </c>
      <c r="D54" s="186">
        <v>1844.825928</v>
      </c>
      <c r="E54" s="186">
        <v>1840.3469239999999</v>
      </c>
      <c r="F54" s="186">
        <v>1776.6683350000001</v>
      </c>
      <c r="G54" s="186">
        <v>1803.772217</v>
      </c>
      <c r="H54" s="186">
        <v>1784.8045649999999</v>
      </c>
      <c r="I54" s="186">
        <v>1861.274658</v>
      </c>
      <c r="J54" s="186">
        <v>1776.6563719999999</v>
      </c>
      <c r="K54" s="186">
        <v>1730.0664059999999</v>
      </c>
      <c r="L54" s="186">
        <v>1845.4853519999999</v>
      </c>
      <c r="M54" s="186">
        <v>1766.757568</v>
      </c>
      <c r="N54" s="186">
        <v>1810.0625</v>
      </c>
      <c r="O54" s="186">
        <v>1753.2653809999999</v>
      </c>
      <c r="P54" s="186">
        <v>1657.3426509999999</v>
      </c>
      <c r="Q54" s="186">
        <v>1731.9451899999999</v>
      </c>
      <c r="R54" s="186">
        <v>1763.7219239999999</v>
      </c>
      <c r="S54" s="186">
        <v>1836.0458980000001</v>
      </c>
      <c r="T54" s="186">
        <v>1801.9407960000001</v>
      </c>
      <c r="U54" s="186">
        <v>1530.645996</v>
      </c>
      <c r="V54" s="186">
        <v>1829.905518</v>
      </c>
      <c r="W54" s="186">
        <v>1793.4023440000001</v>
      </c>
      <c r="X54" s="186">
        <v>1883.1876219999999</v>
      </c>
      <c r="Y54" s="186">
        <v>1804.4458010000001</v>
      </c>
      <c r="Z54" s="186">
        <v>1553.4722899999999</v>
      </c>
      <c r="AA54" s="50"/>
      <c r="AB54" s="50"/>
      <c r="AC54" s="50"/>
      <c r="AD54" s="50"/>
      <c r="AE54" s="50"/>
    </row>
    <row r="55" spans="1:31" ht="13.15" x14ac:dyDescent="0.4">
      <c r="A55" s="8">
        <v>6</v>
      </c>
      <c r="B55" s="186">
        <v>1798.5720209999999</v>
      </c>
      <c r="C55" s="186">
        <v>1700.684692</v>
      </c>
      <c r="D55" s="186">
        <v>1830.501953</v>
      </c>
      <c r="E55" s="186">
        <v>1827.134888</v>
      </c>
      <c r="F55" s="186">
        <v>1764.0649410000001</v>
      </c>
      <c r="G55" s="186">
        <v>1792.278442</v>
      </c>
      <c r="H55" s="186">
        <v>1771.8969729999999</v>
      </c>
      <c r="I55" s="186">
        <v>1847.254639</v>
      </c>
      <c r="J55" s="186">
        <v>1765.783447</v>
      </c>
      <c r="K55" s="186">
        <v>1720.511475</v>
      </c>
      <c r="L55" s="186">
        <v>1834.0002440000001</v>
      </c>
      <c r="M55" s="186">
        <v>1754.0638429999999</v>
      </c>
      <c r="N55" s="186">
        <v>1797.6788329999999</v>
      </c>
      <c r="O55" s="186">
        <v>1740.7639160000001</v>
      </c>
      <c r="P55" s="186">
        <v>1646.2680660000001</v>
      </c>
      <c r="Q55" s="186">
        <v>1722.899658</v>
      </c>
      <c r="R55" s="186">
        <v>1753.14978</v>
      </c>
      <c r="S55" s="186">
        <v>1824.4849850000001</v>
      </c>
      <c r="T55" s="186">
        <v>1790.142822</v>
      </c>
      <c r="U55" s="186">
        <v>1513.8328859999999</v>
      </c>
      <c r="V55" s="186">
        <v>1818.413452</v>
      </c>
      <c r="W55" s="186">
        <v>1782.4255370000001</v>
      </c>
      <c r="X55" s="186">
        <v>1872.1358640000001</v>
      </c>
      <c r="Y55" s="186">
        <v>1792.351807</v>
      </c>
      <c r="Z55" s="186">
        <v>1542.6137699999999</v>
      </c>
      <c r="AA55" s="50"/>
      <c r="AB55" s="50"/>
      <c r="AC55" s="50"/>
      <c r="AD55" s="50"/>
      <c r="AE55" s="50"/>
    </row>
    <row r="56" spans="1:31" ht="13.15" x14ac:dyDescent="0.4">
      <c r="A56" s="8">
        <v>7</v>
      </c>
      <c r="B56" s="186">
        <v>1788.041626</v>
      </c>
      <c r="C56" s="186">
        <v>1691.033813</v>
      </c>
      <c r="D56" s="186">
        <v>1820.5775149999999</v>
      </c>
      <c r="E56" s="186">
        <v>1818.5977780000001</v>
      </c>
      <c r="F56" s="186">
        <v>1754.7139890000001</v>
      </c>
      <c r="G56" s="186">
        <v>1785.8930660000001</v>
      </c>
      <c r="H56" s="186">
        <v>1764.7825929999999</v>
      </c>
      <c r="I56" s="186">
        <v>1840.1936040000001</v>
      </c>
      <c r="J56" s="186">
        <v>1759.4832759999999</v>
      </c>
      <c r="K56" s="186">
        <v>1716.1405030000001</v>
      </c>
      <c r="L56" s="186">
        <v>1827.194336</v>
      </c>
      <c r="M56" s="186">
        <v>1747.0570070000001</v>
      </c>
      <c r="N56" s="186">
        <v>1789.5936280000001</v>
      </c>
      <c r="O56" s="186">
        <v>1733.3442379999999</v>
      </c>
      <c r="P56" s="186">
        <v>1639.5622559999999</v>
      </c>
      <c r="Q56" s="186">
        <v>1716.7274170000001</v>
      </c>
      <c r="R56" s="186">
        <v>1747.4570309999999</v>
      </c>
      <c r="S56" s="186">
        <v>1818.4487300000001</v>
      </c>
      <c r="T56" s="186">
        <v>1784.345581</v>
      </c>
      <c r="U56" s="186">
        <v>1505.9208980000001</v>
      </c>
      <c r="V56" s="186">
        <v>1811.9224850000001</v>
      </c>
      <c r="W56" s="186">
        <v>1773.3797609999999</v>
      </c>
      <c r="X56" s="186">
        <v>1864.8704829999999</v>
      </c>
      <c r="Y56" s="186">
        <v>1784.7294919999999</v>
      </c>
      <c r="Z56" s="186">
        <v>1535.9160159999999</v>
      </c>
      <c r="AA56" s="50"/>
      <c r="AB56" s="50"/>
      <c r="AC56" s="50"/>
      <c r="AD56" s="50"/>
      <c r="AE56" s="50"/>
    </row>
    <row r="57" spans="1:31" ht="13.15" x14ac:dyDescent="0.4">
      <c r="A57" s="8">
        <v>8</v>
      </c>
      <c r="B57" s="186">
        <v>1782.4041749999999</v>
      </c>
      <c r="C57" s="186">
        <v>1685.2432859999999</v>
      </c>
      <c r="D57" s="186">
        <v>1814.3363039999999</v>
      </c>
      <c r="E57" s="186">
        <v>1812.9063719999999</v>
      </c>
      <c r="F57" s="186">
        <v>1749.5303960000001</v>
      </c>
      <c r="G57" s="186">
        <v>1781.3167719999999</v>
      </c>
      <c r="H57" s="186">
        <v>1760.107422</v>
      </c>
      <c r="I57" s="186">
        <v>1837.1235349999999</v>
      </c>
      <c r="J57" s="186">
        <v>1755.1137699999999</v>
      </c>
      <c r="K57" s="186">
        <v>1712.3795170000001</v>
      </c>
      <c r="L57" s="186">
        <v>1822.30249</v>
      </c>
      <c r="M57" s="186">
        <v>1743.299683</v>
      </c>
      <c r="N57" s="186">
        <v>1785.3975829999999</v>
      </c>
      <c r="O57" s="186">
        <v>1728.973755</v>
      </c>
      <c r="P57" s="186">
        <v>1634.58374</v>
      </c>
      <c r="Q57" s="186">
        <v>1712.470703</v>
      </c>
      <c r="R57" s="186">
        <v>1743.594116</v>
      </c>
      <c r="S57" s="186">
        <v>1813.8447269999999</v>
      </c>
      <c r="T57" s="186">
        <v>1779.7687989999999</v>
      </c>
      <c r="U57" s="186">
        <v>1501.7451169999999</v>
      </c>
      <c r="V57" s="186">
        <v>1805.8572999999999</v>
      </c>
      <c r="W57" s="186">
        <v>1771.0419919999999</v>
      </c>
      <c r="X57" s="186">
        <v>1858.6282960000001</v>
      </c>
      <c r="Y57" s="186">
        <v>1780.359375</v>
      </c>
      <c r="Z57" s="186">
        <v>1532.871582</v>
      </c>
      <c r="AA57" s="50"/>
      <c r="AB57" s="50"/>
      <c r="AC57" s="50"/>
      <c r="AD57" s="50"/>
      <c r="AE57" s="50"/>
    </row>
    <row r="58" spans="1:31" ht="13.15" x14ac:dyDescent="0.4">
      <c r="A58" s="8">
        <v>9</v>
      </c>
      <c r="B58" s="186">
        <v>1779.4257809999999</v>
      </c>
      <c r="C58" s="186">
        <v>1679.8591309999999</v>
      </c>
      <c r="D58" s="186">
        <v>1809.322876</v>
      </c>
      <c r="E58" s="186">
        <v>1808.536255</v>
      </c>
      <c r="F58" s="186">
        <v>1745.7696530000001</v>
      </c>
      <c r="G58" s="186">
        <v>1777.6983640000001</v>
      </c>
      <c r="H58" s="186">
        <v>1756.753418</v>
      </c>
      <c r="I58" s="186">
        <v>1833.030029</v>
      </c>
      <c r="J58" s="186">
        <v>1752.674927</v>
      </c>
      <c r="K58" s="186">
        <v>1709.1267089999999</v>
      </c>
      <c r="L58" s="186">
        <v>1817.623413</v>
      </c>
      <c r="M58" s="186">
        <v>1740.2531739999999</v>
      </c>
      <c r="N58" s="186">
        <v>1781.099121</v>
      </c>
      <c r="O58" s="186">
        <v>1725.213135</v>
      </c>
      <c r="P58" s="186">
        <v>1630.7227780000001</v>
      </c>
      <c r="Q58" s="186">
        <v>1709.278198</v>
      </c>
      <c r="R58" s="186">
        <v>1740.2395019999999</v>
      </c>
      <c r="S58" s="186">
        <v>1809.3431399999999</v>
      </c>
      <c r="T58" s="186">
        <v>1776.412476</v>
      </c>
      <c r="U58" s="186">
        <v>1496.8000489999999</v>
      </c>
      <c r="V58" s="186">
        <v>1802.5585940000001</v>
      </c>
      <c r="W58" s="186">
        <v>1767.7895510000001</v>
      </c>
      <c r="X58" s="186">
        <v>1854.944336</v>
      </c>
      <c r="Y58" s="186">
        <v>1776.9039310000001</v>
      </c>
      <c r="Z58" s="186">
        <v>1530.7404790000001</v>
      </c>
      <c r="AA58" s="50"/>
      <c r="AB58" s="50"/>
      <c r="AC58" s="50"/>
      <c r="AD58" s="50"/>
      <c r="AE58" s="50"/>
    </row>
    <row r="59" spans="1:31" ht="13.15" x14ac:dyDescent="0.4">
      <c r="A59" s="8">
        <v>10</v>
      </c>
      <c r="B59" s="186">
        <v>1771.2354740000001</v>
      </c>
      <c r="C59" s="186">
        <v>1670.411499</v>
      </c>
      <c r="D59" s="186">
        <v>1800.5239260000001</v>
      </c>
      <c r="E59" s="186">
        <v>1799.7958980000001</v>
      </c>
      <c r="F59" s="186">
        <v>1738.5532229999999</v>
      </c>
      <c r="G59" s="186">
        <v>1769.929443</v>
      </c>
      <c r="H59" s="186">
        <v>1749.8422849999999</v>
      </c>
      <c r="I59" s="186">
        <v>1823.205933</v>
      </c>
      <c r="J59" s="186">
        <v>1746.273193</v>
      </c>
      <c r="K59" s="186">
        <v>1700.791504</v>
      </c>
      <c r="L59" s="186">
        <v>1809.3286129999999</v>
      </c>
      <c r="M59" s="186">
        <v>1733.246216</v>
      </c>
      <c r="N59" s="186">
        <v>1771.9904790000001</v>
      </c>
      <c r="O59" s="186">
        <v>1718.0985109999999</v>
      </c>
      <c r="P59" s="186">
        <v>1623.3057859999999</v>
      </c>
      <c r="Q59" s="186">
        <v>1701.9354249999999</v>
      </c>
      <c r="R59" s="186">
        <v>1733.6319579999999</v>
      </c>
      <c r="S59" s="186">
        <v>1800.135254</v>
      </c>
      <c r="T59" s="186">
        <v>1759.122314</v>
      </c>
      <c r="U59" s="186">
        <v>1488.009033</v>
      </c>
      <c r="V59" s="186">
        <v>1796.3869629999999</v>
      </c>
      <c r="W59" s="186">
        <v>1760.8781739999999</v>
      </c>
      <c r="X59" s="186">
        <v>1845.7346190000001</v>
      </c>
      <c r="Y59" s="186">
        <v>1771.1110839999999</v>
      </c>
      <c r="Z59" s="186">
        <v>1524.347168</v>
      </c>
      <c r="AA59" s="50"/>
      <c r="AB59" s="50"/>
      <c r="AC59" s="50"/>
      <c r="AD59" s="50"/>
      <c r="AE59" s="50"/>
    </row>
    <row r="60" spans="1:31" ht="13.15" x14ac:dyDescent="0.4">
      <c r="A60" s="8">
        <v>11</v>
      </c>
      <c r="B60" s="186">
        <v>1627.107178</v>
      </c>
      <c r="C60" s="186">
        <v>1540.6835940000001</v>
      </c>
      <c r="D60" s="186">
        <v>1664.2414550000001</v>
      </c>
      <c r="E60" s="186">
        <v>1658.527832</v>
      </c>
      <c r="F60" s="186">
        <v>1624.20813</v>
      </c>
      <c r="G60" s="186">
        <v>1620.5108640000001</v>
      </c>
      <c r="H60" s="186">
        <v>1619.0385739999999</v>
      </c>
      <c r="I60" s="186">
        <v>1655.273682</v>
      </c>
      <c r="J60" s="186">
        <v>1625.2482910000001</v>
      </c>
      <c r="K60" s="186">
        <v>1551.1641850000001</v>
      </c>
      <c r="L60" s="186">
        <v>1661.085693</v>
      </c>
      <c r="M60" s="186">
        <v>1613.2147219999999</v>
      </c>
      <c r="N60" s="186">
        <v>1603.940918</v>
      </c>
      <c r="O60" s="186">
        <v>1591.3551030000001</v>
      </c>
      <c r="P60" s="186">
        <v>1493.6607670000001</v>
      </c>
      <c r="Q60" s="186">
        <v>1554.8664550000001</v>
      </c>
      <c r="R60" s="186">
        <v>1615.9149170000001</v>
      </c>
      <c r="S60" s="186">
        <v>1646.261841</v>
      </c>
      <c r="T60" s="186">
        <v>1572.2867429999999</v>
      </c>
      <c r="U60" s="186">
        <v>1395.8120120000001</v>
      </c>
      <c r="V60" s="186">
        <v>1669.7608640000001</v>
      </c>
      <c r="W60" s="186">
        <v>1644.4011230000001</v>
      </c>
      <c r="X60" s="186">
        <v>1686.099121</v>
      </c>
      <c r="Y60" s="186">
        <v>1650.5775149999999</v>
      </c>
      <c r="Z60" s="186">
        <v>1441.9445800000001</v>
      </c>
      <c r="AA60" s="50"/>
      <c r="AB60" s="50"/>
      <c r="AC60" s="50"/>
      <c r="AD60" s="50"/>
      <c r="AE60" s="50"/>
    </row>
    <row r="61" spans="1:31" ht="13.15" x14ac:dyDescent="0.4">
      <c r="A61" s="8">
        <v>12</v>
      </c>
      <c r="B61" s="186">
        <v>879.66119400000002</v>
      </c>
      <c r="C61" s="186">
        <v>868.88214100000005</v>
      </c>
      <c r="D61" s="186">
        <v>892.79303000000004</v>
      </c>
      <c r="E61" s="186">
        <v>902.99774200000002</v>
      </c>
      <c r="F61" s="186">
        <v>923.80651899999998</v>
      </c>
      <c r="G61" s="186">
        <v>860.540527</v>
      </c>
      <c r="H61" s="186">
        <v>883.509277</v>
      </c>
      <c r="I61" s="186">
        <v>879.77667199999996</v>
      </c>
      <c r="J61" s="186">
        <v>894.72997999999995</v>
      </c>
      <c r="K61" s="186">
        <v>854.563354</v>
      </c>
      <c r="L61" s="186">
        <v>897.64562999999998</v>
      </c>
      <c r="M61" s="186">
        <v>909.98474099999999</v>
      </c>
      <c r="N61" s="186">
        <v>836.97229000000004</v>
      </c>
      <c r="O61" s="186">
        <v>861.28527799999995</v>
      </c>
      <c r="P61" s="186">
        <v>845.84222399999999</v>
      </c>
      <c r="Q61" s="186">
        <v>836.228882</v>
      </c>
      <c r="R61" s="186">
        <v>888.671875</v>
      </c>
      <c r="S61" s="186">
        <v>878.42919900000004</v>
      </c>
      <c r="T61" s="186">
        <v>850.26953100000003</v>
      </c>
      <c r="U61" s="186">
        <v>911.31073000000004</v>
      </c>
      <c r="V61" s="186">
        <v>920.21997099999999</v>
      </c>
      <c r="W61" s="186">
        <v>902.03716999999995</v>
      </c>
      <c r="X61" s="186">
        <v>886.07952899999998</v>
      </c>
      <c r="Y61" s="186">
        <v>918.02642800000001</v>
      </c>
      <c r="Z61" s="186">
        <v>872.73718299999996</v>
      </c>
      <c r="AA61" s="50"/>
      <c r="AB61" s="50"/>
      <c r="AC61" s="50"/>
      <c r="AD61" s="50"/>
      <c r="AE61" s="50"/>
    </row>
    <row r="62" spans="1:31" ht="13.15" x14ac:dyDescent="0.4">
      <c r="A62" s="8">
        <v>13</v>
      </c>
      <c r="B62" s="186">
        <v>199.22676100000001</v>
      </c>
      <c r="C62" s="186">
        <v>212.217331</v>
      </c>
      <c r="D62" s="186">
        <v>212.81336999999999</v>
      </c>
      <c r="E62" s="186">
        <v>217.08532700000001</v>
      </c>
      <c r="F62" s="186">
        <v>215.37529000000001</v>
      </c>
      <c r="G62" s="186">
        <v>204.86526499999999</v>
      </c>
      <c r="H62" s="186">
        <v>205.403458</v>
      </c>
      <c r="I62" s="186">
        <v>205.79631000000001</v>
      </c>
      <c r="J62" s="186">
        <v>207.09367399999999</v>
      </c>
      <c r="K62" s="186">
        <v>193.641403</v>
      </c>
      <c r="L62" s="186">
        <v>213.32508899999999</v>
      </c>
      <c r="M62" s="186">
        <v>210.71513400000001</v>
      </c>
      <c r="N62" s="186">
        <v>201.51606799999999</v>
      </c>
      <c r="O62" s="186">
        <v>206.12303199999999</v>
      </c>
      <c r="P62" s="186">
        <v>193.34986900000001</v>
      </c>
      <c r="Q62" s="186">
        <v>185.16648900000001</v>
      </c>
      <c r="R62" s="186">
        <v>195.58506800000001</v>
      </c>
      <c r="S62" s="186">
        <v>204.312027</v>
      </c>
      <c r="T62" s="186">
        <v>207.27862500000001</v>
      </c>
      <c r="U62" s="186">
        <v>279.22833300000002</v>
      </c>
      <c r="V62" s="186">
        <v>213.24246199999999</v>
      </c>
      <c r="W62" s="186">
        <v>203.98745700000001</v>
      </c>
      <c r="X62" s="186">
        <v>202.30732699999999</v>
      </c>
      <c r="Y62" s="186">
        <v>211.18774400000001</v>
      </c>
      <c r="Z62" s="186">
        <v>199.61326600000001</v>
      </c>
      <c r="AA62" s="50"/>
      <c r="AB62" s="50"/>
      <c r="AC62" s="50"/>
      <c r="AD62" s="50"/>
      <c r="AE62" s="50"/>
    </row>
    <row r="63" spans="1:31" ht="13.15" x14ac:dyDescent="0.4">
      <c r="A63" s="8">
        <v>14</v>
      </c>
      <c r="B63" s="186">
        <v>79.456695999999994</v>
      </c>
      <c r="C63" s="186">
        <v>76.597351000000003</v>
      </c>
      <c r="D63" s="186">
        <v>78.167991999999998</v>
      </c>
      <c r="E63" s="186">
        <v>79.374367000000007</v>
      </c>
      <c r="F63" s="186">
        <v>80.702208999999996</v>
      </c>
      <c r="G63" s="186">
        <v>73.964340000000007</v>
      </c>
      <c r="H63" s="186">
        <v>69.416404999999997</v>
      </c>
      <c r="I63" s="186">
        <v>76.342140000000001</v>
      </c>
      <c r="J63" s="186">
        <v>70.724823000000001</v>
      </c>
      <c r="K63" s="186">
        <v>66.580116000000004</v>
      </c>
      <c r="L63" s="186">
        <v>82.522568000000007</v>
      </c>
      <c r="M63" s="186">
        <v>75.552802999999997</v>
      </c>
      <c r="N63" s="186">
        <v>76.962967000000006</v>
      </c>
      <c r="O63" s="186">
        <v>79.379729999999995</v>
      </c>
      <c r="P63" s="186">
        <v>61.977626999999998</v>
      </c>
      <c r="Q63" s="186">
        <v>63.105590999999997</v>
      </c>
      <c r="R63" s="186">
        <v>64.144585000000006</v>
      </c>
      <c r="S63" s="186">
        <v>73.560516000000007</v>
      </c>
      <c r="T63" s="186">
        <v>74.144317999999998</v>
      </c>
      <c r="U63" s="186">
        <v>136.04276999999999</v>
      </c>
      <c r="V63" s="186">
        <v>66.611671000000001</v>
      </c>
      <c r="W63" s="186">
        <v>70.638405000000006</v>
      </c>
      <c r="X63" s="186">
        <v>69.584716999999998</v>
      </c>
      <c r="Y63" s="186">
        <v>68.600448999999998</v>
      </c>
      <c r="Z63" s="186">
        <v>62.207897000000003</v>
      </c>
      <c r="AA63" s="50"/>
      <c r="AB63" s="50"/>
      <c r="AC63" s="50"/>
      <c r="AD63" s="50"/>
      <c r="AE63" s="50"/>
    </row>
    <row r="64" spans="1:31" ht="13.15" x14ac:dyDescent="0.4">
      <c r="A64" s="8">
        <v>15</v>
      </c>
      <c r="B64" s="186">
        <v>68.288086000000007</v>
      </c>
      <c r="C64" s="186">
        <v>64.508376999999996</v>
      </c>
      <c r="D64" s="186">
        <v>67.220375000000004</v>
      </c>
      <c r="E64" s="186">
        <v>66.873665000000003</v>
      </c>
      <c r="F64" s="186">
        <v>69.216881000000001</v>
      </c>
      <c r="G64" s="186">
        <v>61.299945999999998</v>
      </c>
      <c r="H64" s="186">
        <v>58.643143000000002</v>
      </c>
      <c r="I64" s="186">
        <v>64.471244999999996</v>
      </c>
      <c r="J64" s="186">
        <v>60.156745999999998</v>
      </c>
      <c r="K64" s="186">
        <v>55.093772999999999</v>
      </c>
      <c r="L64" s="186">
        <v>71.569182999999995</v>
      </c>
      <c r="M64" s="186">
        <v>63.366866999999999</v>
      </c>
      <c r="N64" s="186">
        <v>64.067573999999993</v>
      </c>
      <c r="O64" s="186">
        <v>65.963431999999997</v>
      </c>
      <c r="P64" s="186">
        <v>51.715758999999998</v>
      </c>
      <c r="Q64" s="186">
        <v>53.102345</v>
      </c>
      <c r="R64" s="186">
        <v>53.267451999999999</v>
      </c>
      <c r="S64" s="186">
        <v>62.511093000000002</v>
      </c>
      <c r="T64" s="186">
        <v>63.159973000000001</v>
      </c>
      <c r="U64" s="186">
        <v>121.97695899999999</v>
      </c>
      <c r="V64" s="186">
        <v>56.290053999999998</v>
      </c>
      <c r="W64" s="186">
        <v>58.645122999999998</v>
      </c>
      <c r="X64" s="186">
        <v>59.249339999999997</v>
      </c>
      <c r="Y64" s="186">
        <v>57.827632999999999</v>
      </c>
      <c r="Z64" s="186">
        <v>51.653866000000001</v>
      </c>
      <c r="AA64" s="50"/>
      <c r="AB64" s="50"/>
      <c r="AC64" s="50"/>
      <c r="AD64" s="50"/>
      <c r="AE64" s="50"/>
    </row>
    <row r="65" spans="1:31" ht="13.15" x14ac:dyDescent="0.4">
      <c r="A65" s="8">
        <v>16</v>
      </c>
      <c r="B65" s="186">
        <v>57.864047999999997</v>
      </c>
      <c r="C65" s="186">
        <v>54.654342999999997</v>
      </c>
      <c r="D65" s="186">
        <v>55.863509999999998</v>
      </c>
      <c r="E65" s="186">
        <v>57.421913000000004</v>
      </c>
      <c r="F65" s="186">
        <v>61.797156999999999</v>
      </c>
      <c r="G65" s="186">
        <v>51.402557000000002</v>
      </c>
      <c r="H65" s="186">
        <v>48.784592000000004</v>
      </c>
      <c r="I65" s="186">
        <v>54.135379999999998</v>
      </c>
      <c r="J65" s="186">
        <v>50.198368000000002</v>
      </c>
      <c r="K65" s="186">
        <v>46.453606000000001</v>
      </c>
      <c r="L65" s="186">
        <v>61.785583000000003</v>
      </c>
      <c r="M65" s="186">
        <v>52.704169999999998</v>
      </c>
      <c r="N65" s="186">
        <v>54.856583000000001</v>
      </c>
      <c r="O65" s="186">
        <v>54.986469</v>
      </c>
      <c r="P65" s="186">
        <v>43.689148000000003</v>
      </c>
      <c r="Q65" s="186">
        <v>44.588940000000001</v>
      </c>
      <c r="R65" s="186">
        <v>45.338329000000002</v>
      </c>
      <c r="S65" s="186">
        <v>51.666285999999999</v>
      </c>
      <c r="T65" s="186">
        <v>54.006354999999999</v>
      </c>
      <c r="U65" s="186">
        <v>112.41660299999999</v>
      </c>
      <c r="V65" s="186">
        <v>48.415829000000002</v>
      </c>
      <c r="W65" s="186">
        <v>49.904254999999999</v>
      </c>
      <c r="X65" s="186">
        <v>50.960571000000002</v>
      </c>
      <c r="Y65" s="186">
        <v>48.579276999999998</v>
      </c>
      <c r="Z65" s="186">
        <v>43.230938000000002</v>
      </c>
      <c r="AA65" s="50"/>
      <c r="AB65" s="50"/>
      <c r="AC65" s="50"/>
      <c r="AD65" s="50"/>
      <c r="AE65" s="50"/>
    </row>
    <row r="66" spans="1:31" ht="13.15" x14ac:dyDescent="0.4">
      <c r="A66" s="8">
        <v>17</v>
      </c>
      <c r="B66" s="186">
        <v>42.866196000000002</v>
      </c>
      <c r="C66" s="186">
        <v>42.971724999999999</v>
      </c>
      <c r="D66" s="186">
        <v>41.027962000000002</v>
      </c>
      <c r="E66" s="186">
        <v>44.514687000000002</v>
      </c>
      <c r="F66" s="186">
        <v>48.990509000000003</v>
      </c>
      <c r="G66" s="186">
        <v>40.653782</v>
      </c>
      <c r="H66" s="186">
        <v>38.011325999999997</v>
      </c>
      <c r="I66" s="186">
        <v>40.831791000000003</v>
      </c>
      <c r="J66" s="186">
        <v>38.410896000000001</v>
      </c>
      <c r="K66" s="186">
        <v>36.288704000000003</v>
      </c>
      <c r="L66" s="186">
        <v>47.854584000000003</v>
      </c>
      <c r="M66" s="186">
        <v>40.822884000000002</v>
      </c>
      <c r="N66" s="186">
        <v>40.630713999999998</v>
      </c>
      <c r="O66" s="186">
        <v>41.773453000000003</v>
      </c>
      <c r="P66" s="186">
        <v>33.732086000000002</v>
      </c>
      <c r="Q66" s="186">
        <v>33.840770999999997</v>
      </c>
      <c r="R66" s="186">
        <v>33.038017000000004</v>
      </c>
      <c r="S66" s="186">
        <v>38.979911999999999</v>
      </c>
      <c r="T66" s="186">
        <v>39.970806000000003</v>
      </c>
      <c r="U66" s="186">
        <v>102.08702099999999</v>
      </c>
      <c r="V66" s="186">
        <v>37.349353999999998</v>
      </c>
      <c r="W66" s="186">
        <v>39.333903999999997</v>
      </c>
      <c r="X66" s="186">
        <v>38.169266</v>
      </c>
      <c r="Y66" s="186">
        <v>37.501575000000003</v>
      </c>
      <c r="Z66" s="186">
        <v>33.184311000000001</v>
      </c>
      <c r="AA66" s="50"/>
      <c r="AB66" s="50"/>
      <c r="AC66" s="50"/>
      <c r="AD66" s="50"/>
      <c r="AE66" s="50"/>
    </row>
    <row r="67" spans="1:31" ht="13.15" x14ac:dyDescent="0.4">
      <c r="A67" s="8">
        <v>18</v>
      </c>
      <c r="B67" s="186">
        <v>30.633907000000001</v>
      </c>
      <c r="C67" s="186">
        <v>32.914512999999999</v>
      </c>
      <c r="D67" s="186">
        <v>30.387295000000002</v>
      </c>
      <c r="E67" s="186">
        <v>32.11562</v>
      </c>
      <c r="F67" s="186">
        <v>35.065823000000002</v>
      </c>
      <c r="G67" s="186">
        <v>28.734348000000001</v>
      </c>
      <c r="H67" s="186">
        <v>27.542967000000001</v>
      </c>
      <c r="I67" s="186">
        <v>26.914186000000001</v>
      </c>
      <c r="J67" s="186">
        <v>28.046050999999999</v>
      </c>
      <c r="K67" s="186">
        <v>25.107309000000001</v>
      </c>
      <c r="L67" s="186">
        <v>33.817238000000003</v>
      </c>
      <c r="M67" s="186">
        <v>29.449345000000001</v>
      </c>
      <c r="N67" s="186">
        <v>28.963456999999998</v>
      </c>
      <c r="O67" s="186">
        <v>30.389935000000001</v>
      </c>
      <c r="P67" s="186">
        <v>23.673421999999999</v>
      </c>
      <c r="Q67" s="186">
        <v>23.943943000000001</v>
      </c>
      <c r="R67" s="186">
        <v>23.177441000000002</v>
      </c>
      <c r="S67" s="186">
        <v>25.577369999999998</v>
      </c>
      <c r="T67" s="186">
        <v>28.477927999999999</v>
      </c>
      <c r="U67" s="186">
        <v>91.647552000000005</v>
      </c>
      <c r="V67" s="186">
        <v>25.644428000000001</v>
      </c>
      <c r="W67" s="186">
        <v>28.865190999999999</v>
      </c>
      <c r="X67" s="186">
        <v>26.503592000000001</v>
      </c>
      <c r="Y67" s="186">
        <v>24.899422000000001</v>
      </c>
      <c r="Z67" s="186">
        <v>23.137684</v>
      </c>
      <c r="AA67" s="50"/>
      <c r="AB67" s="50"/>
      <c r="AC67" s="50"/>
      <c r="AD67" s="50"/>
      <c r="AE67" s="50"/>
    </row>
    <row r="68" spans="1:31" ht="13.15" x14ac:dyDescent="0.4">
      <c r="A68" s="8">
        <v>19</v>
      </c>
      <c r="B68" s="186">
        <v>21.486281999999999</v>
      </c>
      <c r="C68" s="186">
        <v>23.670003999999999</v>
      </c>
      <c r="D68" s="186">
        <v>22.09985</v>
      </c>
      <c r="E68" s="186">
        <v>24.696504999999998</v>
      </c>
      <c r="F68" s="186">
        <v>25.308375999999999</v>
      </c>
      <c r="G68" s="186">
        <v>20.859009</v>
      </c>
      <c r="H68" s="186">
        <v>19.310568</v>
      </c>
      <c r="I68" s="186">
        <v>19.239038000000001</v>
      </c>
      <c r="J68" s="186">
        <v>20.526457000000001</v>
      </c>
      <c r="K68" s="186">
        <v>16.772089000000001</v>
      </c>
      <c r="L68" s="186">
        <v>24.565351</v>
      </c>
      <c r="M68" s="186">
        <v>20.919188999999999</v>
      </c>
      <c r="N68" s="186">
        <v>20.366529</v>
      </c>
      <c r="O68" s="186">
        <v>22.258848</v>
      </c>
      <c r="P68" s="186">
        <v>17.069248000000002</v>
      </c>
      <c r="Q68" s="186">
        <v>17.346056000000001</v>
      </c>
      <c r="R68" s="186">
        <v>14.943350000000001</v>
      </c>
      <c r="S68" s="186">
        <v>17.597231000000001</v>
      </c>
      <c r="T68" s="186">
        <v>19.934549000000001</v>
      </c>
      <c r="U68" s="186">
        <v>82.306976000000006</v>
      </c>
      <c r="V68" s="186">
        <v>17.450980999999999</v>
      </c>
      <c r="W68" s="186">
        <v>20.022684000000002</v>
      </c>
      <c r="X68" s="186">
        <v>18.624146</v>
      </c>
      <c r="Y68" s="186">
        <v>16.667368</v>
      </c>
      <c r="Z68" s="186">
        <v>15.729566</v>
      </c>
      <c r="AA68" s="50"/>
      <c r="AB68" s="50"/>
      <c r="AC68" s="50"/>
      <c r="AD68" s="50"/>
      <c r="AE68" s="50"/>
    </row>
    <row r="69" spans="1:31" ht="13.15" x14ac:dyDescent="0.4">
      <c r="A69" s="8">
        <v>20</v>
      </c>
      <c r="B69" s="186">
        <v>18.720721999999999</v>
      </c>
      <c r="C69" s="186">
        <v>20.216013</v>
      </c>
      <c r="D69" s="186">
        <v>18.825797999999999</v>
      </c>
      <c r="E69" s="186">
        <v>21.139395</v>
      </c>
      <c r="F69" s="186">
        <v>21.242773</v>
      </c>
      <c r="G69" s="186">
        <v>18.091996999999999</v>
      </c>
      <c r="H69" s="186">
        <v>16.159894999999999</v>
      </c>
      <c r="I69" s="186">
        <v>15.554967</v>
      </c>
      <c r="J69" s="186">
        <v>16.156963000000001</v>
      </c>
      <c r="K69" s="186">
        <v>13.62097</v>
      </c>
      <c r="L69" s="186">
        <v>19.673549999999999</v>
      </c>
      <c r="M69" s="186">
        <v>18.482002000000001</v>
      </c>
      <c r="N69" s="186">
        <v>17.705576000000001</v>
      </c>
      <c r="O69" s="186">
        <v>17.888390000000001</v>
      </c>
      <c r="P69" s="186">
        <v>14.833989000000001</v>
      </c>
      <c r="Q69" s="186">
        <v>14.047112</v>
      </c>
      <c r="R69" s="186">
        <v>11.080443000000001</v>
      </c>
      <c r="S69" s="186">
        <v>13.811780000000001</v>
      </c>
      <c r="T69" s="186">
        <v>15.967980000000001</v>
      </c>
      <c r="U69" s="186">
        <v>76.592735000000005</v>
      </c>
      <c r="V69" s="186">
        <v>15.003587</v>
      </c>
      <c r="W69" s="186">
        <v>16.871905999999999</v>
      </c>
      <c r="X69" s="186">
        <v>15.656561999999999</v>
      </c>
      <c r="Y69" s="186">
        <v>12.602156000000001</v>
      </c>
      <c r="Z69" s="186">
        <v>13.192539</v>
      </c>
      <c r="AA69" s="50"/>
      <c r="AB69" s="50"/>
      <c r="AC69" s="50"/>
      <c r="AD69" s="50"/>
      <c r="AE69" s="50"/>
    </row>
    <row r="70" spans="1:31" ht="13.15" x14ac:dyDescent="0.4">
      <c r="A70" s="8">
        <v>21</v>
      </c>
      <c r="B70" s="186">
        <v>16.38063</v>
      </c>
      <c r="C70" s="186">
        <v>18.082664000000001</v>
      </c>
      <c r="D70" s="186">
        <v>17.495714</v>
      </c>
      <c r="E70" s="186">
        <v>19.208393000000001</v>
      </c>
      <c r="F70" s="186">
        <v>18.600131999999999</v>
      </c>
      <c r="G70" s="186">
        <v>15.537832999999999</v>
      </c>
      <c r="H70" s="186">
        <v>13.822301</v>
      </c>
      <c r="I70" s="186">
        <v>14.019938</v>
      </c>
      <c r="J70" s="186">
        <v>14.937571</v>
      </c>
      <c r="K70" s="186">
        <v>12.197884</v>
      </c>
      <c r="L70" s="186">
        <v>17.227650000000001</v>
      </c>
      <c r="M70" s="186">
        <v>17.060310000000001</v>
      </c>
      <c r="N70" s="186">
        <v>15.965722</v>
      </c>
      <c r="O70" s="186">
        <v>15.245786000000001</v>
      </c>
      <c r="P70" s="186">
        <v>13.513154999999999</v>
      </c>
      <c r="Q70" s="186">
        <v>12.876519999999999</v>
      </c>
      <c r="R70" s="186">
        <v>9.6572680000000002</v>
      </c>
      <c r="S70" s="186">
        <v>12.686375999999999</v>
      </c>
      <c r="T70" s="186">
        <v>14.645790999999999</v>
      </c>
      <c r="U70" s="186">
        <v>74.394951000000006</v>
      </c>
      <c r="V70" s="186">
        <v>12.875419000000001</v>
      </c>
      <c r="W70" s="186">
        <v>14.839147000000001</v>
      </c>
      <c r="X70" s="186">
        <v>14.121605000000001</v>
      </c>
      <c r="Y70" s="186">
        <v>10.976070999999999</v>
      </c>
      <c r="Z70" s="186">
        <v>11.873284999999999</v>
      </c>
      <c r="AA70" s="50"/>
      <c r="AB70" s="50"/>
      <c r="AC70" s="50"/>
      <c r="AD70" s="50"/>
      <c r="AE70" s="50"/>
    </row>
    <row r="71" spans="1:31" ht="13.15" x14ac:dyDescent="0.4">
      <c r="A71" s="8">
        <v>22</v>
      </c>
      <c r="B71" s="186">
        <v>13.615069999999999</v>
      </c>
      <c r="C71" s="186">
        <v>15.339788</v>
      </c>
      <c r="D71" s="186">
        <v>15.551746</v>
      </c>
      <c r="E71" s="186">
        <v>16.565968000000002</v>
      </c>
      <c r="F71" s="186">
        <v>16.364049999999999</v>
      </c>
      <c r="G71" s="186">
        <v>13.090093</v>
      </c>
      <c r="H71" s="186">
        <v>11.687975</v>
      </c>
      <c r="I71" s="186">
        <v>11.768560000000001</v>
      </c>
      <c r="J71" s="186">
        <v>12.498784000000001</v>
      </c>
      <c r="K71" s="186">
        <v>10.368200999999999</v>
      </c>
      <c r="L71" s="186">
        <v>14.781749</v>
      </c>
      <c r="M71" s="186">
        <v>15.029320999999999</v>
      </c>
      <c r="N71" s="186">
        <v>13.611801</v>
      </c>
      <c r="O71" s="186">
        <v>14.026123</v>
      </c>
      <c r="P71" s="186">
        <v>11.481101000000001</v>
      </c>
      <c r="Q71" s="186">
        <v>10.961004000000001</v>
      </c>
      <c r="R71" s="186">
        <v>8.5390569999999997</v>
      </c>
      <c r="S71" s="186">
        <v>10.947113999999999</v>
      </c>
      <c r="T71" s="186">
        <v>13.018481</v>
      </c>
      <c r="U71" s="186">
        <v>70.768615999999994</v>
      </c>
      <c r="V71" s="186">
        <v>11.066476</v>
      </c>
      <c r="W71" s="186">
        <v>12.501473000000001</v>
      </c>
      <c r="X71" s="186">
        <v>12.381987000000001</v>
      </c>
      <c r="Y71" s="186">
        <v>9.7565080000000002</v>
      </c>
      <c r="Z71" s="186">
        <v>10.554031</v>
      </c>
      <c r="AA71" s="50"/>
      <c r="AB71" s="50"/>
      <c r="AC71" s="50"/>
      <c r="AD71" s="50"/>
      <c r="AE71" s="50"/>
    </row>
    <row r="72" spans="1:31" ht="13.15" x14ac:dyDescent="0.4">
      <c r="A72" s="8">
        <v>23</v>
      </c>
      <c r="B72" s="186">
        <v>11.381347999999999</v>
      </c>
      <c r="C72" s="186">
        <v>11.885795999999999</v>
      </c>
      <c r="D72" s="186">
        <v>13.096208000000001</v>
      </c>
      <c r="E72" s="186">
        <v>12.907227000000001</v>
      </c>
      <c r="F72" s="186">
        <v>13.721408</v>
      </c>
      <c r="G72" s="186">
        <v>10.855199000000001</v>
      </c>
      <c r="H72" s="186">
        <v>9.4520149999999994</v>
      </c>
      <c r="I72" s="186">
        <v>9.9265249999999998</v>
      </c>
      <c r="J72" s="186">
        <v>10.466461000000001</v>
      </c>
      <c r="K72" s="186">
        <v>8.7418169999999993</v>
      </c>
      <c r="L72" s="186">
        <v>12.016817</v>
      </c>
      <c r="M72" s="186">
        <v>12.084386</v>
      </c>
      <c r="N72" s="186">
        <v>11.155537000000001</v>
      </c>
      <c r="O72" s="186">
        <v>11.485158999999999</v>
      </c>
      <c r="P72" s="186">
        <v>9.7538560000000007</v>
      </c>
      <c r="Q72" s="186">
        <v>9.0454889999999999</v>
      </c>
      <c r="R72" s="186">
        <v>6.9125699999999997</v>
      </c>
      <c r="S72" s="186">
        <v>8.4916870000000007</v>
      </c>
      <c r="T72" s="186">
        <v>11.492877999999999</v>
      </c>
      <c r="U72" s="186">
        <v>67.471939000000006</v>
      </c>
      <c r="V72" s="186">
        <v>9.1511239999999994</v>
      </c>
      <c r="W72" s="186">
        <v>10.468712999999999</v>
      </c>
      <c r="X72" s="186">
        <v>10.540037999999999</v>
      </c>
      <c r="Y72" s="186">
        <v>8.3336839999999999</v>
      </c>
      <c r="Z72" s="186">
        <v>8.1184849999999997</v>
      </c>
      <c r="AA72" s="50"/>
      <c r="AB72" s="50"/>
      <c r="AC72" s="50"/>
      <c r="AD72" s="50"/>
      <c r="AE72" s="50"/>
    </row>
    <row r="73" spans="1:31" ht="13.15" x14ac:dyDescent="0.4">
      <c r="A73" s="8">
        <v>24</v>
      </c>
      <c r="B73" s="186">
        <v>9.5730959999999996</v>
      </c>
      <c r="C73" s="186">
        <v>9.9556240000000003</v>
      </c>
      <c r="D73" s="186">
        <v>10.742983000000001</v>
      </c>
      <c r="E73" s="186">
        <v>11.281119</v>
      </c>
      <c r="F73" s="186">
        <v>11.790247000000001</v>
      </c>
      <c r="G73" s="186">
        <v>8.1946110000000001</v>
      </c>
      <c r="H73" s="186">
        <v>8.2324000000000002</v>
      </c>
      <c r="I73" s="186">
        <v>8.4938310000000001</v>
      </c>
      <c r="J73" s="186">
        <v>9.0438360000000007</v>
      </c>
      <c r="K73" s="186">
        <v>7.7253259999999999</v>
      </c>
      <c r="L73" s="186">
        <v>10.421664</v>
      </c>
      <c r="M73" s="186">
        <v>10.459595</v>
      </c>
      <c r="N73" s="186">
        <v>9.8250600000000006</v>
      </c>
      <c r="O73" s="186">
        <v>9.8589420000000008</v>
      </c>
      <c r="P73" s="186">
        <v>7.7218030000000004</v>
      </c>
      <c r="Q73" s="186">
        <v>8.3005669999999991</v>
      </c>
      <c r="R73" s="186">
        <v>5.4893939999999999</v>
      </c>
      <c r="S73" s="186">
        <v>6.5478069999999997</v>
      </c>
      <c r="T73" s="186">
        <v>9.6621539999999992</v>
      </c>
      <c r="U73" s="186">
        <v>64.175262000000004</v>
      </c>
      <c r="V73" s="186">
        <v>7.5549970000000002</v>
      </c>
      <c r="W73" s="186">
        <v>8.8425049999999992</v>
      </c>
      <c r="X73" s="186">
        <v>8.5957589999999993</v>
      </c>
      <c r="Y73" s="186">
        <v>6.605969</v>
      </c>
      <c r="Z73" s="186">
        <v>6.7992319999999999</v>
      </c>
      <c r="AA73" s="50"/>
      <c r="AB73" s="50"/>
      <c r="AC73" s="50"/>
      <c r="AD73" s="50"/>
      <c r="AE73" s="50"/>
    </row>
    <row r="74" spans="1:31" ht="13.15" x14ac:dyDescent="0.4">
      <c r="A74" s="8">
        <v>25</v>
      </c>
      <c r="B74" s="186">
        <v>7.9775799999999997</v>
      </c>
      <c r="C74" s="186">
        <v>8.8381559999999997</v>
      </c>
      <c r="D74" s="186">
        <v>8.9013290000000005</v>
      </c>
      <c r="E74" s="186">
        <v>9.5533809999999999</v>
      </c>
      <c r="F74" s="186">
        <v>10.062366000000001</v>
      </c>
      <c r="G74" s="186">
        <v>6.2789869999999999</v>
      </c>
      <c r="H74" s="186">
        <v>7.012785</v>
      </c>
      <c r="I74" s="186">
        <v>7.2658069999999997</v>
      </c>
      <c r="J74" s="186">
        <v>7.8244420000000003</v>
      </c>
      <c r="K74" s="186">
        <v>6.6071869999999997</v>
      </c>
      <c r="L74" s="186">
        <v>9.1455420000000007</v>
      </c>
      <c r="M74" s="186">
        <v>9.0379020000000008</v>
      </c>
      <c r="N74" s="186">
        <v>8.4945830000000004</v>
      </c>
      <c r="O74" s="186">
        <v>8.3343629999999997</v>
      </c>
      <c r="P74" s="186">
        <v>6.6041730000000003</v>
      </c>
      <c r="Q74" s="186">
        <v>6.9171389999999997</v>
      </c>
      <c r="R74" s="186">
        <v>4.9811170000000002</v>
      </c>
      <c r="S74" s="186">
        <v>5.2177829999999998</v>
      </c>
      <c r="T74" s="186">
        <v>8.1365510000000008</v>
      </c>
      <c r="U74" s="186">
        <v>62.856594000000001</v>
      </c>
      <c r="V74" s="186">
        <v>6.3845049999999999</v>
      </c>
      <c r="W74" s="186">
        <v>6.8097450000000004</v>
      </c>
      <c r="X74" s="186">
        <v>6.7538109999999998</v>
      </c>
      <c r="Y74" s="186">
        <v>5.3864049999999999</v>
      </c>
      <c r="Z74" s="186">
        <v>5.3784970000000003</v>
      </c>
      <c r="AA74" s="50"/>
      <c r="AB74" s="50"/>
      <c r="AC74" s="50"/>
      <c r="AD74" s="50"/>
      <c r="AE74" s="50"/>
    </row>
    <row r="75" spans="1:31" ht="13.15" x14ac:dyDescent="0.4">
      <c r="A75" s="8">
        <v>26</v>
      </c>
      <c r="B75" s="186">
        <v>6.9139030000000004</v>
      </c>
      <c r="C75" s="186">
        <v>7.923864</v>
      </c>
      <c r="D75" s="186">
        <v>7.7758729999999998</v>
      </c>
      <c r="E75" s="186">
        <v>8.5370640000000009</v>
      </c>
      <c r="F75" s="186">
        <v>8.5377659999999995</v>
      </c>
      <c r="G75" s="186">
        <v>5.4275989999999998</v>
      </c>
      <c r="H75" s="186">
        <v>6.1997080000000002</v>
      </c>
      <c r="I75" s="186">
        <v>5.9354480000000001</v>
      </c>
      <c r="J75" s="186">
        <v>6.8082799999999999</v>
      </c>
      <c r="K75" s="186">
        <v>4.9808029999999999</v>
      </c>
      <c r="L75" s="186">
        <v>7.3377030000000003</v>
      </c>
      <c r="M75" s="186">
        <v>7.1084620000000003</v>
      </c>
      <c r="N75" s="186">
        <v>7.3687940000000003</v>
      </c>
      <c r="O75" s="186">
        <v>7.521255</v>
      </c>
      <c r="P75" s="186">
        <v>5.080133</v>
      </c>
      <c r="Q75" s="186">
        <v>5.4272939999999998</v>
      </c>
      <c r="R75" s="186">
        <v>4.0662180000000001</v>
      </c>
      <c r="S75" s="186">
        <v>4.0923790000000002</v>
      </c>
      <c r="T75" s="186">
        <v>7.5263090000000004</v>
      </c>
      <c r="U75" s="186">
        <v>60.658810000000003</v>
      </c>
      <c r="V75" s="186">
        <v>5.7460550000000001</v>
      </c>
      <c r="W75" s="186">
        <v>5.3868140000000002</v>
      </c>
      <c r="X75" s="186">
        <v>5.3211839999999997</v>
      </c>
      <c r="Y75" s="186">
        <v>4.3701020000000002</v>
      </c>
      <c r="Z75" s="186">
        <v>4.3636860000000004</v>
      </c>
      <c r="AA75" s="50"/>
      <c r="AB75" s="50"/>
      <c r="AC75" s="50"/>
      <c r="AD75" s="50"/>
      <c r="AE75" s="50"/>
    </row>
    <row r="76" spans="1:31" ht="13.15" x14ac:dyDescent="0.4">
      <c r="A76" s="8">
        <v>27</v>
      </c>
      <c r="B76" s="186">
        <v>5.9565929999999998</v>
      </c>
      <c r="C76" s="186">
        <v>6.6032200000000003</v>
      </c>
      <c r="D76" s="186">
        <v>6.8550459999999998</v>
      </c>
      <c r="E76" s="186">
        <v>7.3174830000000002</v>
      </c>
      <c r="F76" s="186">
        <v>7.3180839999999998</v>
      </c>
      <c r="G76" s="186">
        <v>4.3633639999999998</v>
      </c>
      <c r="H76" s="186">
        <v>4.8784590000000003</v>
      </c>
      <c r="I76" s="186">
        <v>5.2191010000000002</v>
      </c>
      <c r="J76" s="186">
        <v>5.5888869999999997</v>
      </c>
      <c r="K76" s="186">
        <v>3.862663</v>
      </c>
      <c r="L76" s="186">
        <v>6.2742680000000002</v>
      </c>
      <c r="M76" s="186">
        <v>5.9914180000000004</v>
      </c>
      <c r="N76" s="186">
        <v>6.6523839999999996</v>
      </c>
      <c r="O76" s="186">
        <v>6.5048690000000002</v>
      </c>
      <c r="P76" s="186">
        <v>3.962504</v>
      </c>
      <c r="Q76" s="186">
        <v>4.3631180000000001</v>
      </c>
      <c r="R76" s="186">
        <v>3.5579399999999999</v>
      </c>
      <c r="S76" s="186">
        <v>3.580832</v>
      </c>
      <c r="T76" s="186">
        <v>6.7126539999999997</v>
      </c>
      <c r="U76" s="186">
        <v>58.790694999999999</v>
      </c>
      <c r="V76" s="186">
        <v>4.6819709999999999</v>
      </c>
      <c r="W76" s="186">
        <v>4.4720719999999998</v>
      </c>
      <c r="X76" s="186">
        <v>4.5025409999999999</v>
      </c>
      <c r="Y76" s="186">
        <v>3.3538000000000001</v>
      </c>
      <c r="Z76" s="186">
        <v>3.4503560000000002</v>
      </c>
      <c r="AA76" s="50"/>
      <c r="AB76" s="50"/>
      <c r="AC76" s="50"/>
      <c r="AD76" s="50"/>
      <c r="AE76" s="50"/>
    </row>
    <row r="77" spans="1:31" ht="13.15" x14ac:dyDescent="0.4">
      <c r="A77" s="8">
        <v>28</v>
      </c>
      <c r="B77" s="186">
        <v>5.3183870000000004</v>
      </c>
      <c r="C77" s="186">
        <v>5.6889279999999998</v>
      </c>
      <c r="D77" s="186">
        <v>5.4226479999999997</v>
      </c>
      <c r="E77" s="186">
        <v>6.6060610000000004</v>
      </c>
      <c r="F77" s="186">
        <v>6.0984040000000004</v>
      </c>
      <c r="G77" s="186">
        <v>3.6183999999999998</v>
      </c>
      <c r="H77" s="186">
        <v>3.9637479999999998</v>
      </c>
      <c r="I77" s="186">
        <v>4.6050890000000004</v>
      </c>
      <c r="J77" s="186">
        <v>4.97919</v>
      </c>
      <c r="K77" s="186">
        <v>2.8461729999999998</v>
      </c>
      <c r="L77" s="186">
        <v>5.8488939999999996</v>
      </c>
      <c r="M77" s="186">
        <v>4.8743740000000004</v>
      </c>
      <c r="N77" s="186">
        <v>5.9359739999999999</v>
      </c>
      <c r="O77" s="186">
        <v>5.590122</v>
      </c>
      <c r="P77" s="186">
        <v>3.454491</v>
      </c>
      <c r="Q77" s="186">
        <v>3.5117780000000001</v>
      </c>
      <c r="R77" s="186">
        <v>3.252974</v>
      </c>
      <c r="S77" s="186">
        <v>3.2739029999999998</v>
      </c>
      <c r="T77" s="186">
        <v>5.7972919999999997</v>
      </c>
      <c r="U77" s="186">
        <v>55.494019000000002</v>
      </c>
      <c r="V77" s="186">
        <v>3.6178859999999999</v>
      </c>
      <c r="W77" s="186">
        <v>3.862244</v>
      </c>
      <c r="X77" s="186">
        <v>3.7862269999999998</v>
      </c>
      <c r="Y77" s="186">
        <v>2.5407570000000002</v>
      </c>
      <c r="Z77" s="186">
        <v>3.044432</v>
      </c>
      <c r="AA77" s="50"/>
      <c r="AB77" s="50"/>
      <c r="AC77" s="50"/>
      <c r="AD77" s="50"/>
      <c r="AE77" s="50"/>
    </row>
    <row r="78" spans="1:31" ht="13.15" x14ac:dyDescent="0.4">
      <c r="A78" s="8">
        <v>29</v>
      </c>
      <c r="B78" s="186">
        <v>3.9356059999999999</v>
      </c>
      <c r="C78" s="186">
        <v>4.165108</v>
      </c>
      <c r="D78" s="186">
        <v>4.6041359999999996</v>
      </c>
      <c r="E78" s="186">
        <v>5.5897439999999996</v>
      </c>
      <c r="F78" s="186">
        <v>5.2852829999999997</v>
      </c>
      <c r="G78" s="186">
        <v>2.9798580000000001</v>
      </c>
      <c r="H78" s="186">
        <v>3.150671</v>
      </c>
      <c r="I78" s="186">
        <v>3.5817359999999998</v>
      </c>
      <c r="J78" s="186">
        <v>4.2678770000000004</v>
      </c>
      <c r="K78" s="186">
        <v>2.1346289999999999</v>
      </c>
      <c r="L78" s="186">
        <v>4.9981450000000001</v>
      </c>
      <c r="M78" s="186">
        <v>3.8588800000000001</v>
      </c>
      <c r="N78" s="186">
        <v>5.219563</v>
      </c>
      <c r="O78" s="186">
        <v>4.4720969999999998</v>
      </c>
      <c r="P78" s="186">
        <v>3.0480800000000001</v>
      </c>
      <c r="Q78" s="186">
        <v>2.6604380000000001</v>
      </c>
      <c r="R78" s="186">
        <v>2.7446969999999999</v>
      </c>
      <c r="S78" s="186">
        <v>2.4554269999999998</v>
      </c>
      <c r="T78" s="186">
        <v>5.2887579999999996</v>
      </c>
      <c r="U78" s="186">
        <v>53.516013999999998</v>
      </c>
      <c r="V78" s="186">
        <v>3.0858439999999998</v>
      </c>
      <c r="W78" s="186">
        <v>3.04914</v>
      </c>
      <c r="X78" s="186">
        <v>2.967584</v>
      </c>
      <c r="Y78" s="186">
        <v>2.0326059999999999</v>
      </c>
      <c r="Z78" s="186">
        <v>2.6385079999999999</v>
      </c>
      <c r="AA78" s="50"/>
      <c r="AB78" s="50"/>
      <c r="AC78" s="50"/>
      <c r="AD78" s="50"/>
      <c r="AE78" s="50"/>
    </row>
    <row r="79" spans="1:31" ht="13.15" x14ac:dyDescent="0.4">
      <c r="A79" s="8">
        <v>30</v>
      </c>
      <c r="B79" s="186">
        <v>2.7655609999999999</v>
      </c>
      <c r="C79" s="186">
        <v>3.758756</v>
      </c>
      <c r="D79" s="186">
        <v>3.580994</v>
      </c>
      <c r="E79" s="186">
        <v>3.9636369999999999</v>
      </c>
      <c r="F79" s="186">
        <v>4.2688829999999998</v>
      </c>
      <c r="G79" s="186">
        <v>2.3413170000000001</v>
      </c>
      <c r="H79" s="186">
        <v>2.6424989999999999</v>
      </c>
      <c r="I79" s="186">
        <v>2.967724</v>
      </c>
      <c r="J79" s="186">
        <v>3.4549479999999999</v>
      </c>
      <c r="K79" s="186">
        <v>1.6263840000000001</v>
      </c>
      <c r="L79" s="186">
        <v>3.7220230000000001</v>
      </c>
      <c r="M79" s="186">
        <v>3.4526819999999998</v>
      </c>
      <c r="N79" s="186">
        <v>4.4008079999999996</v>
      </c>
      <c r="O79" s="186">
        <v>3.7606269999999999</v>
      </c>
      <c r="P79" s="186">
        <v>2.844875</v>
      </c>
      <c r="Q79" s="186">
        <v>2.1283500000000002</v>
      </c>
      <c r="R79" s="186">
        <v>2.4397310000000001</v>
      </c>
      <c r="S79" s="186">
        <v>1.636952</v>
      </c>
      <c r="T79" s="186">
        <v>4.6785170000000003</v>
      </c>
      <c r="U79" s="186">
        <v>51.86768</v>
      </c>
      <c r="V79" s="186">
        <v>2.7666189999999999</v>
      </c>
      <c r="W79" s="186">
        <v>2.6425879999999999</v>
      </c>
      <c r="X79" s="186">
        <v>2.3536009999999998</v>
      </c>
      <c r="Y79" s="186">
        <v>1.4228240000000001</v>
      </c>
      <c r="Z79" s="186">
        <v>1.826659</v>
      </c>
      <c r="AA79" s="50"/>
      <c r="AB79" s="50"/>
      <c r="AC79" s="50"/>
      <c r="AD79" s="50"/>
      <c r="AE79" s="50"/>
    </row>
    <row r="80" spans="1:31" ht="13.15" x14ac:dyDescent="0.4">
      <c r="A80" s="8">
        <v>38</v>
      </c>
      <c r="B80" s="186">
        <v>0.42547099999999999</v>
      </c>
      <c r="C80" s="186">
        <v>0.91429199999999999</v>
      </c>
      <c r="D80" s="186">
        <v>0.71619900000000003</v>
      </c>
      <c r="E80" s="186">
        <v>0.81305400000000005</v>
      </c>
      <c r="F80" s="186">
        <v>0.91476100000000005</v>
      </c>
      <c r="G80" s="186">
        <v>0.31927100000000003</v>
      </c>
      <c r="H80" s="186">
        <v>0.20326900000000001</v>
      </c>
      <c r="I80" s="186">
        <v>0.307006</v>
      </c>
      <c r="J80" s="186">
        <v>0.30484800000000001</v>
      </c>
      <c r="K80" s="186">
        <v>0</v>
      </c>
      <c r="L80" s="186">
        <v>1.276122</v>
      </c>
      <c r="M80" s="186">
        <v>0.60929699999999998</v>
      </c>
      <c r="N80" s="186">
        <v>0.51172200000000001</v>
      </c>
      <c r="O80" s="186">
        <v>0.40655400000000003</v>
      </c>
      <c r="P80" s="186">
        <v>0.40641100000000002</v>
      </c>
      <c r="Q80" s="186">
        <v>0.31925300000000001</v>
      </c>
      <c r="R80" s="186">
        <v>0</v>
      </c>
      <c r="S80" s="186">
        <v>0.30692799999999998</v>
      </c>
      <c r="T80" s="186">
        <v>1.3221890000000001</v>
      </c>
      <c r="U80" s="186">
        <v>35.164527999999997</v>
      </c>
      <c r="V80" s="186">
        <v>0.31922499999999998</v>
      </c>
      <c r="W80" s="186">
        <v>0.20327600000000001</v>
      </c>
      <c r="X80" s="186">
        <v>0.20466100000000001</v>
      </c>
      <c r="Y80" s="186">
        <v>0.203261</v>
      </c>
      <c r="Z80" s="186">
        <v>0.30444300000000002</v>
      </c>
      <c r="AA80" s="50"/>
      <c r="AB80" s="50"/>
      <c r="AC80" s="50"/>
      <c r="AD80" s="50"/>
      <c r="AE80" s="50"/>
    </row>
    <row r="81" spans="1:32" ht="13.15" x14ac:dyDescent="0.4">
      <c r="A81" s="8">
        <v>50</v>
      </c>
      <c r="B81" s="186">
        <v>0</v>
      </c>
      <c r="C81" s="186">
        <v>0.30476399999999998</v>
      </c>
      <c r="D81" s="186">
        <v>0.30694199999999999</v>
      </c>
      <c r="E81" s="186">
        <v>0</v>
      </c>
      <c r="F81" s="186">
        <v>0.50819999999999999</v>
      </c>
      <c r="G81" s="186">
        <v>0.21284700000000001</v>
      </c>
      <c r="H81" s="186">
        <v>0</v>
      </c>
      <c r="I81" s="186">
        <v>0.102335</v>
      </c>
      <c r="J81" s="186">
        <v>0.101616</v>
      </c>
      <c r="K81" s="186">
        <v>0</v>
      </c>
      <c r="L81" s="186">
        <v>0.21268699999999999</v>
      </c>
      <c r="M81" s="186">
        <v>0.30464799999999997</v>
      </c>
      <c r="N81" s="186">
        <v>0.20468900000000001</v>
      </c>
      <c r="O81" s="186">
        <v>0</v>
      </c>
      <c r="P81" s="186">
        <v>0.101603</v>
      </c>
      <c r="Q81" s="186">
        <v>0.106418</v>
      </c>
      <c r="R81" s="186">
        <v>0</v>
      </c>
      <c r="S81" s="186">
        <v>0</v>
      </c>
      <c r="T81" s="186">
        <v>0.50853400000000004</v>
      </c>
      <c r="U81" s="186">
        <v>22.747053000000001</v>
      </c>
      <c r="V81" s="186">
        <v>0.106408</v>
      </c>
      <c r="W81" s="186">
        <v>0</v>
      </c>
      <c r="X81" s="186">
        <v>0</v>
      </c>
      <c r="Y81" s="186">
        <v>0.10163</v>
      </c>
      <c r="Z81" s="186">
        <v>0</v>
      </c>
      <c r="AA81" s="50"/>
      <c r="AB81" s="50"/>
      <c r="AC81" s="50"/>
      <c r="AD81" s="50"/>
      <c r="AE81" s="50"/>
    </row>
    <row r="82" spans="1:32" ht="13.15" x14ac:dyDescent="0.4">
      <c r="A82" s="8">
        <v>70</v>
      </c>
      <c r="B82" s="186">
        <v>0</v>
      </c>
      <c r="C82" s="186">
        <v>0</v>
      </c>
      <c r="D82" s="186">
        <v>0</v>
      </c>
      <c r="E82" s="186">
        <v>0</v>
      </c>
      <c r="F82" s="186">
        <v>0.30492000000000002</v>
      </c>
      <c r="G82" s="186">
        <v>0.106424</v>
      </c>
      <c r="H82" s="186">
        <v>0</v>
      </c>
      <c r="I82" s="186">
        <v>0</v>
      </c>
      <c r="J82" s="186">
        <v>0.101616</v>
      </c>
      <c r="K82" s="186">
        <v>0</v>
      </c>
      <c r="L82" s="186">
        <v>0.10634399999999999</v>
      </c>
      <c r="M82" s="186">
        <v>0</v>
      </c>
      <c r="N82" s="186">
        <v>0</v>
      </c>
      <c r="O82" s="186">
        <v>0</v>
      </c>
      <c r="P82" s="186">
        <v>0</v>
      </c>
      <c r="Q82" s="186">
        <v>0</v>
      </c>
      <c r="R82" s="186">
        <v>0</v>
      </c>
      <c r="S82" s="186">
        <v>0</v>
      </c>
      <c r="T82" s="186">
        <v>0.20341400000000001</v>
      </c>
      <c r="U82" s="186">
        <v>13.955921999999999</v>
      </c>
      <c r="V82" s="186">
        <v>0.106408</v>
      </c>
      <c r="W82" s="186">
        <v>0</v>
      </c>
      <c r="X82" s="186">
        <v>0</v>
      </c>
      <c r="Y82" s="186">
        <v>0.10163</v>
      </c>
      <c r="Z82" s="186">
        <v>0</v>
      </c>
      <c r="AA82" s="50"/>
      <c r="AB82" s="50"/>
      <c r="AC82" s="50"/>
      <c r="AD82" s="50"/>
      <c r="AE82" s="50"/>
    </row>
    <row r="92" spans="1:32" x14ac:dyDescent="0.35">
      <c r="A92" t="s">
        <v>351</v>
      </c>
    </row>
    <row r="93" spans="1:32" x14ac:dyDescent="0.35">
      <c r="A93">
        <v>1</v>
      </c>
      <c r="B93">
        <v>9.4013469999999995</v>
      </c>
      <c r="C93">
        <v>1838.779053</v>
      </c>
      <c r="D93">
        <v>1813.7825929999999</v>
      </c>
      <c r="E93">
        <v>1798.5720209999999</v>
      </c>
      <c r="F93">
        <v>1788.041626</v>
      </c>
      <c r="G93">
        <v>1782.4041749999999</v>
      </c>
      <c r="H93">
        <v>1779.4257809999999</v>
      </c>
      <c r="I93">
        <v>1771.2354740000001</v>
      </c>
      <c r="J93">
        <v>1627.107178</v>
      </c>
      <c r="K93">
        <v>879.66119400000002</v>
      </c>
      <c r="L93">
        <v>199.22676100000001</v>
      </c>
      <c r="M93">
        <v>79.456695999999994</v>
      </c>
      <c r="N93">
        <v>68.288086000000007</v>
      </c>
      <c r="O93">
        <v>57.864047999999997</v>
      </c>
      <c r="P93">
        <v>42.866196000000002</v>
      </c>
      <c r="Q93">
        <v>30.633907000000001</v>
      </c>
      <c r="R93">
        <v>21.486281999999999</v>
      </c>
      <c r="S93">
        <v>18.720721999999999</v>
      </c>
      <c r="T93">
        <v>16.38063</v>
      </c>
      <c r="U93">
        <v>13.615069999999999</v>
      </c>
      <c r="V93">
        <v>11.381347999999999</v>
      </c>
      <c r="W93">
        <v>9.5730959999999996</v>
      </c>
      <c r="X93">
        <v>7.9775799999999997</v>
      </c>
      <c r="Y93">
        <v>6.9139030000000004</v>
      </c>
      <c r="Z93">
        <v>5.9565929999999998</v>
      </c>
      <c r="AA93">
        <v>5.3183870000000004</v>
      </c>
      <c r="AB93">
        <v>3.9356059999999999</v>
      </c>
      <c r="AC93">
        <v>2.7655609999999999</v>
      </c>
      <c r="AD93">
        <v>0.42547099999999999</v>
      </c>
      <c r="AE93">
        <v>0</v>
      </c>
      <c r="AF93">
        <v>0</v>
      </c>
    </row>
    <row r="94" spans="1:32" x14ac:dyDescent="0.35">
      <c r="A94">
        <v>2</v>
      </c>
      <c r="B94">
        <v>9.8436819999999994</v>
      </c>
      <c r="C94">
        <v>1741.0151370000001</v>
      </c>
      <c r="D94">
        <v>1715.1102289999999</v>
      </c>
      <c r="E94">
        <v>1700.684692</v>
      </c>
      <c r="F94">
        <v>1691.033813</v>
      </c>
      <c r="G94">
        <v>1685.2432859999999</v>
      </c>
      <c r="H94">
        <v>1679.8591309999999</v>
      </c>
      <c r="I94">
        <v>1670.411499</v>
      </c>
      <c r="J94">
        <v>1540.6835940000001</v>
      </c>
      <c r="K94">
        <v>868.88214100000005</v>
      </c>
      <c r="L94">
        <v>212.217331</v>
      </c>
      <c r="M94">
        <v>76.597351000000003</v>
      </c>
      <c r="N94">
        <v>64.508376999999996</v>
      </c>
      <c r="O94">
        <v>54.654342999999997</v>
      </c>
      <c r="P94">
        <v>42.971724999999999</v>
      </c>
      <c r="Q94">
        <v>32.914512999999999</v>
      </c>
      <c r="R94">
        <v>23.670003999999999</v>
      </c>
      <c r="S94">
        <v>20.216013</v>
      </c>
      <c r="T94">
        <v>18.082664000000001</v>
      </c>
      <c r="U94">
        <v>15.339788</v>
      </c>
      <c r="V94">
        <v>11.885795999999999</v>
      </c>
      <c r="W94">
        <v>9.9556240000000003</v>
      </c>
      <c r="X94">
        <v>8.8381559999999997</v>
      </c>
      <c r="Y94">
        <v>7.923864</v>
      </c>
      <c r="Z94">
        <v>6.6032200000000003</v>
      </c>
      <c r="AA94">
        <v>5.6889279999999998</v>
      </c>
      <c r="AB94">
        <v>4.165108</v>
      </c>
      <c r="AC94">
        <v>3.758756</v>
      </c>
      <c r="AD94">
        <v>0.91429199999999999</v>
      </c>
      <c r="AE94">
        <v>0.30476399999999998</v>
      </c>
      <c r="AF94">
        <v>0</v>
      </c>
    </row>
    <row r="95" spans="1:32" x14ac:dyDescent="0.35">
      <c r="A95">
        <v>3</v>
      </c>
      <c r="B95">
        <v>9.7738219999999991</v>
      </c>
      <c r="C95">
        <v>1871.9392089999999</v>
      </c>
      <c r="D95">
        <v>1844.825928</v>
      </c>
      <c r="E95">
        <v>1830.501953</v>
      </c>
      <c r="F95">
        <v>1820.5775149999999</v>
      </c>
      <c r="G95">
        <v>1814.3363039999999</v>
      </c>
      <c r="H95">
        <v>1809.322876</v>
      </c>
      <c r="I95">
        <v>1800.5239260000001</v>
      </c>
      <c r="J95">
        <v>1664.2414550000001</v>
      </c>
      <c r="K95">
        <v>892.79303000000004</v>
      </c>
      <c r="L95">
        <v>212.81336999999999</v>
      </c>
      <c r="M95">
        <v>78.167991999999998</v>
      </c>
      <c r="N95">
        <v>67.220375000000004</v>
      </c>
      <c r="O95">
        <v>55.863509999999998</v>
      </c>
      <c r="P95">
        <v>41.027962000000002</v>
      </c>
      <c r="Q95">
        <v>30.387295000000002</v>
      </c>
      <c r="R95">
        <v>22.09985</v>
      </c>
      <c r="S95">
        <v>18.825797999999999</v>
      </c>
      <c r="T95">
        <v>17.495714</v>
      </c>
      <c r="U95">
        <v>15.551746</v>
      </c>
      <c r="V95">
        <v>13.096208000000001</v>
      </c>
      <c r="W95">
        <v>10.742983000000001</v>
      </c>
      <c r="X95">
        <v>8.9013290000000005</v>
      </c>
      <c r="Y95">
        <v>7.7758729999999998</v>
      </c>
      <c r="Z95">
        <v>6.8550459999999998</v>
      </c>
      <c r="AA95">
        <v>5.4226479999999997</v>
      </c>
      <c r="AB95">
        <v>4.6041359999999996</v>
      </c>
      <c r="AC95">
        <v>3.580994</v>
      </c>
      <c r="AD95">
        <v>0.71619900000000003</v>
      </c>
      <c r="AE95">
        <v>0.30694199999999999</v>
      </c>
      <c r="AF95">
        <v>0</v>
      </c>
    </row>
    <row r="96" spans="1:32" x14ac:dyDescent="0.35">
      <c r="A96">
        <v>4</v>
      </c>
      <c r="B96">
        <v>9.8394490000000001</v>
      </c>
      <c r="C96">
        <v>1865.043457</v>
      </c>
      <c r="D96">
        <v>1840.3469239999999</v>
      </c>
      <c r="E96">
        <v>1827.134888</v>
      </c>
      <c r="F96">
        <v>1818.5977780000001</v>
      </c>
      <c r="G96">
        <v>1812.9063719999999</v>
      </c>
      <c r="H96">
        <v>1808.536255</v>
      </c>
      <c r="I96">
        <v>1799.7958980000001</v>
      </c>
      <c r="J96">
        <v>1658.527832</v>
      </c>
      <c r="K96">
        <v>902.99774200000002</v>
      </c>
      <c r="L96">
        <v>217.08532700000001</v>
      </c>
      <c r="M96">
        <v>79.374367000000007</v>
      </c>
      <c r="N96">
        <v>66.873665000000003</v>
      </c>
      <c r="O96">
        <v>57.421913000000004</v>
      </c>
      <c r="P96">
        <v>44.514687000000002</v>
      </c>
      <c r="Q96">
        <v>32.11562</v>
      </c>
      <c r="R96">
        <v>24.696504999999998</v>
      </c>
      <c r="S96">
        <v>21.139395</v>
      </c>
      <c r="T96">
        <v>19.208393000000001</v>
      </c>
      <c r="U96">
        <v>16.565968000000002</v>
      </c>
      <c r="V96">
        <v>12.907227000000001</v>
      </c>
      <c r="W96">
        <v>11.281119</v>
      </c>
      <c r="X96">
        <v>9.5533809999999999</v>
      </c>
      <c r="Y96">
        <v>8.5370640000000009</v>
      </c>
      <c r="Z96">
        <v>7.3174830000000002</v>
      </c>
      <c r="AA96">
        <v>6.6060610000000004</v>
      </c>
      <c r="AB96">
        <v>5.5897439999999996</v>
      </c>
      <c r="AC96">
        <v>3.9636369999999999</v>
      </c>
      <c r="AD96">
        <v>0.81305400000000005</v>
      </c>
      <c r="AE96">
        <v>0</v>
      </c>
      <c r="AF96">
        <v>0</v>
      </c>
    </row>
    <row r="97" spans="1:32" x14ac:dyDescent="0.35">
      <c r="A97">
        <v>5</v>
      </c>
      <c r="B97">
        <v>9.8386399999999998</v>
      </c>
      <c r="C97">
        <v>1799.740601</v>
      </c>
      <c r="D97">
        <v>1776.6683350000001</v>
      </c>
      <c r="E97">
        <v>1764.0649410000001</v>
      </c>
      <c r="F97">
        <v>1754.7139890000001</v>
      </c>
      <c r="G97">
        <v>1749.5303960000001</v>
      </c>
      <c r="H97">
        <v>1745.7696530000001</v>
      </c>
      <c r="I97">
        <v>1738.5532229999999</v>
      </c>
      <c r="J97">
        <v>1624.20813</v>
      </c>
      <c r="K97">
        <v>923.80651899999998</v>
      </c>
      <c r="L97">
        <v>215.37529000000001</v>
      </c>
      <c r="M97">
        <v>80.702208999999996</v>
      </c>
      <c r="N97">
        <v>69.216881000000001</v>
      </c>
      <c r="O97">
        <v>61.797156999999999</v>
      </c>
      <c r="P97">
        <v>48.990509000000003</v>
      </c>
      <c r="Q97">
        <v>35.065823000000002</v>
      </c>
      <c r="R97">
        <v>25.308375999999999</v>
      </c>
      <c r="S97">
        <v>21.242773</v>
      </c>
      <c r="T97">
        <v>18.600131999999999</v>
      </c>
      <c r="U97">
        <v>16.364049999999999</v>
      </c>
      <c r="V97">
        <v>13.721408</v>
      </c>
      <c r="W97">
        <v>11.790247000000001</v>
      </c>
      <c r="X97">
        <v>10.062366000000001</v>
      </c>
      <c r="Y97">
        <v>8.5377659999999995</v>
      </c>
      <c r="Z97">
        <v>7.3180839999999998</v>
      </c>
      <c r="AA97">
        <v>6.0984040000000004</v>
      </c>
      <c r="AB97">
        <v>5.2852829999999997</v>
      </c>
      <c r="AC97">
        <v>4.2688829999999998</v>
      </c>
      <c r="AD97">
        <v>0.91476100000000005</v>
      </c>
      <c r="AE97">
        <v>0.50819999999999999</v>
      </c>
      <c r="AF97">
        <v>0.30492000000000002</v>
      </c>
    </row>
    <row r="98" spans="1:32" x14ac:dyDescent="0.35">
      <c r="A98">
        <v>1</v>
      </c>
      <c r="B98">
        <v>9.3964200000000009</v>
      </c>
      <c r="C98">
        <v>1826.3339840000001</v>
      </c>
      <c r="D98">
        <v>1803.772217</v>
      </c>
      <c r="E98">
        <v>1792.278442</v>
      </c>
      <c r="F98">
        <v>1785.8930660000001</v>
      </c>
      <c r="G98">
        <v>1781.3167719999999</v>
      </c>
      <c r="H98">
        <v>1777.6983640000001</v>
      </c>
      <c r="I98">
        <v>1769.929443</v>
      </c>
      <c r="J98">
        <v>1620.5108640000001</v>
      </c>
      <c r="K98">
        <v>860.540527</v>
      </c>
      <c r="L98">
        <v>204.86526499999999</v>
      </c>
      <c r="M98">
        <v>73.964340000000007</v>
      </c>
      <c r="N98">
        <v>61.299945999999998</v>
      </c>
      <c r="O98">
        <v>51.402557000000002</v>
      </c>
      <c r="P98">
        <v>40.653782</v>
      </c>
      <c r="Q98">
        <v>28.734348000000001</v>
      </c>
      <c r="R98">
        <v>20.859009</v>
      </c>
      <c r="S98">
        <v>18.091996999999999</v>
      </c>
      <c r="T98">
        <v>15.537832999999999</v>
      </c>
      <c r="U98">
        <v>13.090093</v>
      </c>
      <c r="V98">
        <v>10.855199000000001</v>
      </c>
      <c r="W98">
        <v>8.1946110000000001</v>
      </c>
      <c r="X98">
        <v>6.2789869999999999</v>
      </c>
      <c r="Y98">
        <v>5.4275989999999998</v>
      </c>
      <c r="Z98">
        <v>4.3633639999999998</v>
      </c>
      <c r="AA98">
        <v>3.6183999999999998</v>
      </c>
      <c r="AB98">
        <v>2.9798580000000001</v>
      </c>
      <c r="AC98">
        <v>2.3413170000000001</v>
      </c>
      <c r="AD98">
        <v>0.31927100000000003</v>
      </c>
      <c r="AE98">
        <v>0.21284700000000001</v>
      </c>
      <c r="AF98">
        <v>0.106424</v>
      </c>
    </row>
    <row r="99" spans="1:32" x14ac:dyDescent="0.35">
      <c r="A99">
        <v>2</v>
      </c>
      <c r="B99">
        <v>9.8391719999999996</v>
      </c>
      <c r="C99">
        <v>1807.367432</v>
      </c>
      <c r="D99">
        <v>1784.8045649999999</v>
      </c>
      <c r="E99">
        <v>1771.8969729999999</v>
      </c>
      <c r="F99">
        <v>1764.7825929999999</v>
      </c>
      <c r="G99">
        <v>1760.107422</v>
      </c>
      <c r="H99">
        <v>1756.753418</v>
      </c>
      <c r="I99">
        <v>1749.8422849999999</v>
      </c>
      <c r="J99">
        <v>1619.0385739999999</v>
      </c>
      <c r="K99">
        <v>883.509277</v>
      </c>
      <c r="L99">
        <v>205.403458</v>
      </c>
      <c r="M99">
        <v>69.416404999999997</v>
      </c>
      <c r="N99">
        <v>58.643143000000002</v>
      </c>
      <c r="O99">
        <v>48.784592000000004</v>
      </c>
      <c r="P99">
        <v>38.011325999999997</v>
      </c>
      <c r="Q99">
        <v>27.542967000000001</v>
      </c>
      <c r="R99">
        <v>19.310568</v>
      </c>
      <c r="S99">
        <v>16.159894999999999</v>
      </c>
      <c r="T99">
        <v>13.822301</v>
      </c>
      <c r="U99">
        <v>11.687975</v>
      </c>
      <c r="V99">
        <v>9.4520149999999994</v>
      </c>
      <c r="W99">
        <v>8.2324000000000002</v>
      </c>
      <c r="X99">
        <v>7.012785</v>
      </c>
      <c r="Y99">
        <v>6.1997080000000002</v>
      </c>
      <c r="Z99">
        <v>4.8784590000000003</v>
      </c>
      <c r="AA99">
        <v>3.9637479999999998</v>
      </c>
      <c r="AB99">
        <v>3.150671</v>
      </c>
      <c r="AC99">
        <v>2.6424989999999999</v>
      </c>
      <c r="AD99">
        <v>0.20326900000000001</v>
      </c>
      <c r="AE99">
        <v>0</v>
      </c>
      <c r="AF99">
        <v>0</v>
      </c>
    </row>
    <row r="100" spans="1:32" x14ac:dyDescent="0.35">
      <c r="A100">
        <v>3</v>
      </c>
      <c r="B100">
        <v>9.7717980000000004</v>
      </c>
      <c r="C100">
        <v>1885.8350829999999</v>
      </c>
      <c r="D100">
        <v>1861.274658</v>
      </c>
      <c r="E100">
        <v>1847.254639</v>
      </c>
      <c r="F100">
        <v>1840.1936040000001</v>
      </c>
      <c r="G100">
        <v>1837.1235349999999</v>
      </c>
      <c r="H100">
        <v>1833.030029</v>
      </c>
      <c r="I100">
        <v>1823.205933</v>
      </c>
      <c r="J100">
        <v>1655.273682</v>
      </c>
      <c r="K100">
        <v>879.77667199999996</v>
      </c>
      <c r="L100">
        <v>205.79631000000001</v>
      </c>
      <c r="M100">
        <v>76.342140000000001</v>
      </c>
      <c r="N100">
        <v>64.471244999999996</v>
      </c>
      <c r="O100">
        <v>54.135379999999998</v>
      </c>
      <c r="P100">
        <v>40.831791000000003</v>
      </c>
      <c r="Q100">
        <v>26.914186000000001</v>
      </c>
      <c r="R100">
        <v>19.239038000000001</v>
      </c>
      <c r="S100">
        <v>15.554967</v>
      </c>
      <c r="T100">
        <v>14.019938</v>
      </c>
      <c r="U100">
        <v>11.768560000000001</v>
      </c>
      <c r="V100">
        <v>9.9265249999999998</v>
      </c>
      <c r="W100">
        <v>8.4938310000000001</v>
      </c>
      <c r="X100">
        <v>7.2658069999999997</v>
      </c>
      <c r="Y100">
        <v>5.9354480000000001</v>
      </c>
      <c r="Z100">
        <v>5.2191010000000002</v>
      </c>
      <c r="AA100">
        <v>4.6050890000000004</v>
      </c>
      <c r="AB100">
        <v>3.5817359999999998</v>
      </c>
      <c r="AC100">
        <v>2.967724</v>
      </c>
      <c r="AD100">
        <v>0.307006</v>
      </c>
      <c r="AE100">
        <v>0.102335</v>
      </c>
      <c r="AF100">
        <v>0</v>
      </c>
    </row>
    <row r="101" spans="1:32" x14ac:dyDescent="0.35">
      <c r="A101">
        <v>4</v>
      </c>
      <c r="B101">
        <v>9.8409580000000005</v>
      </c>
      <c r="C101">
        <v>1797.4876710000001</v>
      </c>
      <c r="D101">
        <v>1776.6563719999999</v>
      </c>
      <c r="E101">
        <v>1765.783447</v>
      </c>
      <c r="F101">
        <v>1759.4832759999999</v>
      </c>
      <c r="G101">
        <v>1755.1137699999999</v>
      </c>
      <c r="H101">
        <v>1752.674927</v>
      </c>
      <c r="I101">
        <v>1746.273193</v>
      </c>
      <c r="J101">
        <v>1625.2482910000001</v>
      </c>
      <c r="K101">
        <v>894.72997999999995</v>
      </c>
      <c r="L101">
        <v>207.09367399999999</v>
      </c>
      <c r="M101">
        <v>70.724823000000001</v>
      </c>
      <c r="N101">
        <v>60.156745999999998</v>
      </c>
      <c r="O101">
        <v>50.198368000000002</v>
      </c>
      <c r="P101">
        <v>38.410896000000001</v>
      </c>
      <c r="Q101">
        <v>28.046050999999999</v>
      </c>
      <c r="R101">
        <v>20.526457000000001</v>
      </c>
      <c r="S101">
        <v>16.156963000000001</v>
      </c>
      <c r="T101">
        <v>14.937571</v>
      </c>
      <c r="U101">
        <v>12.498784000000001</v>
      </c>
      <c r="V101">
        <v>10.466461000000001</v>
      </c>
      <c r="W101">
        <v>9.0438360000000007</v>
      </c>
      <c r="X101">
        <v>7.8244420000000003</v>
      </c>
      <c r="Y101">
        <v>6.8082799999999999</v>
      </c>
      <c r="Z101">
        <v>5.5888869999999997</v>
      </c>
      <c r="AA101">
        <v>4.97919</v>
      </c>
      <c r="AB101">
        <v>4.2678770000000004</v>
      </c>
      <c r="AC101">
        <v>3.4549479999999999</v>
      </c>
      <c r="AD101">
        <v>0.30484800000000001</v>
      </c>
      <c r="AE101">
        <v>0.101616</v>
      </c>
      <c r="AF101">
        <v>0.101616</v>
      </c>
    </row>
    <row r="102" spans="1:32" x14ac:dyDescent="0.35">
      <c r="A102">
        <v>5</v>
      </c>
      <c r="B102">
        <v>9.8377719999999993</v>
      </c>
      <c r="C102">
        <v>1750.1929929999999</v>
      </c>
      <c r="D102">
        <v>1730.0664059999999</v>
      </c>
      <c r="E102">
        <v>1720.511475</v>
      </c>
      <c r="F102">
        <v>1716.1405030000001</v>
      </c>
      <c r="G102">
        <v>1712.3795170000001</v>
      </c>
      <c r="H102">
        <v>1709.1267089999999</v>
      </c>
      <c r="I102">
        <v>1700.791504</v>
      </c>
      <c r="J102">
        <v>1551.1641850000001</v>
      </c>
      <c r="K102">
        <v>854.563354</v>
      </c>
      <c r="L102">
        <v>193.641403</v>
      </c>
      <c r="M102">
        <v>66.580116000000004</v>
      </c>
      <c r="N102">
        <v>55.093772999999999</v>
      </c>
      <c r="O102">
        <v>46.453606000000001</v>
      </c>
      <c r="P102">
        <v>36.288704000000003</v>
      </c>
      <c r="Q102">
        <v>25.107309000000001</v>
      </c>
      <c r="R102">
        <v>16.772089000000001</v>
      </c>
      <c r="S102">
        <v>13.62097</v>
      </c>
      <c r="T102">
        <v>12.197884</v>
      </c>
      <c r="U102">
        <v>10.368200999999999</v>
      </c>
      <c r="V102">
        <v>8.7418169999999993</v>
      </c>
      <c r="W102">
        <v>7.7253259999999999</v>
      </c>
      <c r="X102">
        <v>6.6071869999999997</v>
      </c>
      <c r="Y102">
        <v>4.9808029999999999</v>
      </c>
      <c r="Z102">
        <v>3.862663</v>
      </c>
      <c r="AA102">
        <v>2.8461729999999998</v>
      </c>
      <c r="AB102">
        <v>2.1346289999999999</v>
      </c>
      <c r="AC102">
        <v>1.6263840000000001</v>
      </c>
      <c r="AD102">
        <v>0</v>
      </c>
      <c r="AE102">
        <v>0</v>
      </c>
      <c r="AF102">
        <v>0</v>
      </c>
    </row>
    <row r="103" spans="1:32" x14ac:dyDescent="0.35">
      <c r="A103">
        <v>1</v>
      </c>
      <c r="B103">
        <v>9.4034879999999994</v>
      </c>
      <c r="C103">
        <v>1868.0302730000001</v>
      </c>
      <c r="D103">
        <v>1845.4853519999999</v>
      </c>
      <c r="E103">
        <v>1834.0002440000001</v>
      </c>
      <c r="F103">
        <v>1827.194336</v>
      </c>
      <c r="G103">
        <v>1822.30249</v>
      </c>
      <c r="H103">
        <v>1817.623413</v>
      </c>
      <c r="I103">
        <v>1809.3286129999999</v>
      </c>
      <c r="J103">
        <v>1661.085693</v>
      </c>
      <c r="K103">
        <v>897.64562999999998</v>
      </c>
      <c r="L103">
        <v>213.32508899999999</v>
      </c>
      <c r="M103">
        <v>82.522568000000007</v>
      </c>
      <c r="N103">
        <v>71.569182999999995</v>
      </c>
      <c r="O103">
        <v>61.785583000000003</v>
      </c>
      <c r="P103">
        <v>47.854584000000003</v>
      </c>
      <c r="Q103">
        <v>33.817238000000003</v>
      </c>
      <c r="R103">
        <v>24.565351</v>
      </c>
      <c r="S103">
        <v>19.673549999999999</v>
      </c>
      <c r="T103">
        <v>17.227650000000001</v>
      </c>
      <c r="U103">
        <v>14.781749</v>
      </c>
      <c r="V103">
        <v>12.016817</v>
      </c>
      <c r="W103">
        <v>10.421664</v>
      </c>
      <c r="X103">
        <v>9.1455420000000007</v>
      </c>
      <c r="Y103">
        <v>7.3377030000000003</v>
      </c>
      <c r="Z103">
        <v>6.2742680000000002</v>
      </c>
      <c r="AA103">
        <v>5.8488939999999996</v>
      </c>
      <c r="AB103">
        <v>4.9981450000000001</v>
      </c>
      <c r="AC103">
        <v>3.7220230000000001</v>
      </c>
      <c r="AD103">
        <v>1.276122</v>
      </c>
      <c r="AE103">
        <v>0.21268699999999999</v>
      </c>
      <c r="AF103">
        <v>0.10634399999999999</v>
      </c>
    </row>
    <row r="104" spans="1:32" x14ac:dyDescent="0.35">
      <c r="A104">
        <v>2</v>
      </c>
      <c r="B104">
        <v>9.8474179999999993</v>
      </c>
      <c r="C104">
        <v>1786.965942</v>
      </c>
      <c r="D104">
        <v>1766.757568</v>
      </c>
      <c r="E104">
        <v>1754.0638429999999</v>
      </c>
      <c r="F104">
        <v>1747.0570070000001</v>
      </c>
      <c r="G104">
        <v>1743.299683</v>
      </c>
      <c r="H104">
        <v>1740.2531739999999</v>
      </c>
      <c r="I104">
        <v>1733.246216</v>
      </c>
      <c r="J104">
        <v>1613.2147219999999</v>
      </c>
      <c r="K104">
        <v>909.98474099999999</v>
      </c>
      <c r="L104">
        <v>210.71513400000001</v>
      </c>
      <c r="M104">
        <v>75.552802999999997</v>
      </c>
      <c r="N104">
        <v>63.366866999999999</v>
      </c>
      <c r="O104">
        <v>52.704169999999998</v>
      </c>
      <c r="P104">
        <v>40.822884000000002</v>
      </c>
      <c r="Q104">
        <v>29.449345000000001</v>
      </c>
      <c r="R104">
        <v>20.919188999999999</v>
      </c>
      <c r="S104">
        <v>18.482002000000001</v>
      </c>
      <c r="T104">
        <v>17.060310000000001</v>
      </c>
      <c r="U104">
        <v>15.029320999999999</v>
      </c>
      <c r="V104">
        <v>12.084386</v>
      </c>
      <c r="W104">
        <v>10.459595</v>
      </c>
      <c r="X104">
        <v>9.0379020000000008</v>
      </c>
      <c r="Y104">
        <v>7.1084620000000003</v>
      </c>
      <c r="Z104">
        <v>5.9914180000000004</v>
      </c>
      <c r="AA104">
        <v>4.8743740000000004</v>
      </c>
      <c r="AB104">
        <v>3.8588800000000001</v>
      </c>
      <c r="AC104">
        <v>3.4526819999999998</v>
      </c>
      <c r="AD104">
        <v>0.60929699999999998</v>
      </c>
      <c r="AE104">
        <v>0.30464799999999997</v>
      </c>
      <c r="AF104">
        <v>0</v>
      </c>
    </row>
    <row r="105" spans="1:32" x14ac:dyDescent="0.35">
      <c r="A105">
        <v>3</v>
      </c>
      <c r="B105">
        <v>9.7709329999999994</v>
      </c>
      <c r="C105">
        <v>1832.9876710000001</v>
      </c>
      <c r="D105">
        <v>1810.0625</v>
      </c>
      <c r="E105">
        <v>1797.6788329999999</v>
      </c>
      <c r="F105">
        <v>1789.5936280000001</v>
      </c>
      <c r="G105">
        <v>1785.3975829999999</v>
      </c>
      <c r="H105">
        <v>1781.099121</v>
      </c>
      <c r="I105">
        <v>1771.9904790000001</v>
      </c>
      <c r="J105">
        <v>1603.940918</v>
      </c>
      <c r="K105">
        <v>836.97229000000004</v>
      </c>
      <c r="L105">
        <v>201.51606799999999</v>
      </c>
      <c r="M105">
        <v>76.962967000000006</v>
      </c>
      <c r="N105">
        <v>64.067573999999993</v>
      </c>
      <c r="O105">
        <v>54.856583000000001</v>
      </c>
      <c r="P105">
        <v>40.630713999999998</v>
      </c>
      <c r="Q105">
        <v>28.963456999999998</v>
      </c>
      <c r="R105">
        <v>20.366529</v>
      </c>
      <c r="S105">
        <v>17.705576000000001</v>
      </c>
      <c r="T105">
        <v>15.965722</v>
      </c>
      <c r="U105">
        <v>13.611801</v>
      </c>
      <c r="V105">
        <v>11.155537000000001</v>
      </c>
      <c r="W105">
        <v>9.8250600000000006</v>
      </c>
      <c r="X105">
        <v>8.4945830000000004</v>
      </c>
      <c r="Y105">
        <v>7.3687940000000003</v>
      </c>
      <c r="Z105">
        <v>6.6523839999999996</v>
      </c>
      <c r="AA105">
        <v>5.9359739999999999</v>
      </c>
      <c r="AB105">
        <v>5.219563</v>
      </c>
      <c r="AC105">
        <v>4.4008079999999996</v>
      </c>
      <c r="AD105">
        <v>0.51172200000000001</v>
      </c>
      <c r="AE105">
        <v>0.20468900000000001</v>
      </c>
      <c r="AF105">
        <v>0</v>
      </c>
    </row>
    <row r="106" spans="1:32" x14ac:dyDescent="0.35">
      <c r="A106">
        <v>4</v>
      </c>
      <c r="B106">
        <v>9.8387840000000004</v>
      </c>
      <c r="C106">
        <v>1774.2030030000001</v>
      </c>
      <c r="D106">
        <v>1753.2653809999999</v>
      </c>
      <c r="E106">
        <v>1740.7639160000001</v>
      </c>
      <c r="F106">
        <v>1733.3442379999999</v>
      </c>
      <c r="G106">
        <v>1728.973755</v>
      </c>
      <c r="H106">
        <v>1725.213135</v>
      </c>
      <c r="I106">
        <v>1718.0985109999999</v>
      </c>
      <c r="J106">
        <v>1591.3551030000001</v>
      </c>
      <c r="K106">
        <v>861.28527799999995</v>
      </c>
      <c r="L106">
        <v>206.12303199999999</v>
      </c>
      <c r="M106">
        <v>79.379729999999995</v>
      </c>
      <c r="N106">
        <v>65.963431999999997</v>
      </c>
      <c r="O106">
        <v>54.986469</v>
      </c>
      <c r="P106">
        <v>41.773453000000003</v>
      </c>
      <c r="Q106">
        <v>30.389935000000001</v>
      </c>
      <c r="R106">
        <v>22.258848</v>
      </c>
      <c r="S106">
        <v>17.888390000000001</v>
      </c>
      <c r="T106">
        <v>15.245786000000001</v>
      </c>
      <c r="U106">
        <v>14.026123</v>
      </c>
      <c r="V106">
        <v>11.485158999999999</v>
      </c>
      <c r="W106">
        <v>9.8589420000000008</v>
      </c>
      <c r="X106">
        <v>8.3343629999999997</v>
      </c>
      <c r="Y106">
        <v>7.521255</v>
      </c>
      <c r="Z106">
        <v>6.5048690000000002</v>
      </c>
      <c r="AA106">
        <v>5.590122</v>
      </c>
      <c r="AB106">
        <v>4.4720969999999998</v>
      </c>
      <c r="AC106">
        <v>3.7606269999999999</v>
      </c>
      <c r="AD106">
        <v>0.40655400000000003</v>
      </c>
      <c r="AE106">
        <v>0</v>
      </c>
      <c r="AF106">
        <v>0</v>
      </c>
    </row>
    <row r="107" spans="1:32" x14ac:dyDescent="0.35">
      <c r="A107">
        <v>5</v>
      </c>
      <c r="B107">
        <v>9.8422610000000006</v>
      </c>
      <c r="C107">
        <v>1677.1552730000001</v>
      </c>
      <c r="D107">
        <v>1657.3426509999999</v>
      </c>
      <c r="E107">
        <v>1646.2680660000001</v>
      </c>
      <c r="F107">
        <v>1639.5622559999999</v>
      </c>
      <c r="G107">
        <v>1634.58374</v>
      </c>
      <c r="H107">
        <v>1630.7227780000001</v>
      </c>
      <c r="I107">
        <v>1623.3057859999999</v>
      </c>
      <c r="J107">
        <v>1493.6607670000001</v>
      </c>
      <c r="K107">
        <v>845.84222399999999</v>
      </c>
      <c r="L107">
        <v>193.34986900000001</v>
      </c>
      <c r="M107">
        <v>61.977626999999998</v>
      </c>
      <c r="N107">
        <v>51.715758999999998</v>
      </c>
      <c r="O107">
        <v>43.689148000000003</v>
      </c>
      <c r="P107">
        <v>33.732086000000002</v>
      </c>
      <c r="Q107">
        <v>23.673421999999999</v>
      </c>
      <c r="R107">
        <v>17.069248000000002</v>
      </c>
      <c r="S107">
        <v>14.833989000000001</v>
      </c>
      <c r="T107">
        <v>13.513154999999999</v>
      </c>
      <c r="U107">
        <v>11.481101000000001</v>
      </c>
      <c r="V107">
        <v>9.7538560000000007</v>
      </c>
      <c r="W107">
        <v>7.7218030000000004</v>
      </c>
      <c r="X107">
        <v>6.6041730000000003</v>
      </c>
      <c r="Y107">
        <v>5.080133</v>
      </c>
      <c r="Z107">
        <v>3.962504</v>
      </c>
      <c r="AA107">
        <v>3.454491</v>
      </c>
      <c r="AB107">
        <v>3.0480800000000001</v>
      </c>
      <c r="AC107">
        <v>2.844875</v>
      </c>
      <c r="AD107">
        <v>0.40641100000000002</v>
      </c>
      <c r="AE107">
        <v>0.101603</v>
      </c>
      <c r="AF107">
        <v>0</v>
      </c>
    </row>
    <row r="108" spans="1:32" x14ac:dyDescent="0.35">
      <c r="A108">
        <v>1</v>
      </c>
      <c r="B108">
        <v>9.3969489999999993</v>
      </c>
      <c r="C108">
        <v>1752.4837649999999</v>
      </c>
      <c r="D108">
        <v>1731.9451899999999</v>
      </c>
      <c r="E108">
        <v>1722.899658</v>
      </c>
      <c r="F108">
        <v>1716.7274170000001</v>
      </c>
      <c r="G108">
        <v>1712.470703</v>
      </c>
      <c r="H108">
        <v>1709.278198</v>
      </c>
      <c r="I108">
        <v>1701.9354249999999</v>
      </c>
      <c r="J108">
        <v>1554.8664550000001</v>
      </c>
      <c r="K108">
        <v>836.228882</v>
      </c>
      <c r="L108">
        <v>185.16648900000001</v>
      </c>
      <c r="M108">
        <v>63.105590999999997</v>
      </c>
      <c r="N108">
        <v>53.102345</v>
      </c>
      <c r="O108">
        <v>44.588940000000001</v>
      </c>
      <c r="P108">
        <v>33.840770999999997</v>
      </c>
      <c r="Q108">
        <v>23.943943000000001</v>
      </c>
      <c r="R108">
        <v>17.346056000000001</v>
      </c>
      <c r="S108">
        <v>14.047112</v>
      </c>
      <c r="T108">
        <v>12.876519999999999</v>
      </c>
      <c r="U108">
        <v>10.961004000000001</v>
      </c>
      <c r="V108">
        <v>9.0454889999999999</v>
      </c>
      <c r="W108">
        <v>8.3005669999999991</v>
      </c>
      <c r="X108">
        <v>6.9171389999999997</v>
      </c>
      <c r="Y108">
        <v>5.4272939999999998</v>
      </c>
      <c r="Z108">
        <v>4.3631180000000001</v>
      </c>
      <c r="AA108">
        <v>3.5117780000000001</v>
      </c>
      <c r="AB108">
        <v>2.6604380000000001</v>
      </c>
      <c r="AC108">
        <v>2.1283500000000002</v>
      </c>
      <c r="AD108">
        <v>0.31925300000000001</v>
      </c>
      <c r="AE108">
        <v>0.106418</v>
      </c>
      <c r="AF108">
        <v>0</v>
      </c>
    </row>
    <row r="109" spans="1:32" x14ac:dyDescent="0.35">
      <c r="A109">
        <v>2</v>
      </c>
      <c r="B109">
        <v>9.8371519999999997</v>
      </c>
      <c r="C109">
        <v>1785.7811280000001</v>
      </c>
      <c r="D109">
        <v>1763.7219239999999</v>
      </c>
      <c r="E109">
        <v>1753.14978</v>
      </c>
      <c r="F109">
        <v>1747.4570309999999</v>
      </c>
      <c r="G109">
        <v>1743.594116</v>
      </c>
      <c r="H109">
        <v>1740.2395019999999</v>
      </c>
      <c r="I109">
        <v>1733.6319579999999</v>
      </c>
      <c r="J109">
        <v>1615.9149170000001</v>
      </c>
      <c r="K109">
        <v>888.671875</v>
      </c>
      <c r="L109">
        <v>195.58506800000001</v>
      </c>
      <c r="M109">
        <v>64.144585000000006</v>
      </c>
      <c r="N109">
        <v>53.267451999999999</v>
      </c>
      <c r="O109">
        <v>45.338329000000002</v>
      </c>
      <c r="P109">
        <v>33.038017000000004</v>
      </c>
      <c r="Q109">
        <v>23.177441000000002</v>
      </c>
      <c r="R109">
        <v>14.943350000000001</v>
      </c>
      <c r="S109">
        <v>11.080443000000001</v>
      </c>
      <c r="T109">
        <v>9.6572680000000002</v>
      </c>
      <c r="U109">
        <v>8.5390569999999997</v>
      </c>
      <c r="V109">
        <v>6.9125699999999997</v>
      </c>
      <c r="W109">
        <v>5.4893939999999999</v>
      </c>
      <c r="X109">
        <v>4.9811170000000002</v>
      </c>
      <c r="Y109">
        <v>4.0662180000000001</v>
      </c>
      <c r="Z109">
        <v>3.5579399999999999</v>
      </c>
      <c r="AA109">
        <v>3.252974</v>
      </c>
      <c r="AB109">
        <v>2.7446969999999999</v>
      </c>
      <c r="AC109">
        <v>2.4397310000000001</v>
      </c>
      <c r="AD109">
        <v>0</v>
      </c>
      <c r="AE109">
        <v>0</v>
      </c>
      <c r="AF109">
        <v>0</v>
      </c>
    </row>
    <row r="110" spans="1:32" x14ac:dyDescent="0.35">
      <c r="A110">
        <v>3</v>
      </c>
      <c r="B110">
        <v>9.7742649999999998</v>
      </c>
      <c r="C110">
        <v>1859.2701420000001</v>
      </c>
      <c r="D110">
        <v>1836.0458980000001</v>
      </c>
      <c r="E110">
        <v>1824.4849850000001</v>
      </c>
      <c r="F110">
        <v>1818.4487300000001</v>
      </c>
      <c r="G110">
        <v>1813.8447269999999</v>
      </c>
      <c r="H110">
        <v>1809.3431399999999</v>
      </c>
      <c r="I110">
        <v>1800.135254</v>
      </c>
      <c r="J110">
        <v>1646.261841</v>
      </c>
      <c r="K110">
        <v>878.42919900000004</v>
      </c>
      <c r="L110">
        <v>204.312027</v>
      </c>
      <c r="M110">
        <v>73.560516000000007</v>
      </c>
      <c r="N110">
        <v>62.511093000000002</v>
      </c>
      <c r="O110">
        <v>51.666285999999999</v>
      </c>
      <c r="P110">
        <v>38.979911999999999</v>
      </c>
      <c r="Q110">
        <v>25.577369999999998</v>
      </c>
      <c r="R110">
        <v>17.597231000000001</v>
      </c>
      <c r="S110">
        <v>13.811780000000001</v>
      </c>
      <c r="T110">
        <v>12.686375999999999</v>
      </c>
      <c r="U110">
        <v>10.947113999999999</v>
      </c>
      <c r="V110">
        <v>8.4916870000000007</v>
      </c>
      <c r="W110">
        <v>6.5478069999999997</v>
      </c>
      <c r="X110">
        <v>5.2177829999999998</v>
      </c>
      <c r="Y110">
        <v>4.0923790000000002</v>
      </c>
      <c r="Z110">
        <v>3.580832</v>
      </c>
      <c r="AA110">
        <v>3.2739029999999998</v>
      </c>
      <c r="AB110">
        <v>2.4554269999999998</v>
      </c>
      <c r="AC110">
        <v>1.636952</v>
      </c>
      <c r="AD110">
        <v>0.30692799999999998</v>
      </c>
      <c r="AE110">
        <v>0</v>
      </c>
      <c r="AF110">
        <v>0</v>
      </c>
    </row>
    <row r="111" spans="1:32" x14ac:dyDescent="0.35">
      <c r="A111">
        <v>4</v>
      </c>
      <c r="B111">
        <v>9.8321760000000005</v>
      </c>
      <c r="C111">
        <v>1825.231689</v>
      </c>
      <c r="D111">
        <v>1801.9407960000001</v>
      </c>
      <c r="E111">
        <v>1790.142822</v>
      </c>
      <c r="F111">
        <v>1784.345581</v>
      </c>
      <c r="G111">
        <v>1779.7687989999999</v>
      </c>
      <c r="H111">
        <v>1776.412476</v>
      </c>
      <c r="I111">
        <v>1759.122314</v>
      </c>
      <c r="J111">
        <v>1572.2867429999999</v>
      </c>
      <c r="K111">
        <v>850.26953100000003</v>
      </c>
      <c r="L111">
        <v>207.27862500000001</v>
      </c>
      <c r="M111">
        <v>74.144317999999998</v>
      </c>
      <c r="N111">
        <v>63.159973000000001</v>
      </c>
      <c r="O111">
        <v>54.006354999999999</v>
      </c>
      <c r="P111">
        <v>39.970806000000003</v>
      </c>
      <c r="Q111">
        <v>28.477927999999999</v>
      </c>
      <c r="R111">
        <v>19.934549000000001</v>
      </c>
      <c r="S111">
        <v>15.967980000000001</v>
      </c>
      <c r="T111">
        <v>14.645790999999999</v>
      </c>
      <c r="U111">
        <v>13.018481</v>
      </c>
      <c r="V111">
        <v>11.492877999999999</v>
      </c>
      <c r="W111">
        <v>9.6621539999999992</v>
      </c>
      <c r="X111">
        <v>8.1365510000000008</v>
      </c>
      <c r="Y111">
        <v>7.5263090000000004</v>
      </c>
      <c r="Z111">
        <v>6.7126539999999997</v>
      </c>
      <c r="AA111">
        <v>5.7972919999999997</v>
      </c>
      <c r="AB111">
        <v>5.2887579999999996</v>
      </c>
      <c r="AC111">
        <v>4.6785170000000003</v>
      </c>
      <c r="AD111">
        <v>1.3221890000000001</v>
      </c>
      <c r="AE111">
        <v>0.50853400000000004</v>
      </c>
      <c r="AF111">
        <v>0.20341400000000001</v>
      </c>
    </row>
    <row r="112" spans="1:32" x14ac:dyDescent="0.35">
      <c r="A112">
        <v>5</v>
      </c>
      <c r="B112">
        <v>9.1000800000000002</v>
      </c>
      <c r="C112">
        <v>1559.5467530000001</v>
      </c>
      <c r="D112">
        <v>1530.645996</v>
      </c>
      <c r="E112">
        <v>1513.8328859999999</v>
      </c>
      <c r="F112">
        <v>1505.9208980000001</v>
      </c>
      <c r="G112">
        <v>1501.7451169999999</v>
      </c>
      <c r="H112">
        <v>1496.8000489999999</v>
      </c>
      <c r="I112">
        <v>1488.009033</v>
      </c>
      <c r="J112">
        <v>1395.8120120000001</v>
      </c>
      <c r="K112">
        <v>911.31073000000004</v>
      </c>
      <c r="L112">
        <v>279.22833300000002</v>
      </c>
      <c r="M112">
        <v>136.04276999999999</v>
      </c>
      <c r="N112">
        <v>121.97695899999999</v>
      </c>
      <c r="O112">
        <v>112.41660299999999</v>
      </c>
      <c r="P112">
        <v>102.08702099999999</v>
      </c>
      <c r="Q112">
        <v>91.647552000000005</v>
      </c>
      <c r="R112">
        <v>82.306976000000006</v>
      </c>
      <c r="S112">
        <v>76.592735000000005</v>
      </c>
      <c r="T112">
        <v>74.394951000000006</v>
      </c>
      <c r="U112">
        <v>70.768615999999994</v>
      </c>
      <c r="V112">
        <v>67.471939000000006</v>
      </c>
      <c r="W112">
        <v>64.175262000000004</v>
      </c>
      <c r="X112">
        <v>62.856594000000001</v>
      </c>
      <c r="Y112">
        <v>60.658810000000003</v>
      </c>
      <c r="Z112">
        <v>58.790694999999999</v>
      </c>
      <c r="AA112">
        <v>55.494019000000002</v>
      </c>
      <c r="AB112">
        <v>53.516013999999998</v>
      </c>
      <c r="AC112">
        <v>51.86768</v>
      </c>
      <c r="AD112">
        <v>35.164527999999997</v>
      </c>
      <c r="AE112">
        <v>22.747053000000001</v>
      </c>
      <c r="AF112">
        <v>13.955921999999999</v>
      </c>
    </row>
    <row r="113" spans="1:32" x14ac:dyDescent="0.35">
      <c r="A113">
        <v>1</v>
      </c>
      <c r="B113">
        <v>9.3977529999999998</v>
      </c>
      <c r="C113">
        <v>1852.6770019999999</v>
      </c>
      <c r="D113">
        <v>1829.905518</v>
      </c>
      <c r="E113">
        <v>1818.413452</v>
      </c>
      <c r="F113">
        <v>1811.9224850000001</v>
      </c>
      <c r="G113">
        <v>1805.8572999999999</v>
      </c>
      <c r="H113">
        <v>1802.5585940000001</v>
      </c>
      <c r="I113">
        <v>1796.3869629999999</v>
      </c>
      <c r="J113">
        <v>1669.7608640000001</v>
      </c>
      <c r="K113">
        <v>920.21997099999999</v>
      </c>
      <c r="L113">
        <v>213.24246199999999</v>
      </c>
      <c r="M113">
        <v>66.611671000000001</v>
      </c>
      <c r="N113">
        <v>56.290053999999998</v>
      </c>
      <c r="O113">
        <v>48.415829000000002</v>
      </c>
      <c r="P113">
        <v>37.349353999999998</v>
      </c>
      <c r="Q113">
        <v>25.644428000000001</v>
      </c>
      <c r="R113">
        <v>17.450980999999999</v>
      </c>
      <c r="S113">
        <v>15.003587</v>
      </c>
      <c r="T113">
        <v>12.875419000000001</v>
      </c>
      <c r="U113">
        <v>11.066476</v>
      </c>
      <c r="V113">
        <v>9.1511239999999994</v>
      </c>
      <c r="W113">
        <v>7.5549970000000002</v>
      </c>
      <c r="X113">
        <v>6.3845049999999999</v>
      </c>
      <c r="Y113">
        <v>5.7460550000000001</v>
      </c>
      <c r="Z113">
        <v>4.6819709999999999</v>
      </c>
      <c r="AA113">
        <v>3.6178859999999999</v>
      </c>
      <c r="AB113">
        <v>3.0858439999999998</v>
      </c>
      <c r="AC113">
        <v>2.7666189999999999</v>
      </c>
      <c r="AD113">
        <v>0.31922499999999998</v>
      </c>
      <c r="AE113">
        <v>0.106408</v>
      </c>
      <c r="AF113">
        <v>0.106408</v>
      </c>
    </row>
    <row r="114" spans="1:32" x14ac:dyDescent="0.35">
      <c r="A114">
        <v>2</v>
      </c>
      <c r="B114">
        <v>9.8388399999999994</v>
      </c>
      <c r="C114">
        <v>1816.169312</v>
      </c>
      <c r="D114">
        <v>1793.4023440000001</v>
      </c>
      <c r="E114">
        <v>1782.4255370000001</v>
      </c>
      <c r="F114">
        <v>1773.3797609999999</v>
      </c>
      <c r="G114">
        <v>1771.0419919999999</v>
      </c>
      <c r="H114">
        <v>1767.7895510000001</v>
      </c>
      <c r="I114">
        <v>1760.8781739999999</v>
      </c>
      <c r="J114">
        <v>1644.4011230000001</v>
      </c>
      <c r="K114">
        <v>902.03716999999995</v>
      </c>
      <c r="L114">
        <v>203.98745700000001</v>
      </c>
      <c r="M114">
        <v>70.638405000000006</v>
      </c>
      <c r="N114">
        <v>58.645122999999998</v>
      </c>
      <c r="O114">
        <v>49.904254999999999</v>
      </c>
      <c r="P114">
        <v>39.333903999999997</v>
      </c>
      <c r="Q114">
        <v>28.865190999999999</v>
      </c>
      <c r="R114">
        <v>20.022684000000002</v>
      </c>
      <c r="S114">
        <v>16.871905999999999</v>
      </c>
      <c r="T114">
        <v>14.839147000000001</v>
      </c>
      <c r="U114">
        <v>12.501473000000001</v>
      </c>
      <c r="V114">
        <v>10.468712999999999</v>
      </c>
      <c r="W114">
        <v>8.8425049999999992</v>
      </c>
      <c r="X114">
        <v>6.8097450000000004</v>
      </c>
      <c r="Y114">
        <v>5.3868140000000002</v>
      </c>
      <c r="Z114">
        <v>4.4720719999999998</v>
      </c>
      <c r="AA114">
        <v>3.862244</v>
      </c>
      <c r="AB114">
        <v>3.04914</v>
      </c>
      <c r="AC114">
        <v>2.6425879999999999</v>
      </c>
      <c r="AD114">
        <v>0.20327600000000001</v>
      </c>
      <c r="AE114">
        <v>0</v>
      </c>
      <c r="AF114">
        <v>0</v>
      </c>
    </row>
    <row r="115" spans="1:32" x14ac:dyDescent="0.35">
      <c r="A115">
        <v>3</v>
      </c>
      <c r="B115">
        <v>9.7722610000000003</v>
      </c>
      <c r="C115">
        <v>1907.951538</v>
      </c>
      <c r="D115">
        <v>1883.1876219999999</v>
      </c>
      <c r="E115">
        <v>1872.1358640000001</v>
      </c>
      <c r="F115">
        <v>1864.8704829999999</v>
      </c>
      <c r="G115">
        <v>1858.6282960000001</v>
      </c>
      <c r="H115">
        <v>1854.944336</v>
      </c>
      <c r="I115">
        <v>1845.7346190000001</v>
      </c>
      <c r="J115">
        <v>1686.099121</v>
      </c>
      <c r="K115">
        <v>886.07952899999998</v>
      </c>
      <c r="L115">
        <v>202.30732699999999</v>
      </c>
      <c r="M115">
        <v>69.584716999999998</v>
      </c>
      <c r="N115">
        <v>59.249339999999997</v>
      </c>
      <c r="O115">
        <v>50.960571000000002</v>
      </c>
      <c r="P115">
        <v>38.169266</v>
      </c>
      <c r="Q115">
        <v>26.503592000000001</v>
      </c>
      <c r="R115">
        <v>18.624146</v>
      </c>
      <c r="S115">
        <v>15.656561999999999</v>
      </c>
      <c r="T115">
        <v>14.121605000000001</v>
      </c>
      <c r="U115">
        <v>12.381987000000001</v>
      </c>
      <c r="V115">
        <v>10.540037999999999</v>
      </c>
      <c r="W115">
        <v>8.5957589999999993</v>
      </c>
      <c r="X115">
        <v>6.7538109999999998</v>
      </c>
      <c r="Y115">
        <v>5.3211839999999997</v>
      </c>
      <c r="Z115">
        <v>4.5025409999999999</v>
      </c>
      <c r="AA115">
        <v>3.7862269999999998</v>
      </c>
      <c r="AB115">
        <v>2.967584</v>
      </c>
      <c r="AC115">
        <v>2.3536009999999998</v>
      </c>
      <c r="AD115">
        <v>0.20466100000000001</v>
      </c>
      <c r="AE115">
        <v>0</v>
      </c>
      <c r="AF115">
        <v>0</v>
      </c>
    </row>
    <row r="116" spans="1:32" x14ac:dyDescent="0.35">
      <c r="A116">
        <v>4</v>
      </c>
      <c r="B116">
        <v>9.8395860000000006</v>
      </c>
      <c r="C116">
        <v>1826.3979489999999</v>
      </c>
      <c r="D116">
        <v>1804.4458010000001</v>
      </c>
      <c r="E116">
        <v>1792.351807</v>
      </c>
      <c r="F116">
        <v>1784.7294919999999</v>
      </c>
      <c r="G116">
        <v>1780.359375</v>
      </c>
      <c r="H116">
        <v>1776.9039310000001</v>
      </c>
      <c r="I116">
        <v>1771.1110839999999</v>
      </c>
      <c r="J116">
        <v>1650.5775149999999</v>
      </c>
      <c r="K116">
        <v>918.02642800000001</v>
      </c>
      <c r="L116">
        <v>211.18774400000001</v>
      </c>
      <c r="M116">
        <v>68.600448999999998</v>
      </c>
      <c r="N116">
        <v>57.827632999999999</v>
      </c>
      <c r="O116">
        <v>48.579276999999998</v>
      </c>
      <c r="P116">
        <v>37.501575000000003</v>
      </c>
      <c r="Q116">
        <v>24.899422000000001</v>
      </c>
      <c r="R116">
        <v>16.667368</v>
      </c>
      <c r="S116">
        <v>12.602156000000001</v>
      </c>
      <c r="T116">
        <v>10.976070999999999</v>
      </c>
      <c r="U116">
        <v>9.7565080000000002</v>
      </c>
      <c r="V116">
        <v>8.3336839999999999</v>
      </c>
      <c r="W116">
        <v>6.605969</v>
      </c>
      <c r="X116">
        <v>5.3864049999999999</v>
      </c>
      <c r="Y116">
        <v>4.3701020000000002</v>
      </c>
      <c r="Z116">
        <v>3.3538000000000001</v>
      </c>
      <c r="AA116">
        <v>2.5407570000000002</v>
      </c>
      <c r="AB116">
        <v>2.0326059999999999</v>
      </c>
      <c r="AC116">
        <v>1.4228240000000001</v>
      </c>
      <c r="AD116">
        <v>0.203261</v>
      </c>
      <c r="AE116">
        <v>0.10163</v>
      </c>
      <c r="AF116">
        <v>0.10163</v>
      </c>
    </row>
    <row r="117" spans="1:32" x14ac:dyDescent="0.35">
      <c r="A117">
        <v>5</v>
      </c>
      <c r="B117">
        <v>9.8540539999999996</v>
      </c>
      <c r="C117">
        <v>1571.3328859999999</v>
      </c>
      <c r="D117">
        <v>1553.4722899999999</v>
      </c>
      <c r="E117">
        <v>1542.6137699999999</v>
      </c>
      <c r="F117">
        <v>1535.9160159999999</v>
      </c>
      <c r="G117">
        <v>1532.871582</v>
      </c>
      <c r="H117">
        <v>1530.7404790000001</v>
      </c>
      <c r="I117">
        <v>1524.347168</v>
      </c>
      <c r="J117">
        <v>1441.9445800000001</v>
      </c>
      <c r="K117">
        <v>872.73718299999996</v>
      </c>
      <c r="L117">
        <v>199.61326600000001</v>
      </c>
      <c r="M117">
        <v>62.207897000000003</v>
      </c>
      <c r="N117">
        <v>51.653866000000001</v>
      </c>
      <c r="O117">
        <v>43.230938000000002</v>
      </c>
      <c r="P117">
        <v>33.184311000000001</v>
      </c>
      <c r="Q117">
        <v>23.137684</v>
      </c>
      <c r="R117">
        <v>15.729566</v>
      </c>
      <c r="S117">
        <v>13.192539</v>
      </c>
      <c r="T117">
        <v>11.873284999999999</v>
      </c>
      <c r="U117">
        <v>10.554031</v>
      </c>
      <c r="V117">
        <v>8.1184849999999997</v>
      </c>
      <c r="W117">
        <v>6.7992319999999999</v>
      </c>
      <c r="X117">
        <v>5.3784970000000003</v>
      </c>
      <c r="Y117">
        <v>4.3636860000000004</v>
      </c>
      <c r="Z117">
        <v>3.4503560000000002</v>
      </c>
      <c r="AA117">
        <v>3.044432</v>
      </c>
      <c r="AB117">
        <v>2.6385079999999999</v>
      </c>
      <c r="AC117">
        <v>1.826659</v>
      </c>
      <c r="AD117">
        <v>0.30444300000000002</v>
      </c>
      <c r="AE117">
        <v>0</v>
      </c>
      <c r="AF117">
        <v>0</v>
      </c>
    </row>
  </sheetData>
  <mergeCells count="1">
    <mergeCell ref="A2:E2"/>
  </mergeCells>
  <conditionalFormatting sqref="H9:H40">
    <cfRule type="cellIs" dxfId="23" priority="1" operator="greaterThan">
      <formula>1000</formula>
    </cfRule>
  </conditionalFormatting>
  <conditionalFormatting sqref="K9:K40">
    <cfRule type="cellIs" dxfId="2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71267-7238-4534-B0D3-AD4468118CE5}">
  <sheetPr codeName="Sheet23"/>
  <dimension ref="A1:AW82"/>
  <sheetViews>
    <sheetView topLeftCell="A13" zoomScale="70" zoomScaleNormal="70" workbookViewId="0">
      <selection activeCell="B55" sqref="B55"/>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182</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15">
        <f>G52</f>
        <v>9.3964200000000009</v>
      </c>
      <c r="C8" s="15">
        <f t="shared" ref="C8:F8" si="0">H52</f>
        <v>9.8391719999999996</v>
      </c>
      <c r="D8" s="15">
        <f t="shared" si="0"/>
        <v>9.7717980000000004</v>
      </c>
      <c r="E8" s="15">
        <f t="shared" si="0"/>
        <v>9.8409580000000005</v>
      </c>
      <c r="F8" s="15">
        <f t="shared" si="0"/>
        <v>9.8377719999999993</v>
      </c>
      <c r="G8" s="78">
        <f>AVERAGE(B$8:F$8)*5</f>
        <v>48.686120000000003</v>
      </c>
      <c r="I8" s="79"/>
      <c r="K8" s="79"/>
    </row>
    <row r="9" spans="1:49" ht="13.15" x14ac:dyDescent="0.4">
      <c r="A9" s="68" t="s">
        <v>140</v>
      </c>
      <c r="B9" s="15">
        <f t="shared" ref="B9:F24" si="1">G53</f>
        <v>1826.3339840000001</v>
      </c>
      <c r="C9" s="15">
        <f t="shared" si="1"/>
        <v>1807.367432</v>
      </c>
      <c r="D9" s="15">
        <f t="shared" si="1"/>
        <v>1885.8350829999999</v>
      </c>
      <c r="E9" s="15">
        <f t="shared" si="1"/>
        <v>1797.4876710000001</v>
      </c>
      <c r="F9" s="15">
        <f t="shared" si="1"/>
        <v>1750.1929929999999</v>
      </c>
      <c r="G9" s="80">
        <f t="shared" ref="G9:G38" si="2">AVERAGE(B9:F9)</f>
        <v>1813.4434325999998</v>
      </c>
      <c r="H9" s="81">
        <f t="shared" ref="H9:H38" si="3">G9*G$8</f>
        <v>88289.52457277551</v>
      </c>
      <c r="I9" s="79">
        <f t="shared" ref="I9:I38" si="4">STDEVP(B9:F9)/AVERAGE(B9:F9)</f>
        <v>2.4286832239745679E-2</v>
      </c>
      <c r="J9" s="79">
        <f t="shared" ref="J9:J38" si="5">IF(H9&gt;$A$43, $C$43, IF(H9&gt;$A$44, $C$44, IF(H9&gt;$A$45,$C$45,IF(H9&gt;$A$46,$C$46, IF(H9&gt;$A$47,$C$47,IF(H9&gt;$A$48,$C$48,$C$49))))))/100</f>
        <v>0.11</v>
      </c>
      <c r="K9" s="79">
        <f t="shared" ref="K9:K38" si="6">(MAX(B9:F9)-MIN(B9:F9))/G9</f>
        <v>7.4798081683488227E-2</v>
      </c>
      <c r="L9">
        <f t="shared" ref="L9:L38" si="7">COUNTA(B9:F9)</f>
        <v>5</v>
      </c>
      <c r="P9" s="42"/>
    </row>
    <row r="10" spans="1:49" ht="13.15" x14ac:dyDescent="0.4">
      <c r="A10" s="68" t="s">
        <v>141</v>
      </c>
      <c r="B10" s="15">
        <f t="shared" si="1"/>
        <v>1803.772217</v>
      </c>
      <c r="C10" s="15">
        <f t="shared" si="1"/>
        <v>1784.8045649999999</v>
      </c>
      <c r="D10" s="15">
        <f t="shared" si="1"/>
        <v>1861.274658</v>
      </c>
      <c r="E10" s="15">
        <f t="shared" si="1"/>
        <v>1776.6563719999999</v>
      </c>
      <c r="F10" s="15">
        <f t="shared" si="1"/>
        <v>1730.0664059999999</v>
      </c>
      <c r="G10" s="80">
        <f t="shared" si="2"/>
        <v>1791.3148435999999</v>
      </c>
      <c r="H10" s="81">
        <f t="shared" si="3"/>
        <v>87212.169433290837</v>
      </c>
      <c r="I10" s="79">
        <f t="shared" si="4"/>
        <v>2.3760945820133283E-2</v>
      </c>
      <c r="J10" s="79">
        <f t="shared" si="5"/>
        <v>0.11</v>
      </c>
      <c r="K10" s="79">
        <f t="shared" si="6"/>
        <v>7.3246895970733611E-2</v>
      </c>
      <c r="L10">
        <f t="shared" si="7"/>
        <v>5</v>
      </c>
      <c r="P10" s="42"/>
    </row>
    <row r="11" spans="1:49" ht="13.15" x14ac:dyDescent="0.4">
      <c r="A11" s="68" t="s">
        <v>142</v>
      </c>
      <c r="B11" s="15">
        <f t="shared" si="1"/>
        <v>1792.278442</v>
      </c>
      <c r="C11" s="15">
        <f t="shared" si="1"/>
        <v>1771.8969729999999</v>
      </c>
      <c r="D11" s="15"/>
      <c r="E11" s="15">
        <f t="shared" si="1"/>
        <v>1765.783447</v>
      </c>
      <c r="F11" s="15">
        <f t="shared" si="1"/>
        <v>1720.511475</v>
      </c>
      <c r="G11" s="80">
        <f t="shared" si="2"/>
        <v>1762.6175842499999</v>
      </c>
      <c r="H11" s="81">
        <f t="shared" si="3"/>
        <v>85815.01122090561</v>
      </c>
      <c r="I11" s="79">
        <f t="shared" si="4"/>
        <v>1.4872538750485463E-2</v>
      </c>
      <c r="J11" s="79">
        <f t="shared" si="5"/>
        <v>0.11</v>
      </c>
      <c r="K11" s="79">
        <f t="shared" si="6"/>
        <v>4.0716130169855945E-2</v>
      </c>
      <c r="L11">
        <f t="shared" si="7"/>
        <v>4</v>
      </c>
      <c r="P11" s="42"/>
    </row>
    <row r="12" spans="1:49" ht="13.15" x14ac:dyDescent="0.4">
      <c r="A12" s="68" t="s">
        <v>143</v>
      </c>
      <c r="B12" s="15">
        <f t="shared" si="1"/>
        <v>1785.8930660000001</v>
      </c>
      <c r="C12" s="15">
        <f t="shared" si="1"/>
        <v>1764.7825929999999</v>
      </c>
      <c r="D12" s="15">
        <f t="shared" si="1"/>
        <v>1840.1936040000001</v>
      </c>
      <c r="E12" s="15">
        <f t="shared" si="1"/>
        <v>1759.4832759999999</v>
      </c>
      <c r="F12" s="15">
        <f t="shared" si="1"/>
        <v>1716.1405030000001</v>
      </c>
      <c r="G12" s="80">
        <f t="shared" si="2"/>
        <v>1773.2986083999999</v>
      </c>
      <c r="H12" s="81">
        <f t="shared" si="3"/>
        <v>86335.028844395405</v>
      </c>
      <c r="I12" s="79">
        <f t="shared" si="4"/>
        <v>2.2786861321393671E-2</v>
      </c>
      <c r="J12" s="79">
        <f t="shared" si="5"/>
        <v>0.11</v>
      </c>
      <c r="K12" s="79">
        <f t="shared" si="6"/>
        <v>6.9956126064932622E-2</v>
      </c>
      <c r="L12">
        <f t="shared" si="7"/>
        <v>5</v>
      </c>
      <c r="P12" s="42"/>
    </row>
    <row r="13" spans="1:49" ht="13.15" x14ac:dyDescent="0.4">
      <c r="A13" s="68" t="s">
        <v>144</v>
      </c>
      <c r="B13" s="15">
        <f t="shared" si="1"/>
        <v>1781.3167719999999</v>
      </c>
      <c r="C13" s="15">
        <f t="shared" si="1"/>
        <v>1760.107422</v>
      </c>
      <c r="D13" s="15">
        <f t="shared" si="1"/>
        <v>1837.1235349999999</v>
      </c>
      <c r="E13" s="15">
        <f t="shared" si="1"/>
        <v>1755.1137699999999</v>
      </c>
      <c r="F13" s="15">
        <f t="shared" si="1"/>
        <v>1712.3795170000001</v>
      </c>
      <c r="G13" s="80">
        <f t="shared" si="2"/>
        <v>1769.2082031999998</v>
      </c>
      <c r="H13" s="81">
        <f t="shared" si="3"/>
        <v>86135.882885979576</v>
      </c>
      <c r="I13" s="79">
        <f t="shared" si="4"/>
        <v>2.2987465020118687E-2</v>
      </c>
      <c r="J13" s="79">
        <f t="shared" si="5"/>
        <v>0.11</v>
      </c>
      <c r="K13" s="79">
        <f t="shared" si="6"/>
        <v>7.0508387749035437E-2</v>
      </c>
      <c r="L13">
        <f t="shared" si="7"/>
        <v>5</v>
      </c>
      <c r="P13" s="42"/>
    </row>
    <row r="14" spans="1:49" ht="13.15" x14ac:dyDescent="0.4">
      <c r="A14" s="68" t="s">
        <v>145</v>
      </c>
      <c r="B14" s="15">
        <f t="shared" si="1"/>
        <v>1777.6983640000001</v>
      </c>
      <c r="C14" s="15">
        <f t="shared" si="1"/>
        <v>1756.753418</v>
      </c>
      <c r="D14" s="15">
        <f t="shared" si="1"/>
        <v>1833.030029</v>
      </c>
      <c r="E14" s="15">
        <f t="shared" si="1"/>
        <v>1752.674927</v>
      </c>
      <c r="F14" s="15">
        <f t="shared" si="1"/>
        <v>1709.1267089999999</v>
      </c>
      <c r="G14" s="80">
        <f t="shared" si="2"/>
        <v>1765.8566894000001</v>
      </c>
      <c r="H14" s="81">
        <f t="shared" si="3"/>
        <v>85972.710682931138</v>
      </c>
      <c r="I14" s="79">
        <f t="shared" si="4"/>
        <v>2.2831550779618834E-2</v>
      </c>
      <c r="J14" s="79">
        <f t="shared" si="5"/>
        <v>0.11</v>
      </c>
      <c r="K14" s="79">
        <f t="shared" si="6"/>
        <v>7.0166124320145018E-2</v>
      </c>
      <c r="L14">
        <f t="shared" si="7"/>
        <v>5</v>
      </c>
      <c r="P14" s="42"/>
    </row>
    <row r="15" spans="1:49" ht="13.15" x14ac:dyDescent="0.4">
      <c r="A15" s="68" t="s">
        <v>146</v>
      </c>
      <c r="B15" s="15">
        <f t="shared" si="1"/>
        <v>1769.929443</v>
      </c>
      <c r="C15" s="15">
        <f t="shared" si="1"/>
        <v>1749.8422849999999</v>
      </c>
      <c r="D15" s="15">
        <f t="shared" si="1"/>
        <v>1823.205933</v>
      </c>
      <c r="E15" s="15">
        <f t="shared" si="1"/>
        <v>1746.273193</v>
      </c>
      <c r="F15" s="15">
        <f t="shared" si="1"/>
        <v>1700.791504</v>
      </c>
      <c r="G15" s="80">
        <f t="shared" si="2"/>
        <v>1758.0084716000001</v>
      </c>
      <c r="H15" s="81">
        <f t="shared" si="3"/>
        <v>85590.611409334204</v>
      </c>
      <c r="I15" s="79">
        <f t="shared" si="4"/>
        <v>2.2568831859014354E-2</v>
      </c>
      <c r="J15" s="79">
        <f t="shared" si="5"/>
        <v>0.11</v>
      </c>
      <c r="K15" s="79">
        <f t="shared" si="6"/>
        <v>6.9632445450383981E-2</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15">
        <f t="shared" si="1"/>
        <v>1620.5108640000001</v>
      </c>
      <c r="C16" s="15">
        <f t="shared" si="1"/>
        <v>1619.0385739999999</v>
      </c>
      <c r="D16" s="15">
        <f t="shared" si="1"/>
        <v>1655.273682</v>
      </c>
      <c r="E16" s="15">
        <f t="shared" si="1"/>
        <v>1625.2482910000001</v>
      </c>
      <c r="F16" s="15">
        <f t="shared" si="1"/>
        <v>1551.1641850000001</v>
      </c>
      <c r="G16" s="80">
        <f t="shared" si="2"/>
        <v>1614.2471192</v>
      </c>
      <c r="H16" s="81">
        <f t="shared" si="3"/>
        <v>78591.428955025505</v>
      </c>
      <c r="I16" s="79">
        <f t="shared" si="4"/>
        <v>2.1182096940718188E-2</v>
      </c>
      <c r="J16" s="79">
        <f t="shared" si="5"/>
        <v>0.11</v>
      </c>
      <c r="K16" s="79">
        <f t="shared" si="6"/>
        <v>6.4494150716895959E-2</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15">
        <f t="shared" si="1"/>
        <v>860.540527</v>
      </c>
      <c r="C17" s="15">
        <f t="shared" si="1"/>
        <v>883.509277</v>
      </c>
      <c r="D17" s="15">
        <f t="shared" si="1"/>
        <v>879.77667199999996</v>
      </c>
      <c r="E17" s="15">
        <f t="shared" si="1"/>
        <v>894.72997999999995</v>
      </c>
      <c r="F17" s="15">
        <f t="shared" si="1"/>
        <v>854.563354</v>
      </c>
      <c r="G17" s="80">
        <f t="shared" si="2"/>
        <v>874.62396200000001</v>
      </c>
      <c r="H17" s="81">
        <f t="shared" si="3"/>
        <v>42582.047168807439</v>
      </c>
      <c r="I17" s="79">
        <f t="shared" si="4"/>
        <v>1.7039516822023398E-2</v>
      </c>
      <c r="J17" s="79">
        <f t="shared" si="5"/>
        <v>0.11</v>
      </c>
      <c r="K17" s="79">
        <f t="shared" si="6"/>
        <v>4.5924451816013644E-2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15">
        <f t="shared" si="1"/>
        <v>204.86526499999999</v>
      </c>
      <c r="C18" s="15">
        <f t="shared" si="1"/>
        <v>205.403458</v>
      </c>
      <c r="D18" s="15">
        <f t="shared" si="1"/>
        <v>205.79631000000001</v>
      </c>
      <c r="E18" s="15">
        <f t="shared" si="1"/>
        <v>207.09367399999999</v>
      </c>
      <c r="F18" s="15">
        <f t="shared" si="1"/>
        <v>193.641403</v>
      </c>
      <c r="G18" s="80">
        <f t="shared" si="2"/>
        <v>203.36002200000001</v>
      </c>
      <c r="H18" s="81">
        <f t="shared" si="3"/>
        <v>9900.8104342946408</v>
      </c>
      <c r="I18" s="79">
        <f t="shared" si="4"/>
        <v>2.4167205309953477E-2</v>
      </c>
      <c r="J18" s="79">
        <f t="shared" si="5"/>
        <v>0.113</v>
      </c>
      <c r="K18" s="79">
        <f t="shared" si="6"/>
        <v>6.615002726543763E-2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15">
        <f t="shared" si="1"/>
        <v>73.964340000000007</v>
      </c>
      <c r="C19" s="15">
        <f t="shared" si="1"/>
        <v>69.416404999999997</v>
      </c>
      <c r="D19" s="15">
        <f t="shared" si="1"/>
        <v>76.342140000000001</v>
      </c>
      <c r="E19" s="15">
        <f t="shared" si="1"/>
        <v>70.724823000000001</v>
      </c>
      <c r="F19" s="15">
        <f t="shared" si="1"/>
        <v>66.580116000000004</v>
      </c>
      <c r="G19" s="80">
        <f t="shared" si="2"/>
        <v>71.405564800000008</v>
      </c>
      <c r="H19" s="81">
        <f t="shared" si="3"/>
        <v>3476.4598965205764</v>
      </c>
      <c r="I19" s="79">
        <f t="shared" si="4"/>
        <v>4.7952813940606874E-2</v>
      </c>
      <c r="J19" s="79">
        <f t="shared" si="5"/>
        <v>0.11900000000000001</v>
      </c>
      <c r="K19" s="79">
        <f t="shared" si="6"/>
        <v>0.13671237007007045</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15">
        <f t="shared" si="1"/>
        <v>61.299945999999998</v>
      </c>
      <c r="C20" s="15">
        <f t="shared" si="1"/>
        <v>58.643143000000002</v>
      </c>
      <c r="D20" s="15">
        <f t="shared" si="1"/>
        <v>64.471244999999996</v>
      </c>
      <c r="E20" s="15">
        <f t="shared" si="1"/>
        <v>60.156745999999998</v>
      </c>
      <c r="F20" s="15">
        <f t="shared" si="1"/>
        <v>55.093772999999999</v>
      </c>
      <c r="G20" s="80">
        <f t="shared" si="2"/>
        <v>59.932970599999997</v>
      </c>
      <c r="H20" s="81">
        <f t="shared" si="3"/>
        <v>2917.9037985880718</v>
      </c>
      <c r="I20" s="79">
        <f t="shared" si="4"/>
        <v>5.147957711056917E-2</v>
      </c>
      <c r="J20" s="79">
        <f t="shared" si="5"/>
        <v>0.11900000000000001</v>
      </c>
      <c r="K20" s="79">
        <f t="shared" si="6"/>
        <v>0.15646599703169056</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15">
        <f t="shared" si="1"/>
        <v>51.402557000000002</v>
      </c>
      <c r="C21" s="15">
        <f t="shared" si="1"/>
        <v>48.784592000000004</v>
      </c>
      <c r="D21" s="15">
        <f t="shared" si="1"/>
        <v>54.135379999999998</v>
      </c>
      <c r="E21" s="15">
        <f t="shared" si="1"/>
        <v>50.198368000000002</v>
      </c>
      <c r="F21" s="15">
        <f t="shared" si="1"/>
        <v>46.453606000000001</v>
      </c>
      <c r="G21" s="80">
        <f t="shared" si="2"/>
        <v>50.194900599999997</v>
      </c>
      <c r="H21" s="81">
        <f t="shared" si="3"/>
        <v>2443.7949539996721</v>
      </c>
      <c r="I21" s="79">
        <f t="shared" si="4"/>
        <v>5.1159768273032938E-2</v>
      </c>
      <c r="J21" s="79">
        <f t="shared" si="5"/>
        <v>0.11900000000000001</v>
      </c>
      <c r="K21" s="79">
        <f t="shared" si="6"/>
        <v>0.15303893240501801</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15">
        <f t="shared" si="1"/>
        <v>40.653782</v>
      </c>
      <c r="C22" s="15">
        <f t="shared" si="1"/>
        <v>38.011325999999997</v>
      </c>
      <c r="D22" s="15">
        <f t="shared" si="1"/>
        <v>40.831791000000003</v>
      </c>
      <c r="E22" s="15">
        <f t="shared" si="1"/>
        <v>38.410896000000001</v>
      </c>
      <c r="F22" s="15">
        <f t="shared" si="1"/>
        <v>36.288704000000003</v>
      </c>
      <c r="G22" s="80">
        <f t="shared" si="2"/>
        <v>38.839299800000006</v>
      </c>
      <c r="H22" s="81">
        <f t="shared" si="3"/>
        <v>1890.9348107787764</v>
      </c>
      <c r="I22" s="79">
        <f t="shared" si="4"/>
        <v>4.4052371129433762E-2</v>
      </c>
      <c r="J22" s="79">
        <f t="shared" si="5"/>
        <v>0.13400000000000001</v>
      </c>
      <c r="K22" s="79">
        <f t="shared" si="6"/>
        <v>0.11697139298067365</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15">
        <f t="shared" si="1"/>
        <v>28.734348000000001</v>
      </c>
      <c r="C23" s="15">
        <f t="shared" si="1"/>
        <v>27.542967000000001</v>
      </c>
      <c r="D23" s="15">
        <f t="shared" si="1"/>
        <v>26.914186000000001</v>
      </c>
      <c r="E23" s="15">
        <f t="shared" si="1"/>
        <v>28.046050999999999</v>
      </c>
      <c r="F23" s="15">
        <f t="shared" si="1"/>
        <v>25.107309000000001</v>
      </c>
      <c r="G23" s="80">
        <f t="shared" si="2"/>
        <v>27.268972199999997</v>
      </c>
      <c r="H23" s="81">
        <f t="shared" si="3"/>
        <v>1327.6204528058638</v>
      </c>
      <c r="I23" s="79">
        <f t="shared" si="4"/>
        <v>4.5285966742767435E-2</v>
      </c>
      <c r="J23" s="79">
        <f t="shared" si="5"/>
        <v>0.13400000000000001</v>
      </c>
      <c r="K23" s="79">
        <f t="shared" si="6"/>
        <v>0.1330097435795545</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15">
        <f t="shared" si="1"/>
        <v>20.859009</v>
      </c>
      <c r="C24" s="15">
        <f t="shared" si="1"/>
        <v>19.310568</v>
      </c>
      <c r="D24" s="15">
        <f t="shared" si="1"/>
        <v>19.239038000000001</v>
      </c>
      <c r="E24" s="15">
        <f t="shared" si="1"/>
        <v>20.526457000000001</v>
      </c>
      <c r="F24" s="15">
        <f t="shared" si="1"/>
        <v>16.772089000000001</v>
      </c>
      <c r="G24" s="80">
        <f t="shared" si="2"/>
        <v>19.341432200000003</v>
      </c>
      <c r="H24" s="81">
        <f t="shared" si="3"/>
        <v>941.65928906106421</v>
      </c>
      <c r="I24" s="79">
        <f t="shared" si="4"/>
        <v>7.4280053637643492E-2</v>
      </c>
      <c r="J24" s="79">
        <f t="shared" si="5"/>
        <v>0.156</v>
      </c>
      <c r="K24" s="79">
        <f t="shared" si="6"/>
        <v>0.21130389713332595</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15">
        <f t="shared" ref="B25:F38" si="8">G69</f>
        <v>18.091996999999999</v>
      </c>
      <c r="C25" s="15">
        <f t="shared" si="8"/>
        <v>16.159894999999999</v>
      </c>
      <c r="D25" s="15">
        <f t="shared" si="8"/>
        <v>15.554967</v>
      </c>
      <c r="E25" s="15">
        <f t="shared" si="8"/>
        <v>16.156963000000001</v>
      </c>
      <c r="F25" s="15">
        <f t="shared" si="8"/>
        <v>13.62097</v>
      </c>
      <c r="G25" s="80">
        <f t="shared" si="2"/>
        <v>15.916958399999999</v>
      </c>
      <c r="H25" s="81">
        <f t="shared" si="3"/>
        <v>774.93494669740801</v>
      </c>
      <c r="I25" s="79">
        <f t="shared" si="4"/>
        <v>8.9953308629623474E-2</v>
      </c>
      <c r="J25" s="79">
        <f t="shared" si="5"/>
        <v>0.156</v>
      </c>
      <c r="K25" s="79">
        <f t="shared" si="6"/>
        <v>0.28089707139022241</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15">
        <f t="shared" si="8"/>
        <v>15.537832999999999</v>
      </c>
      <c r="C26" s="15">
        <f t="shared" si="8"/>
        <v>13.822301</v>
      </c>
      <c r="D26" s="15">
        <f t="shared" si="8"/>
        <v>14.019938</v>
      </c>
      <c r="E26" s="15">
        <f t="shared" si="8"/>
        <v>14.937571</v>
      </c>
      <c r="F26" s="15">
        <f t="shared" si="8"/>
        <v>12.197884</v>
      </c>
      <c r="G26" s="80">
        <f t="shared" si="2"/>
        <v>14.103105399999999</v>
      </c>
      <c r="H26" s="81">
        <f t="shared" si="3"/>
        <v>686.62548187704795</v>
      </c>
      <c r="I26" s="79">
        <f t="shared" si="4"/>
        <v>8.0661489042966522E-2</v>
      </c>
      <c r="J26" s="79">
        <f t="shared" si="5"/>
        <v>0.156</v>
      </c>
      <c r="K26" s="79">
        <f t="shared" si="6"/>
        <v>0.23682365729181881</v>
      </c>
      <c r="L26">
        <f t="shared" si="7"/>
        <v>5</v>
      </c>
      <c r="P26" s="42"/>
    </row>
    <row r="27" spans="1:49" ht="13.15" x14ac:dyDescent="0.4">
      <c r="A27" s="68" t="s">
        <v>158</v>
      </c>
      <c r="B27" s="15">
        <f t="shared" si="8"/>
        <v>13.090093</v>
      </c>
      <c r="C27" s="15">
        <f t="shared" si="8"/>
        <v>11.687975</v>
      </c>
      <c r="D27" s="15">
        <f t="shared" si="8"/>
        <v>11.768560000000001</v>
      </c>
      <c r="E27" s="15">
        <f t="shared" si="8"/>
        <v>12.498784000000001</v>
      </c>
      <c r="F27" s="15">
        <f t="shared" si="8"/>
        <v>10.368200999999999</v>
      </c>
      <c r="G27" s="80">
        <f t="shared" si="2"/>
        <v>11.882722599999999</v>
      </c>
      <c r="H27" s="81">
        <f t="shared" si="3"/>
        <v>578.52365843031203</v>
      </c>
      <c r="I27" s="79">
        <f t="shared" si="4"/>
        <v>7.6964701616251463E-2</v>
      </c>
      <c r="J27" s="79">
        <f t="shared" si="5"/>
        <v>0.156</v>
      </c>
      <c r="K27" s="79">
        <f t="shared" si="6"/>
        <v>0.22906299268485833</v>
      </c>
      <c r="L27">
        <f t="shared" si="7"/>
        <v>5</v>
      </c>
      <c r="P27" s="42"/>
    </row>
    <row r="28" spans="1:49" ht="13.15" x14ac:dyDescent="0.4">
      <c r="A28" s="68" t="s">
        <v>159</v>
      </c>
      <c r="B28" s="15">
        <f t="shared" si="8"/>
        <v>10.855199000000001</v>
      </c>
      <c r="C28" s="15">
        <f t="shared" si="8"/>
        <v>9.4520149999999994</v>
      </c>
      <c r="D28" s="15">
        <f t="shared" si="8"/>
        <v>9.9265249999999998</v>
      </c>
      <c r="E28" s="15">
        <f t="shared" si="8"/>
        <v>10.466461000000001</v>
      </c>
      <c r="F28" s="15">
        <f t="shared" si="8"/>
        <v>8.7418169999999993</v>
      </c>
      <c r="G28" s="80">
        <f t="shared" si="2"/>
        <v>9.8884033999999996</v>
      </c>
      <c r="H28" s="81">
        <f t="shared" si="3"/>
        <v>481.42799454080802</v>
      </c>
      <c r="I28" s="79">
        <f t="shared" si="4"/>
        <v>7.534441237864975E-2</v>
      </c>
      <c r="J28" s="79">
        <f t="shared" si="5"/>
        <v>0.193</v>
      </c>
      <c r="K28" s="79">
        <f t="shared" si="6"/>
        <v>0.21372327912916675</v>
      </c>
      <c r="L28">
        <f t="shared" si="7"/>
        <v>5</v>
      </c>
      <c r="P28" s="42"/>
    </row>
    <row r="29" spans="1:49" ht="13.15" x14ac:dyDescent="0.4">
      <c r="A29" s="68" t="s">
        <v>160</v>
      </c>
      <c r="B29" s="15">
        <f t="shared" si="8"/>
        <v>8.1946110000000001</v>
      </c>
      <c r="C29" s="15">
        <f t="shared" si="8"/>
        <v>8.2324000000000002</v>
      </c>
      <c r="D29" s="15">
        <f t="shared" si="8"/>
        <v>8.4938310000000001</v>
      </c>
      <c r="E29" s="15">
        <f t="shared" si="8"/>
        <v>9.0438360000000007</v>
      </c>
      <c r="F29" s="15">
        <f t="shared" si="8"/>
        <v>7.7253259999999999</v>
      </c>
      <c r="G29" s="80">
        <f t="shared" si="2"/>
        <v>8.3380007999999997</v>
      </c>
      <c r="H29" s="81">
        <f t="shared" si="3"/>
        <v>405.94490750889599</v>
      </c>
      <c r="I29" s="79">
        <f t="shared" si="4"/>
        <v>5.1712301984775423E-2</v>
      </c>
      <c r="J29" s="79">
        <f t="shared" si="5"/>
        <v>0.193</v>
      </c>
      <c r="K29" s="79">
        <f t="shared" si="6"/>
        <v>0.15813263054616172</v>
      </c>
      <c r="L29">
        <f t="shared" si="7"/>
        <v>5</v>
      </c>
      <c r="P29" s="42"/>
    </row>
    <row r="30" spans="1:49" ht="13.15" x14ac:dyDescent="0.4">
      <c r="A30" s="68" t="s">
        <v>161</v>
      </c>
      <c r="B30" s="15">
        <f t="shared" si="8"/>
        <v>6.2789869999999999</v>
      </c>
      <c r="C30" s="15">
        <f t="shared" si="8"/>
        <v>7.012785</v>
      </c>
      <c r="D30" s="15">
        <f t="shared" si="8"/>
        <v>7.2658069999999997</v>
      </c>
      <c r="E30" s="15">
        <f t="shared" si="8"/>
        <v>7.8244420000000003</v>
      </c>
      <c r="F30" s="15">
        <f t="shared" si="8"/>
        <v>6.6071869999999997</v>
      </c>
      <c r="G30" s="80">
        <f t="shared" si="2"/>
        <v>6.997841600000001</v>
      </c>
      <c r="H30" s="81">
        <f t="shared" si="3"/>
        <v>340.69775587859209</v>
      </c>
      <c r="I30" s="79">
        <f t="shared" si="4"/>
        <v>7.6279264266371702E-2</v>
      </c>
      <c r="J30" s="79">
        <f t="shared" si="5"/>
        <v>0.193</v>
      </c>
      <c r="K30" s="79">
        <f t="shared" si="6"/>
        <v>0.22084738242717586</v>
      </c>
      <c r="L30">
        <f t="shared" si="7"/>
        <v>5</v>
      </c>
      <c r="P30" s="42"/>
    </row>
    <row r="31" spans="1:49" ht="13.15" x14ac:dyDescent="0.4">
      <c r="A31" s="68" t="s">
        <v>162</v>
      </c>
      <c r="B31" s="15">
        <f t="shared" si="8"/>
        <v>5.4275989999999998</v>
      </c>
      <c r="C31" s="15">
        <f t="shared" si="8"/>
        <v>6.1997080000000002</v>
      </c>
      <c r="D31" s="15">
        <f t="shared" si="8"/>
        <v>5.9354480000000001</v>
      </c>
      <c r="E31" s="15">
        <f t="shared" si="8"/>
        <v>6.8082799999999999</v>
      </c>
      <c r="F31" s="15">
        <f t="shared" si="8"/>
        <v>4.9808029999999999</v>
      </c>
      <c r="G31" s="80">
        <f t="shared" si="2"/>
        <v>5.8703675999999998</v>
      </c>
      <c r="H31" s="81">
        <f t="shared" si="3"/>
        <v>285.80542141771201</v>
      </c>
      <c r="I31" s="79">
        <f t="shared" si="4"/>
        <v>0.10719013418837793</v>
      </c>
      <c r="J31" s="79">
        <f t="shared" si="5"/>
        <v>0.193</v>
      </c>
      <c r="K31" s="79">
        <f t="shared" si="6"/>
        <v>0.31130537719648088</v>
      </c>
      <c r="L31">
        <f t="shared" si="7"/>
        <v>5</v>
      </c>
      <c r="P31" s="42"/>
    </row>
    <row r="32" spans="1:49" ht="13.15" x14ac:dyDescent="0.4">
      <c r="A32" s="68" t="s">
        <v>163</v>
      </c>
      <c r="B32" s="15">
        <f t="shared" si="8"/>
        <v>4.3633639999999998</v>
      </c>
      <c r="C32" s="15">
        <f t="shared" si="8"/>
        <v>4.8784590000000003</v>
      </c>
      <c r="D32" s="15">
        <f t="shared" si="8"/>
        <v>5.2191010000000002</v>
      </c>
      <c r="E32" s="15">
        <f t="shared" si="8"/>
        <v>5.5888869999999997</v>
      </c>
      <c r="F32" s="15">
        <f t="shared" si="8"/>
        <v>3.862663</v>
      </c>
      <c r="G32" s="80">
        <f t="shared" si="2"/>
        <v>4.7824948000000003</v>
      </c>
      <c r="H32" s="81">
        <f t="shared" si="3"/>
        <v>232.84111573217604</v>
      </c>
      <c r="I32" s="79">
        <f t="shared" si="4"/>
        <v>0.12793742242249534</v>
      </c>
      <c r="J32" s="79">
        <f t="shared" si="5"/>
        <v>0.193</v>
      </c>
      <c r="K32" s="79">
        <f t="shared" si="6"/>
        <v>0.36094634122759522</v>
      </c>
      <c r="L32">
        <f t="shared" si="7"/>
        <v>5</v>
      </c>
      <c r="P32" s="42"/>
    </row>
    <row r="33" spans="1:16" ht="13.15" x14ac:dyDescent="0.4">
      <c r="A33" s="68" t="s">
        <v>164</v>
      </c>
      <c r="B33" s="15">
        <f t="shared" si="8"/>
        <v>3.6183999999999998</v>
      </c>
      <c r="C33" s="15">
        <f t="shared" si="8"/>
        <v>3.9637479999999998</v>
      </c>
      <c r="D33" s="15">
        <f t="shared" si="8"/>
        <v>4.6050890000000004</v>
      </c>
      <c r="E33" s="15">
        <f t="shared" si="8"/>
        <v>4.97919</v>
      </c>
      <c r="F33" s="15">
        <f t="shared" si="8"/>
        <v>2.8461729999999998</v>
      </c>
      <c r="G33" s="80">
        <f t="shared" si="2"/>
        <v>4.0025199999999996</v>
      </c>
      <c r="H33" s="81">
        <f t="shared" si="3"/>
        <v>194.86716902239999</v>
      </c>
      <c r="I33" s="79">
        <f t="shared" si="4"/>
        <v>0.18707067061507318</v>
      </c>
      <c r="J33" s="79">
        <f t="shared" si="5"/>
        <v>0.27500000000000002</v>
      </c>
      <c r="K33" s="79">
        <f t="shared" si="6"/>
        <v>0.53291851133785728</v>
      </c>
      <c r="L33">
        <f t="shared" si="7"/>
        <v>5</v>
      </c>
      <c r="P33" s="42"/>
    </row>
    <row r="34" spans="1:16" ht="13.15" x14ac:dyDescent="0.4">
      <c r="A34" s="68" t="s">
        <v>165</v>
      </c>
      <c r="B34" s="15">
        <f t="shared" si="8"/>
        <v>2.9798580000000001</v>
      </c>
      <c r="C34" s="15">
        <f t="shared" si="8"/>
        <v>3.150671</v>
      </c>
      <c r="D34" s="15">
        <f t="shared" si="8"/>
        <v>3.5817359999999998</v>
      </c>
      <c r="E34" s="15">
        <f t="shared" si="8"/>
        <v>4.2678770000000004</v>
      </c>
      <c r="F34" s="15">
        <f t="shared" si="8"/>
        <v>2.1346289999999999</v>
      </c>
      <c r="G34" s="80">
        <f t="shared" si="2"/>
        <v>3.2229542000000002</v>
      </c>
      <c r="H34" s="81">
        <f t="shared" si="3"/>
        <v>156.91313493570402</v>
      </c>
      <c r="I34" s="79">
        <f t="shared" si="4"/>
        <v>0.21804850013926527</v>
      </c>
      <c r="J34" s="79">
        <f t="shared" si="5"/>
        <v>0.27500000000000002</v>
      </c>
      <c r="K34" s="79">
        <f t="shared" si="6"/>
        <v>0.66189212369198436</v>
      </c>
      <c r="L34">
        <f t="shared" si="7"/>
        <v>5</v>
      </c>
      <c r="P34" s="42"/>
    </row>
    <row r="35" spans="1:16" ht="13.15" x14ac:dyDescent="0.4">
      <c r="A35" s="68" t="s">
        <v>166</v>
      </c>
      <c r="B35" s="15">
        <f t="shared" si="8"/>
        <v>2.3413170000000001</v>
      </c>
      <c r="C35" s="15">
        <f t="shared" si="8"/>
        <v>2.6424989999999999</v>
      </c>
      <c r="D35" s="15">
        <f t="shared" si="8"/>
        <v>2.967724</v>
      </c>
      <c r="E35" s="15">
        <f t="shared" si="8"/>
        <v>3.4549479999999999</v>
      </c>
      <c r="F35" s="15">
        <f t="shared" si="8"/>
        <v>1.6263840000000001</v>
      </c>
      <c r="G35" s="80">
        <f t="shared" si="2"/>
        <v>2.6065744</v>
      </c>
      <c r="H35" s="81">
        <f t="shared" si="3"/>
        <v>126.90399402732801</v>
      </c>
      <c r="I35" s="79">
        <f t="shared" si="4"/>
        <v>0.23540895873762216</v>
      </c>
      <c r="J35" s="79">
        <f t="shared" si="5"/>
        <v>0.27500000000000002</v>
      </c>
      <c r="K35" s="79">
        <f t="shared" si="6"/>
        <v>0.70151997196013272</v>
      </c>
      <c r="L35">
        <f t="shared" si="7"/>
        <v>5</v>
      </c>
      <c r="P35" s="42"/>
    </row>
    <row r="36" spans="1:16" ht="13.15" x14ac:dyDescent="0.4">
      <c r="A36" s="68" t="s">
        <v>167</v>
      </c>
      <c r="B36" s="15">
        <f t="shared" si="8"/>
        <v>0.31927100000000003</v>
      </c>
      <c r="C36" s="15">
        <f t="shared" si="8"/>
        <v>0.20326900000000001</v>
      </c>
      <c r="D36" s="15">
        <f t="shared" si="8"/>
        <v>0.307006</v>
      </c>
      <c r="E36" s="15">
        <f t="shared" si="8"/>
        <v>0.30484800000000001</v>
      </c>
      <c r="F36" s="15">
        <f t="shared" si="8"/>
        <v>0</v>
      </c>
      <c r="G36" s="80">
        <f t="shared" si="2"/>
        <v>0.22687879999999999</v>
      </c>
      <c r="H36" s="81">
        <f t="shared" si="3"/>
        <v>11.045848482256</v>
      </c>
      <c r="I36" s="79">
        <f t="shared" si="4"/>
        <v>0.53282255130992473</v>
      </c>
      <c r="J36" s="79">
        <f t="shared" si="5"/>
        <v>0.27500000000000002</v>
      </c>
      <c r="K36" s="79">
        <f t="shared" si="6"/>
        <v>1.4072315262598358</v>
      </c>
      <c r="L36">
        <f t="shared" si="7"/>
        <v>5</v>
      </c>
      <c r="P36" s="42"/>
    </row>
    <row r="37" spans="1:16" ht="13.15" x14ac:dyDescent="0.4">
      <c r="A37" s="68" t="s">
        <v>168</v>
      </c>
      <c r="B37" s="15">
        <f t="shared" si="8"/>
        <v>0.21284700000000001</v>
      </c>
      <c r="C37" s="15">
        <f t="shared" si="8"/>
        <v>0</v>
      </c>
      <c r="D37" s="15">
        <f t="shared" si="8"/>
        <v>0.102335</v>
      </c>
      <c r="E37" s="15">
        <f t="shared" si="8"/>
        <v>0.101616</v>
      </c>
      <c r="F37" s="15">
        <f t="shared" si="8"/>
        <v>0</v>
      </c>
      <c r="G37" s="80">
        <f t="shared" si="2"/>
        <v>8.3359600000000006E-2</v>
      </c>
      <c r="H37" s="81">
        <f t="shared" si="3"/>
        <v>4.0584554887520001</v>
      </c>
      <c r="I37" s="79">
        <f t="shared" si="4"/>
        <v>0.95002167912415036</v>
      </c>
      <c r="J37" s="79">
        <f t="shared" si="5"/>
        <v>0.27500000000000002</v>
      </c>
      <c r="K37" s="79">
        <f t="shared" si="6"/>
        <v>2.5533591811860901</v>
      </c>
      <c r="L37">
        <f t="shared" si="7"/>
        <v>5</v>
      </c>
    </row>
    <row r="38" spans="1:16" ht="13.15" x14ac:dyDescent="0.4">
      <c r="A38" s="68" t="s">
        <v>169</v>
      </c>
      <c r="B38" s="15">
        <f t="shared" si="8"/>
        <v>0.106424</v>
      </c>
      <c r="C38" s="15">
        <f t="shared" si="8"/>
        <v>0</v>
      </c>
      <c r="D38" s="15">
        <f t="shared" si="8"/>
        <v>0</v>
      </c>
      <c r="E38" s="15">
        <f t="shared" si="8"/>
        <v>0.101616</v>
      </c>
      <c r="F38" s="15">
        <f t="shared" si="8"/>
        <v>0</v>
      </c>
      <c r="G38" s="80">
        <f t="shared" si="2"/>
        <v>4.1607999999999999E-2</v>
      </c>
      <c r="H38" s="81">
        <f t="shared" si="3"/>
        <v>2.0257320809600001</v>
      </c>
      <c r="I38" s="79">
        <f t="shared" si="4"/>
        <v>1.2252898795357612</v>
      </c>
      <c r="J38" s="79">
        <f t="shared" si="5"/>
        <v>0.27500000000000002</v>
      </c>
      <c r="K38" s="79">
        <f t="shared" si="6"/>
        <v>2.5577773505095176</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21" priority="1" operator="greaterThan">
      <formula>1000</formula>
    </cfRule>
  </conditionalFormatting>
  <conditionalFormatting sqref="K9:K40">
    <cfRule type="cellIs" dxfId="2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6AAB2-010F-45F3-8C02-2C66344AA9B6}">
  <sheetPr codeName="Sheet24"/>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183</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L52</f>
        <v>9.4034879999999994</v>
      </c>
      <c r="C8" s="46">
        <f t="shared" ref="C8:F8" si="0">M52</f>
        <v>9.8474179999999993</v>
      </c>
      <c r="D8" s="46">
        <f t="shared" si="0"/>
        <v>9.7709329999999994</v>
      </c>
      <c r="E8" s="46">
        <f t="shared" si="0"/>
        <v>9.8387840000000004</v>
      </c>
      <c r="F8" s="46">
        <f t="shared" si="0"/>
        <v>9.8422610000000006</v>
      </c>
      <c r="G8" s="78">
        <f>AVERAGE(B$8:F$8)*5</f>
        <v>48.702884000000005</v>
      </c>
      <c r="I8" s="79"/>
      <c r="K8" s="79"/>
    </row>
    <row r="9" spans="1:49" ht="13.15" x14ac:dyDescent="0.4">
      <c r="A9" s="68" t="s">
        <v>140</v>
      </c>
      <c r="B9" s="46">
        <f t="shared" ref="B9:F24" si="1">L53</f>
        <v>1868.0302730000001</v>
      </c>
      <c r="C9" s="46">
        <f t="shared" si="1"/>
        <v>1786.965942</v>
      </c>
      <c r="D9" s="46">
        <f t="shared" si="1"/>
        <v>1832.9876710000001</v>
      </c>
      <c r="E9" s="46">
        <f t="shared" si="1"/>
        <v>1774.2030030000001</v>
      </c>
      <c r="F9" s="46">
        <f t="shared" si="1"/>
        <v>1677.1552730000001</v>
      </c>
      <c r="G9" s="80">
        <f t="shared" ref="G9:G38" si="2">AVERAGE(B9:F9)</f>
        <v>1787.8684324000001</v>
      </c>
      <c r="H9" s="81">
        <f t="shared" ref="H9:H38" si="3">G9*G$8</f>
        <v>87074.348870439047</v>
      </c>
      <c r="I9" s="79">
        <f t="shared" ref="I9:I38" si="4">STDEVP(B9:F9)/AVERAGE(B9:F9)</f>
        <v>3.6167745872454811E-2</v>
      </c>
      <c r="J9" s="79">
        <f t="shared" ref="J9:J38" si="5">IF(H9&gt;$A$43, $C$43, IF(H9&gt;$A$44, $C$44, IF(H9&gt;$A$45,$C$45,IF(H9&gt;$A$46,$C$46, IF(H9&gt;$A$47,$C$47,IF(H9&gt;$A$48,$C$48,$C$49))))))/100</f>
        <v>0.11</v>
      </c>
      <c r="K9" s="79">
        <f t="shared" ref="K9:K38" si="6">(MAX(B9:F9)-MIN(B9:F9))/G9</f>
        <v>0.10676121158634312</v>
      </c>
      <c r="L9">
        <f t="shared" ref="L9:L38" si="7">COUNTA(B9:F9)</f>
        <v>5</v>
      </c>
      <c r="P9" s="42"/>
    </row>
    <row r="10" spans="1:49" ht="13.15" x14ac:dyDescent="0.4">
      <c r="A10" s="68" t="s">
        <v>141</v>
      </c>
      <c r="B10" s="46">
        <f t="shared" si="1"/>
        <v>1845.4853519999999</v>
      </c>
      <c r="C10" s="46">
        <f t="shared" si="1"/>
        <v>1766.757568</v>
      </c>
      <c r="D10" s="46">
        <f t="shared" si="1"/>
        <v>1810.0625</v>
      </c>
      <c r="E10" s="46">
        <f t="shared" si="1"/>
        <v>1753.2653809999999</v>
      </c>
      <c r="F10" s="46">
        <f t="shared" si="1"/>
        <v>1657.3426509999999</v>
      </c>
      <c r="G10" s="80">
        <f t="shared" si="2"/>
        <v>1766.5826904</v>
      </c>
      <c r="H10" s="81">
        <f t="shared" si="3"/>
        <v>86037.671846959129</v>
      </c>
      <c r="I10" s="79">
        <f t="shared" si="4"/>
        <v>3.6003572648371916E-2</v>
      </c>
      <c r="J10" s="79">
        <f t="shared" si="5"/>
        <v>0.11</v>
      </c>
      <c r="K10" s="79">
        <f t="shared" si="6"/>
        <v>0.10650093087768205</v>
      </c>
      <c r="L10">
        <f t="shared" si="7"/>
        <v>5</v>
      </c>
      <c r="P10" s="42"/>
    </row>
    <row r="11" spans="1:49" ht="13.15" x14ac:dyDescent="0.4">
      <c r="A11" s="68" t="s">
        <v>142</v>
      </c>
      <c r="B11" s="46">
        <f t="shared" si="1"/>
        <v>1834.0002440000001</v>
      </c>
      <c r="C11" s="46">
        <f t="shared" si="1"/>
        <v>1754.0638429999999</v>
      </c>
      <c r="D11" s="46">
        <f t="shared" si="1"/>
        <v>1797.6788329999999</v>
      </c>
      <c r="E11" s="46">
        <f t="shared" si="1"/>
        <v>1740.7639160000001</v>
      </c>
      <c r="F11" s="46"/>
      <c r="G11" s="80">
        <f t="shared" si="2"/>
        <v>1781.6267089999999</v>
      </c>
      <c r="H11" s="81">
        <f t="shared" si="3"/>
        <v>86770.358939728758</v>
      </c>
      <c r="I11" s="79">
        <f t="shared" si="4"/>
        <v>2.0680388564760205E-2</v>
      </c>
      <c r="J11" s="79">
        <f t="shared" si="5"/>
        <v>0.11</v>
      </c>
      <c r="K11" s="79">
        <f t="shared" si="6"/>
        <v>5.2332134183334114E-2</v>
      </c>
      <c r="L11">
        <f t="shared" si="7"/>
        <v>4</v>
      </c>
      <c r="P11" s="42"/>
    </row>
    <row r="12" spans="1:49" ht="13.15" x14ac:dyDescent="0.4">
      <c r="A12" s="68" t="s">
        <v>143</v>
      </c>
      <c r="B12" s="46">
        <f t="shared" si="1"/>
        <v>1827.194336</v>
      </c>
      <c r="C12" s="46">
        <f t="shared" si="1"/>
        <v>1747.0570070000001</v>
      </c>
      <c r="D12" s="46">
        <f t="shared" si="1"/>
        <v>1789.5936280000001</v>
      </c>
      <c r="E12" s="46">
        <f t="shared" si="1"/>
        <v>1733.3442379999999</v>
      </c>
      <c r="F12" s="46">
        <f t="shared" si="1"/>
        <v>1639.5622559999999</v>
      </c>
      <c r="G12" s="80">
        <f t="shared" si="2"/>
        <v>1747.350293</v>
      </c>
      <c r="H12" s="81">
        <f t="shared" si="3"/>
        <v>85100.998627345019</v>
      </c>
      <c r="I12" s="79">
        <f t="shared" si="4"/>
        <v>3.6171664167136609E-2</v>
      </c>
      <c r="J12" s="79">
        <f t="shared" si="5"/>
        <v>0.11</v>
      </c>
      <c r="K12" s="79">
        <f t="shared" si="6"/>
        <v>0.10738091884132593</v>
      </c>
      <c r="L12">
        <f t="shared" si="7"/>
        <v>5</v>
      </c>
      <c r="P12" s="42"/>
    </row>
    <row r="13" spans="1:49" ht="13.15" x14ac:dyDescent="0.4">
      <c r="A13" s="68" t="s">
        <v>144</v>
      </c>
      <c r="B13" s="46">
        <f t="shared" si="1"/>
        <v>1822.30249</v>
      </c>
      <c r="C13" s="46">
        <f t="shared" si="1"/>
        <v>1743.299683</v>
      </c>
      <c r="D13" s="46">
        <f t="shared" si="1"/>
        <v>1785.3975829999999</v>
      </c>
      <c r="E13" s="46">
        <f t="shared" si="1"/>
        <v>1728.973755</v>
      </c>
      <c r="F13" s="46">
        <f t="shared" si="1"/>
        <v>1634.58374</v>
      </c>
      <c r="G13" s="80">
        <f t="shared" si="2"/>
        <v>1742.9114502</v>
      </c>
      <c r="H13" s="81">
        <f t="shared" si="3"/>
        <v>84884.814181362381</v>
      </c>
      <c r="I13" s="79">
        <f t="shared" si="4"/>
        <v>3.6321134070091188E-2</v>
      </c>
      <c r="J13" s="79">
        <f t="shared" si="5"/>
        <v>0.11</v>
      </c>
      <c r="K13" s="79">
        <f t="shared" si="6"/>
        <v>0.10770412345300685</v>
      </c>
      <c r="L13">
        <f t="shared" si="7"/>
        <v>5</v>
      </c>
      <c r="P13" s="42"/>
    </row>
    <row r="14" spans="1:49" ht="13.15" x14ac:dyDescent="0.4">
      <c r="A14" s="68" t="s">
        <v>145</v>
      </c>
      <c r="B14" s="46">
        <f t="shared" si="1"/>
        <v>1817.623413</v>
      </c>
      <c r="C14" s="46">
        <f t="shared" si="1"/>
        <v>1740.2531739999999</v>
      </c>
      <c r="D14" s="46">
        <f t="shared" si="1"/>
        <v>1781.099121</v>
      </c>
      <c r="E14" s="46">
        <f t="shared" si="1"/>
        <v>1725.213135</v>
      </c>
      <c r="F14" s="46">
        <f t="shared" si="1"/>
        <v>1630.7227780000001</v>
      </c>
      <c r="G14" s="80">
        <f t="shared" si="2"/>
        <v>1738.9823241999998</v>
      </c>
      <c r="H14" s="81">
        <f t="shared" si="3"/>
        <v>84693.454413562984</v>
      </c>
      <c r="I14" s="79">
        <f t="shared" si="4"/>
        <v>3.6250514767929579E-2</v>
      </c>
      <c r="J14" s="79">
        <f t="shared" si="5"/>
        <v>0.11</v>
      </c>
      <c r="K14" s="79">
        <f t="shared" si="6"/>
        <v>0.10747701825317954</v>
      </c>
      <c r="L14">
        <f t="shared" si="7"/>
        <v>5</v>
      </c>
      <c r="P14" s="42"/>
    </row>
    <row r="15" spans="1:49" ht="13.15" x14ac:dyDescent="0.4">
      <c r="A15" s="68" t="s">
        <v>146</v>
      </c>
      <c r="B15" s="46">
        <f t="shared" si="1"/>
        <v>1809.3286129999999</v>
      </c>
      <c r="C15" s="46">
        <f t="shared" si="1"/>
        <v>1733.246216</v>
      </c>
      <c r="D15" s="46">
        <f t="shared" si="1"/>
        <v>1771.9904790000001</v>
      </c>
      <c r="E15" s="46">
        <f t="shared" si="1"/>
        <v>1718.0985109999999</v>
      </c>
      <c r="F15" s="46">
        <f t="shared" si="1"/>
        <v>1623.3057859999999</v>
      </c>
      <c r="G15" s="80">
        <f t="shared" si="2"/>
        <v>1731.193921</v>
      </c>
      <c r="H15" s="81">
        <f t="shared" si="3"/>
        <v>84314.136715968169</v>
      </c>
      <c r="I15" s="79">
        <f t="shared" si="4"/>
        <v>3.6151840200485334E-2</v>
      </c>
      <c r="J15" s="79">
        <f t="shared" si="5"/>
        <v>0.11</v>
      </c>
      <c r="K15" s="79">
        <f t="shared" si="6"/>
        <v>0.10745348903059139</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si="1"/>
        <v>1661.085693</v>
      </c>
      <c r="C16" s="46">
        <f t="shared" si="1"/>
        <v>1613.2147219999999</v>
      </c>
      <c r="D16" s="46">
        <f t="shared" si="1"/>
        <v>1603.940918</v>
      </c>
      <c r="E16" s="46">
        <f t="shared" si="1"/>
        <v>1591.3551030000001</v>
      </c>
      <c r="F16" s="46">
        <f t="shared" si="1"/>
        <v>1493.6607670000001</v>
      </c>
      <c r="G16" s="80">
        <f t="shared" si="2"/>
        <v>1592.6514406000001</v>
      </c>
      <c r="H16" s="81">
        <f t="shared" si="3"/>
        <v>77566.718363974709</v>
      </c>
      <c r="I16" s="79">
        <f t="shared" si="4"/>
        <v>3.4430001770801751E-2</v>
      </c>
      <c r="J16" s="79">
        <f t="shared" si="5"/>
        <v>0.11</v>
      </c>
      <c r="K16" s="79">
        <f t="shared" si="6"/>
        <v>0.10512339469389853</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si="1"/>
        <v>897.64562999999998</v>
      </c>
      <c r="C17" s="46">
        <f t="shared" si="1"/>
        <v>909.98474099999999</v>
      </c>
      <c r="D17" s="46">
        <f t="shared" si="1"/>
        <v>836.97229000000004</v>
      </c>
      <c r="E17" s="46">
        <f t="shared" si="1"/>
        <v>861.28527799999995</v>
      </c>
      <c r="F17" s="46">
        <f t="shared" si="1"/>
        <v>845.84222399999999</v>
      </c>
      <c r="G17" s="80">
        <f t="shared" si="2"/>
        <v>870.34603260000006</v>
      </c>
      <c r="H17" s="81">
        <f t="shared" si="3"/>
        <v>42388.361865578023</v>
      </c>
      <c r="I17" s="79">
        <f t="shared" si="4"/>
        <v>3.2952906861816518E-2</v>
      </c>
      <c r="J17" s="79">
        <f t="shared" si="5"/>
        <v>0.11</v>
      </c>
      <c r="K17" s="79">
        <f t="shared" si="6"/>
        <v>8.3888991579462432E-2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si="1"/>
        <v>213.32508899999999</v>
      </c>
      <c r="C18" s="46">
        <f t="shared" si="1"/>
        <v>210.71513400000001</v>
      </c>
      <c r="D18" s="46">
        <f t="shared" si="1"/>
        <v>201.51606799999999</v>
      </c>
      <c r="E18" s="46">
        <f t="shared" si="1"/>
        <v>206.12303199999999</v>
      </c>
      <c r="F18" s="46">
        <f t="shared" si="1"/>
        <v>193.34986900000001</v>
      </c>
      <c r="G18" s="80">
        <f t="shared" si="2"/>
        <v>205.00583839999999</v>
      </c>
      <c r="H18" s="81">
        <f t="shared" si="3"/>
        <v>9984.3755669179463</v>
      </c>
      <c r="I18" s="79">
        <f t="shared" si="4"/>
        <v>3.4567433289380139E-2</v>
      </c>
      <c r="J18" s="79">
        <f t="shared" si="5"/>
        <v>0.113</v>
      </c>
      <c r="K18" s="79">
        <f t="shared" si="6"/>
        <v>9.7437322546029395E-2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si="1"/>
        <v>82.522568000000007</v>
      </c>
      <c r="C19" s="46">
        <f t="shared" si="1"/>
        <v>75.552802999999997</v>
      </c>
      <c r="D19" s="46">
        <f t="shared" si="1"/>
        <v>76.962967000000006</v>
      </c>
      <c r="E19" s="46">
        <f t="shared" si="1"/>
        <v>79.379729999999995</v>
      </c>
      <c r="F19" s="46">
        <f t="shared" si="1"/>
        <v>61.977626999999998</v>
      </c>
      <c r="G19" s="80">
        <f t="shared" si="2"/>
        <v>75.279139000000001</v>
      </c>
      <c r="H19" s="81">
        <f t="shared" si="3"/>
        <v>3666.3111743368763</v>
      </c>
      <c r="I19" s="79">
        <f t="shared" si="4"/>
        <v>9.3766311345418865E-2</v>
      </c>
      <c r="J19" s="79">
        <f t="shared" si="5"/>
        <v>0.11900000000000001</v>
      </c>
      <c r="K19" s="79">
        <f t="shared" si="6"/>
        <v>0.27291679040059169</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si="1"/>
        <v>71.569182999999995</v>
      </c>
      <c r="C20" s="46">
        <f t="shared" si="1"/>
        <v>63.366866999999999</v>
      </c>
      <c r="D20" s="46">
        <f t="shared" si="1"/>
        <v>64.067573999999993</v>
      </c>
      <c r="E20" s="46">
        <f t="shared" si="1"/>
        <v>65.963431999999997</v>
      </c>
      <c r="F20" s="46">
        <f t="shared" si="1"/>
        <v>51.715758999999998</v>
      </c>
      <c r="G20" s="80">
        <f t="shared" si="2"/>
        <v>63.336562999999998</v>
      </c>
      <c r="H20" s="81">
        <f t="shared" si="3"/>
        <v>3084.6732807476924</v>
      </c>
      <c r="I20" s="79">
        <f t="shared" si="4"/>
        <v>0.10238433661100321</v>
      </c>
      <c r="J20" s="79">
        <f t="shared" si="5"/>
        <v>0.11900000000000001</v>
      </c>
      <c r="K20" s="79">
        <f t="shared" si="6"/>
        <v>0.31345913102357637</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si="1"/>
        <v>61.785583000000003</v>
      </c>
      <c r="C21" s="46">
        <f t="shared" si="1"/>
        <v>52.704169999999998</v>
      </c>
      <c r="D21" s="46">
        <f t="shared" si="1"/>
        <v>54.856583000000001</v>
      </c>
      <c r="E21" s="46">
        <f t="shared" si="1"/>
        <v>54.986469</v>
      </c>
      <c r="F21" s="46">
        <f t="shared" si="1"/>
        <v>43.689148000000003</v>
      </c>
      <c r="G21" s="80">
        <f t="shared" si="2"/>
        <v>53.604390600000002</v>
      </c>
      <c r="H21" s="81">
        <f t="shared" si="3"/>
        <v>2610.6884172824907</v>
      </c>
      <c r="I21" s="79">
        <f t="shared" si="4"/>
        <v>0.10862782340962292</v>
      </c>
      <c r="J21" s="79">
        <f t="shared" si="5"/>
        <v>0.11900000000000001</v>
      </c>
      <c r="K21" s="79">
        <f t="shared" si="6"/>
        <v>0.33759240236563753</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si="1"/>
        <v>47.854584000000003</v>
      </c>
      <c r="C22" s="46">
        <f t="shared" si="1"/>
        <v>40.822884000000002</v>
      </c>
      <c r="D22" s="46">
        <f t="shared" si="1"/>
        <v>40.630713999999998</v>
      </c>
      <c r="E22" s="46">
        <f t="shared" si="1"/>
        <v>41.773453000000003</v>
      </c>
      <c r="F22" s="46">
        <f t="shared" si="1"/>
        <v>33.732086000000002</v>
      </c>
      <c r="G22" s="80">
        <f t="shared" si="2"/>
        <v>40.962744200000003</v>
      </c>
      <c r="H22" s="81">
        <f t="shared" si="3"/>
        <v>1995.0037790942731</v>
      </c>
      <c r="I22" s="79">
        <f t="shared" si="4"/>
        <v>0.10948472840187515</v>
      </c>
      <c r="J22" s="79">
        <f t="shared" si="5"/>
        <v>0.13400000000000001</v>
      </c>
      <c r="K22" s="79">
        <f t="shared" si="6"/>
        <v>0.34476445061998556</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si="1"/>
        <v>33.817238000000003</v>
      </c>
      <c r="C23" s="46">
        <f t="shared" si="1"/>
        <v>29.449345000000001</v>
      </c>
      <c r="D23" s="46">
        <f t="shared" si="1"/>
        <v>28.963456999999998</v>
      </c>
      <c r="E23" s="46">
        <f t="shared" si="1"/>
        <v>30.389935000000001</v>
      </c>
      <c r="F23" s="46">
        <f t="shared" si="1"/>
        <v>23.673421999999999</v>
      </c>
      <c r="G23" s="80">
        <f t="shared" si="2"/>
        <v>29.258679399999998</v>
      </c>
      <c r="H23" s="81">
        <f t="shared" si="3"/>
        <v>1424.9820688113896</v>
      </c>
      <c r="I23" s="79">
        <f t="shared" si="4"/>
        <v>0.11167210524515196</v>
      </c>
      <c r="J23" s="79">
        <f t="shared" si="5"/>
        <v>0.13400000000000001</v>
      </c>
      <c r="K23" s="79">
        <f t="shared" si="6"/>
        <v>0.34669425305641122</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si="1"/>
        <v>24.565351</v>
      </c>
      <c r="C24" s="46">
        <f t="shared" si="1"/>
        <v>20.919188999999999</v>
      </c>
      <c r="D24" s="46">
        <f t="shared" si="1"/>
        <v>20.366529</v>
      </c>
      <c r="E24" s="46">
        <f t="shared" si="1"/>
        <v>22.258848</v>
      </c>
      <c r="F24" s="46">
        <f t="shared" si="1"/>
        <v>17.069248000000002</v>
      </c>
      <c r="G24" s="80">
        <f t="shared" si="2"/>
        <v>21.035833</v>
      </c>
      <c r="H24" s="81">
        <f t="shared" si="3"/>
        <v>1024.5057344423722</v>
      </c>
      <c r="I24" s="79">
        <f t="shared" si="4"/>
        <v>0.11673177724087369</v>
      </c>
      <c r="J24" s="79">
        <f t="shared" si="5"/>
        <v>0.13400000000000001</v>
      </c>
      <c r="K24" s="79">
        <f t="shared" si="6"/>
        <v>0.35634923513606509</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F38" si="8">L69</f>
        <v>19.673549999999999</v>
      </c>
      <c r="C25" s="46">
        <f t="shared" si="8"/>
        <v>18.482002000000001</v>
      </c>
      <c r="D25" s="46">
        <f t="shared" si="8"/>
        <v>17.705576000000001</v>
      </c>
      <c r="E25" s="46">
        <f t="shared" si="8"/>
        <v>17.888390000000001</v>
      </c>
      <c r="F25" s="46">
        <f t="shared" si="8"/>
        <v>14.833989000000001</v>
      </c>
      <c r="G25" s="80">
        <f t="shared" si="2"/>
        <v>17.716701399999998</v>
      </c>
      <c r="H25" s="81">
        <f t="shared" si="3"/>
        <v>862.85445314683761</v>
      </c>
      <c r="I25" s="79">
        <f t="shared" si="4"/>
        <v>9.0149867733181274E-2</v>
      </c>
      <c r="J25" s="79">
        <f t="shared" si="5"/>
        <v>0.156</v>
      </c>
      <c r="K25" s="79">
        <f t="shared" si="6"/>
        <v>0.27316377302605543</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si="8"/>
        <v>17.227650000000001</v>
      </c>
      <c r="C26" s="46">
        <f t="shared" si="8"/>
        <v>17.060310000000001</v>
      </c>
      <c r="D26" s="46">
        <f t="shared" si="8"/>
        <v>15.965722</v>
      </c>
      <c r="E26" s="46">
        <f t="shared" si="8"/>
        <v>15.245786000000001</v>
      </c>
      <c r="F26" s="46">
        <f t="shared" si="8"/>
        <v>13.513154999999999</v>
      </c>
      <c r="G26" s="80">
        <f t="shared" si="2"/>
        <v>15.802524599999998</v>
      </c>
      <c r="H26" s="81">
        <f t="shared" si="3"/>
        <v>769.62852250094636</v>
      </c>
      <c r="I26" s="79">
        <f t="shared" si="4"/>
        <v>8.5795683631832237E-2</v>
      </c>
      <c r="J26" s="79">
        <f t="shared" si="5"/>
        <v>0.156</v>
      </c>
      <c r="K26" s="79">
        <f t="shared" si="6"/>
        <v>0.23505706170519119</v>
      </c>
      <c r="L26">
        <f t="shared" si="7"/>
        <v>5</v>
      </c>
      <c r="P26" s="42"/>
    </row>
    <row r="27" spans="1:49" ht="13.15" x14ac:dyDescent="0.4">
      <c r="A27" s="68" t="s">
        <v>158</v>
      </c>
      <c r="B27" s="46">
        <f t="shared" si="8"/>
        <v>14.781749</v>
      </c>
      <c r="C27" s="46">
        <f t="shared" si="8"/>
        <v>15.029320999999999</v>
      </c>
      <c r="D27" s="46">
        <f t="shared" si="8"/>
        <v>13.611801</v>
      </c>
      <c r="E27" s="46">
        <f t="shared" si="8"/>
        <v>14.026123</v>
      </c>
      <c r="F27" s="46">
        <f t="shared" si="8"/>
        <v>11.481101000000001</v>
      </c>
      <c r="G27" s="80">
        <f t="shared" si="2"/>
        <v>13.786019</v>
      </c>
      <c r="H27" s="81">
        <f t="shared" si="3"/>
        <v>671.41888417879602</v>
      </c>
      <c r="I27" s="79">
        <f t="shared" si="4"/>
        <v>9.1396522839320843E-2</v>
      </c>
      <c r="J27" s="79">
        <f t="shared" si="5"/>
        <v>0.156</v>
      </c>
      <c r="K27" s="79">
        <f t="shared" si="6"/>
        <v>0.25737814520638619</v>
      </c>
      <c r="L27">
        <f t="shared" si="7"/>
        <v>5</v>
      </c>
      <c r="P27" s="42"/>
    </row>
    <row r="28" spans="1:49" ht="13.15" x14ac:dyDescent="0.4">
      <c r="A28" s="68" t="s">
        <v>159</v>
      </c>
      <c r="B28" s="46">
        <f t="shared" si="8"/>
        <v>12.016817</v>
      </c>
      <c r="C28" s="46">
        <f t="shared" si="8"/>
        <v>12.084386</v>
      </c>
      <c r="D28" s="46">
        <f t="shared" si="8"/>
        <v>11.155537000000001</v>
      </c>
      <c r="E28" s="46">
        <f t="shared" si="8"/>
        <v>11.485158999999999</v>
      </c>
      <c r="F28" s="46">
        <f t="shared" si="8"/>
        <v>9.7538560000000007</v>
      </c>
      <c r="G28" s="80">
        <f t="shared" si="2"/>
        <v>11.299151</v>
      </c>
      <c r="H28" s="81">
        <f t="shared" si="3"/>
        <v>550.30124045148409</v>
      </c>
      <c r="I28" s="79">
        <f t="shared" si="4"/>
        <v>7.4833318489611875E-2</v>
      </c>
      <c r="J28" s="79">
        <f t="shared" si="5"/>
        <v>0.156</v>
      </c>
      <c r="K28" s="79">
        <f t="shared" si="6"/>
        <v>0.20625708958133221</v>
      </c>
      <c r="L28">
        <f t="shared" si="7"/>
        <v>5</v>
      </c>
      <c r="P28" s="42"/>
    </row>
    <row r="29" spans="1:49" ht="13.15" x14ac:dyDescent="0.4">
      <c r="A29" s="68" t="s">
        <v>160</v>
      </c>
      <c r="B29" s="46">
        <f t="shared" si="8"/>
        <v>10.421664</v>
      </c>
      <c r="C29" s="46">
        <f t="shared" si="8"/>
        <v>10.459595</v>
      </c>
      <c r="D29" s="46">
        <f t="shared" si="8"/>
        <v>9.8250600000000006</v>
      </c>
      <c r="E29" s="46">
        <f t="shared" si="8"/>
        <v>9.8589420000000008</v>
      </c>
      <c r="F29" s="46">
        <f t="shared" si="8"/>
        <v>7.7218030000000004</v>
      </c>
      <c r="G29" s="80">
        <f t="shared" si="2"/>
        <v>9.6574127999999995</v>
      </c>
      <c r="H29" s="81">
        <f t="shared" si="3"/>
        <v>470.3438553385152</v>
      </c>
      <c r="I29" s="79">
        <f t="shared" si="4"/>
        <v>0.10399047591167057</v>
      </c>
      <c r="J29" s="79">
        <f t="shared" si="5"/>
        <v>0.193</v>
      </c>
      <c r="K29" s="79">
        <f t="shared" si="6"/>
        <v>0.28349124726241381</v>
      </c>
      <c r="L29">
        <f t="shared" si="7"/>
        <v>5</v>
      </c>
      <c r="P29" s="42"/>
    </row>
    <row r="30" spans="1:49" ht="13.15" x14ac:dyDescent="0.4">
      <c r="A30" s="68" t="s">
        <v>161</v>
      </c>
      <c r="B30" s="46">
        <f t="shared" si="8"/>
        <v>9.1455420000000007</v>
      </c>
      <c r="C30" s="46">
        <f t="shared" si="8"/>
        <v>9.0379020000000008</v>
      </c>
      <c r="D30" s="46">
        <f t="shared" si="8"/>
        <v>8.4945830000000004</v>
      </c>
      <c r="E30" s="46">
        <f t="shared" si="8"/>
        <v>8.3343629999999997</v>
      </c>
      <c r="F30" s="46">
        <f t="shared" si="8"/>
        <v>6.6041730000000003</v>
      </c>
      <c r="G30" s="80">
        <f t="shared" si="2"/>
        <v>8.3233125999999995</v>
      </c>
      <c r="H30" s="81">
        <f t="shared" si="3"/>
        <v>405.36932805353842</v>
      </c>
      <c r="I30" s="79">
        <f t="shared" si="4"/>
        <v>0.10974125032008905</v>
      </c>
      <c r="J30" s="79">
        <f t="shared" si="5"/>
        <v>0.193</v>
      </c>
      <c r="K30" s="79">
        <f t="shared" si="6"/>
        <v>0.30533143738948365</v>
      </c>
      <c r="L30">
        <f t="shared" si="7"/>
        <v>5</v>
      </c>
      <c r="P30" s="42"/>
    </row>
    <row r="31" spans="1:49" ht="13.15" x14ac:dyDescent="0.4">
      <c r="A31" s="68" t="s">
        <v>162</v>
      </c>
      <c r="B31" s="46">
        <f t="shared" si="8"/>
        <v>7.3377030000000003</v>
      </c>
      <c r="C31" s="46">
        <f t="shared" si="8"/>
        <v>7.1084620000000003</v>
      </c>
      <c r="D31" s="46">
        <f t="shared" si="8"/>
        <v>7.3687940000000003</v>
      </c>
      <c r="E31" s="46">
        <f t="shared" si="8"/>
        <v>7.521255</v>
      </c>
      <c r="F31" s="46">
        <f t="shared" si="8"/>
        <v>5.080133</v>
      </c>
      <c r="G31" s="80">
        <f t="shared" si="2"/>
        <v>6.8832694000000005</v>
      </c>
      <c r="H31" s="81">
        <f t="shared" si="3"/>
        <v>335.23507112894964</v>
      </c>
      <c r="I31" s="79">
        <f t="shared" si="4"/>
        <v>0.13237664235539406</v>
      </c>
      <c r="J31" s="79">
        <f t="shared" si="5"/>
        <v>0.193</v>
      </c>
      <c r="K31" s="79">
        <f t="shared" si="6"/>
        <v>0.35464571530499733</v>
      </c>
      <c r="L31">
        <f t="shared" si="7"/>
        <v>5</v>
      </c>
      <c r="P31" s="42"/>
    </row>
    <row r="32" spans="1:49" ht="13.15" x14ac:dyDescent="0.4">
      <c r="A32" s="68" t="s">
        <v>163</v>
      </c>
      <c r="B32" s="46">
        <f t="shared" si="8"/>
        <v>6.2742680000000002</v>
      </c>
      <c r="C32" s="46">
        <f t="shared" si="8"/>
        <v>5.9914180000000004</v>
      </c>
      <c r="D32" s="46">
        <f t="shared" si="8"/>
        <v>6.6523839999999996</v>
      </c>
      <c r="E32" s="46">
        <f t="shared" si="8"/>
        <v>6.5048690000000002</v>
      </c>
      <c r="F32" s="46">
        <f t="shared" si="8"/>
        <v>3.962504</v>
      </c>
      <c r="G32" s="80">
        <f t="shared" si="2"/>
        <v>5.8770885999999996</v>
      </c>
      <c r="H32" s="81">
        <f t="shared" si="3"/>
        <v>286.23116434352238</v>
      </c>
      <c r="I32" s="79">
        <f t="shared" si="4"/>
        <v>0.16726320198035519</v>
      </c>
      <c r="J32" s="79">
        <f t="shared" si="5"/>
        <v>0.193</v>
      </c>
      <c r="K32" s="79">
        <f t="shared" si="6"/>
        <v>0.4576892034603664</v>
      </c>
      <c r="L32">
        <f t="shared" si="7"/>
        <v>5</v>
      </c>
      <c r="P32" s="42"/>
    </row>
    <row r="33" spans="1:16" ht="13.15" x14ac:dyDescent="0.4">
      <c r="A33" s="68" t="s">
        <v>164</v>
      </c>
      <c r="B33" s="46">
        <f t="shared" si="8"/>
        <v>5.8488939999999996</v>
      </c>
      <c r="C33" s="46">
        <f t="shared" si="8"/>
        <v>4.8743740000000004</v>
      </c>
      <c r="D33" s="46">
        <f t="shared" si="8"/>
        <v>5.9359739999999999</v>
      </c>
      <c r="E33" s="46">
        <f t="shared" si="8"/>
        <v>5.590122</v>
      </c>
      <c r="F33" s="46">
        <f t="shared" si="8"/>
        <v>3.454491</v>
      </c>
      <c r="G33" s="80">
        <f t="shared" si="2"/>
        <v>5.140771</v>
      </c>
      <c r="H33" s="81">
        <f t="shared" si="3"/>
        <v>250.37037368356403</v>
      </c>
      <c r="I33" s="79">
        <f t="shared" si="4"/>
        <v>0.17934609691544676</v>
      </c>
      <c r="J33" s="79">
        <f t="shared" si="5"/>
        <v>0.193</v>
      </c>
      <c r="K33" s="79">
        <f t="shared" si="6"/>
        <v>0.48270638781614661</v>
      </c>
      <c r="L33">
        <f t="shared" si="7"/>
        <v>5</v>
      </c>
      <c r="P33" s="42"/>
    </row>
    <row r="34" spans="1:16" ht="13.15" x14ac:dyDescent="0.4">
      <c r="A34" s="68" t="s">
        <v>165</v>
      </c>
      <c r="B34" s="46">
        <f t="shared" si="8"/>
        <v>4.9981450000000001</v>
      </c>
      <c r="C34" s="46">
        <f t="shared" si="8"/>
        <v>3.8588800000000001</v>
      </c>
      <c r="D34" s="46">
        <f t="shared" si="8"/>
        <v>5.219563</v>
      </c>
      <c r="E34" s="46">
        <f t="shared" si="8"/>
        <v>4.4720969999999998</v>
      </c>
      <c r="F34" s="46">
        <f t="shared" si="8"/>
        <v>3.0480800000000001</v>
      </c>
      <c r="G34" s="80">
        <f t="shared" si="2"/>
        <v>4.3193529999999996</v>
      </c>
      <c r="H34" s="81">
        <f t="shared" si="3"/>
        <v>210.364948114052</v>
      </c>
      <c r="I34" s="79">
        <f t="shared" si="4"/>
        <v>0.18296040133169786</v>
      </c>
      <c r="J34" s="79">
        <f t="shared" si="5"/>
        <v>0.193</v>
      </c>
      <c r="K34" s="79">
        <f t="shared" si="6"/>
        <v>0.50273339548770379</v>
      </c>
      <c r="L34">
        <f t="shared" si="7"/>
        <v>5</v>
      </c>
      <c r="P34" s="42"/>
    </row>
    <row r="35" spans="1:16" ht="13.15" x14ac:dyDescent="0.4">
      <c r="A35" s="68" t="s">
        <v>166</v>
      </c>
      <c r="B35" s="46">
        <f t="shared" si="8"/>
        <v>3.7220230000000001</v>
      </c>
      <c r="C35" s="46">
        <f t="shared" si="8"/>
        <v>3.4526819999999998</v>
      </c>
      <c r="D35" s="46">
        <f t="shared" si="8"/>
        <v>4.4008079999999996</v>
      </c>
      <c r="E35" s="46">
        <f t="shared" si="8"/>
        <v>3.7606269999999999</v>
      </c>
      <c r="F35" s="46">
        <f t="shared" si="8"/>
        <v>2.844875</v>
      </c>
      <c r="G35" s="80">
        <f t="shared" si="2"/>
        <v>3.6362029999999996</v>
      </c>
      <c r="H35" s="81">
        <f t="shared" si="3"/>
        <v>177.09357290945201</v>
      </c>
      <c r="I35" s="79">
        <f t="shared" si="4"/>
        <v>0.13845692335568721</v>
      </c>
      <c r="J35" s="79">
        <f t="shared" si="5"/>
        <v>0.27500000000000002</v>
      </c>
      <c r="K35" s="79">
        <f t="shared" si="6"/>
        <v>0.42790047750359367</v>
      </c>
      <c r="L35">
        <f t="shared" si="7"/>
        <v>5</v>
      </c>
      <c r="P35" s="42"/>
    </row>
    <row r="36" spans="1:16" ht="13.15" x14ac:dyDescent="0.4">
      <c r="A36" s="68" t="s">
        <v>167</v>
      </c>
      <c r="B36" s="46">
        <f t="shared" si="8"/>
        <v>1.276122</v>
      </c>
      <c r="C36" s="46">
        <f t="shared" si="8"/>
        <v>0.60929699999999998</v>
      </c>
      <c r="D36" s="46">
        <f t="shared" si="8"/>
        <v>0.51172200000000001</v>
      </c>
      <c r="E36" s="46">
        <f t="shared" si="8"/>
        <v>0.40655400000000003</v>
      </c>
      <c r="F36" s="46">
        <f t="shared" si="8"/>
        <v>0.40641100000000002</v>
      </c>
      <c r="G36" s="80">
        <f t="shared" si="2"/>
        <v>0.64202119999999996</v>
      </c>
      <c r="H36" s="81">
        <f t="shared" si="3"/>
        <v>31.268284029140801</v>
      </c>
      <c r="I36" s="79">
        <f t="shared" si="4"/>
        <v>0.50763260170543911</v>
      </c>
      <c r="J36" s="79">
        <f t="shared" si="5"/>
        <v>0.27500000000000002</v>
      </c>
      <c r="K36" s="79">
        <f t="shared" si="6"/>
        <v>1.3546452983172517</v>
      </c>
      <c r="L36">
        <f t="shared" si="7"/>
        <v>5</v>
      </c>
      <c r="P36" s="42"/>
    </row>
    <row r="37" spans="1:16" ht="13.15" x14ac:dyDescent="0.4">
      <c r="A37" s="68" t="s">
        <v>168</v>
      </c>
      <c r="B37" s="46">
        <f t="shared" si="8"/>
        <v>0.21268699999999999</v>
      </c>
      <c r="C37" s="46">
        <f t="shared" si="8"/>
        <v>0.30464799999999997</v>
      </c>
      <c r="D37" s="46">
        <f t="shared" si="8"/>
        <v>0.20468900000000001</v>
      </c>
      <c r="E37" s="46">
        <f t="shared" si="8"/>
        <v>0</v>
      </c>
      <c r="F37" s="46">
        <f t="shared" si="8"/>
        <v>0.101603</v>
      </c>
      <c r="G37" s="80">
        <f t="shared" si="2"/>
        <v>0.16472539999999999</v>
      </c>
      <c r="H37" s="81">
        <f t="shared" si="3"/>
        <v>8.0226020480536011</v>
      </c>
      <c r="I37" s="79">
        <f t="shared" si="4"/>
        <v>0.63435067039029724</v>
      </c>
      <c r="J37" s="79">
        <f t="shared" si="5"/>
        <v>0.27500000000000002</v>
      </c>
      <c r="K37" s="79">
        <f t="shared" si="6"/>
        <v>1.8494294140430072</v>
      </c>
      <c r="L37">
        <f t="shared" si="7"/>
        <v>5</v>
      </c>
    </row>
    <row r="38" spans="1:16" ht="13.15" x14ac:dyDescent="0.4">
      <c r="A38" s="68" t="s">
        <v>169</v>
      </c>
      <c r="B38" s="46">
        <f t="shared" si="8"/>
        <v>0.10634399999999999</v>
      </c>
      <c r="C38" s="46">
        <f t="shared" si="8"/>
        <v>0</v>
      </c>
      <c r="D38" s="46">
        <f t="shared" si="8"/>
        <v>0</v>
      </c>
      <c r="E38" s="46">
        <f t="shared" si="8"/>
        <v>0</v>
      </c>
      <c r="F38" s="46">
        <f t="shared" si="8"/>
        <v>0</v>
      </c>
      <c r="G38" s="80">
        <f t="shared" si="2"/>
        <v>2.1268799999999997E-2</v>
      </c>
      <c r="H38" s="81">
        <f t="shared" si="3"/>
        <v>1.0358518992192001</v>
      </c>
      <c r="I38" s="79">
        <f t="shared" si="4"/>
        <v>2</v>
      </c>
      <c r="J38" s="79">
        <f t="shared" si="5"/>
        <v>0.27500000000000002</v>
      </c>
      <c r="K38" s="79">
        <f t="shared" si="6"/>
        <v>5</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19" priority="1" operator="greaterThan">
      <formula>1000</formula>
    </cfRule>
  </conditionalFormatting>
  <conditionalFormatting sqref="K9:K40">
    <cfRule type="cellIs" dxfId="18"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6CFEC-A362-4B6F-AB98-0D631ADE982E}">
  <sheetPr codeName="Sheet25"/>
  <dimension ref="A1:AW82"/>
  <sheetViews>
    <sheetView zoomScale="70" zoomScaleNormal="70" workbookViewId="0">
      <selection activeCell="B53" sqref="B53"/>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352</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R52</f>
        <v>9.3969489999999993</v>
      </c>
      <c r="C8" s="46">
        <f t="shared" ref="C8:F8" si="0">S52</f>
        <v>9.8371519999999997</v>
      </c>
      <c r="D8" s="46">
        <f t="shared" si="0"/>
        <v>9.7742649999999998</v>
      </c>
      <c r="E8" s="46">
        <f>U52</f>
        <v>9.8321760000000005</v>
      </c>
      <c r="F8" s="46">
        <f t="shared" si="0"/>
        <v>9.1000800000000002</v>
      </c>
      <c r="G8" s="78">
        <f>AVERAGE(B$8:F$8)*5</f>
        <v>47.940621999999998</v>
      </c>
      <c r="I8" s="79"/>
      <c r="K8" s="79"/>
    </row>
    <row r="9" spans="1:49" ht="13.15" x14ac:dyDescent="0.4">
      <c r="A9" s="68" t="s">
        <v>140</v>
      </c>
      <c r="B9" s="46">
        <f t="shared" ref="B9:E24" si="1">R53</f>
        <v>1752.4837649999999</v>
      </c>
      <c r="C9" s="46">
        <f t="shared" si="1"/>
        <v>1785.7811280000001</v>
      </c>
      <c r="D9" s="46">
        <f t="shared" si="1"/>
        <v>1859.2701420000001</v>
      </c>
      <c r="E9" s="46">
        <f t="shared" si="1"/>
        <v>1825.231689</v>
      </c>
      <c r="F9" s="46"/>
      <c r="G9" s="80">
        <f t="shared" ref="G9:G38" si="2">AVERAGE(B9:F9)</f>
        <v>1805.691681</v>
      </c>
      <c r="H9" s="81">
        <f t="shared" ref="H9:H38" si="3">G9*G$8</f>
        <v>86565.982327365578</v>
      </c>
      <c r="I9" s="79">
        <f t="shared" ref="I9:I38" si="4">STDEVP(B9:F9)/AVERAGE(B9:F9)</f>
        <v>2.2290155617870507E-2</v>
      </c>
      <c r="J9" s="79">
        <f t="shared" ref="J9:J38" si="5">IF(H9&gt;$A$43, $C$43, IF(H9&gt;$A$44, $C$44, IF(H9&gt;$A$45,$C$45,IF(H9&gt;$A$46,$C$46, IF(H9&gt;$A$47,$C$47,IF(H9&gt;$A$48,$C$48,$C$49))))))/100</f>
        <v>0.11</v>
      </c>
      <c r="K9" s="79">
        <f t="shared" ref="K9:K38" si="6">(MAX(B9:F9)-MIN(B9:F9))/G9</f>
        <v>5.9138765562048425E-2</v>
      </c>
      <c r="L9">
        <f t="shared" ref="L9:L38" si="7">COUNTA(B9:F9)</f>
        <v>4</v>
      </c>
      <c r="P9" s="42"/>
    </row>
    <row r="10" spans="1:49" ht="13.15" x14ac:dyDescent="0.4">
      <c r="A10" s="68" t="s">
        <v>141</v>
      </c>
      <c r="B10" s="46">
        <f t="shared" si="1"/>
        <v>1731.9451899999999</v>
      </c>
      <c r="C10" s="46">
        <f t="shared" si="1"/>
        <v>1763.7219239999999</v>
      </c>
      <c r="D10" s="46">
        <f t="shared" si="1"/>
        <v>1836.0458980000001</v>
      </c>
      <c r="E10" s="46">
        <f t="shared" si="1"/>
        <v>1801.9407960000001</v>
      </c>
      <c r="F10" s="46"/>
      <c r="G10" s="80">
        <f t="shared" si="2"/>
        <v>1783.413452</v>
      </c>
      <c r="H10" s="81">
        <f t="shared" si="3"/>
        <v>85497.950172047145</v>
      </c>
      <c r="I10" s="79">
        <f t="shared" si="4"/>
        <v>2.1986783857993228E-2</v>
      </c>
      <c r="J10" s="79">
        <f t="shared" si="5"/>
        <v>0.11</v>
      </c>
      <c r="K10" s="79">
        <f t="shared" si="6"/>
        <v>5.837160636152932E-2</v>
      </c>
      <c r="L10">
        <f t="shared" si="7"/>
        <v>4</v>
      </c>
      <c r="P10" s="42"/>
    </row>
    <row r="11" spans="1:49" ht="13.15" x14ac:dyDescent="0.4">
      <c r="A11" s="68" t="s">
        <v>142</v>
      </c>
      <c r="B11" s="46">
        <f t="shared" si="1"/>
        <v>1722.899658</v>
      </c>
      <c r="C11" s="46">
        <f t="shared" si="1"/>
        <v>1753.14978</v>
      </c>
      <c r="D11" s="46">
        <f t="shared" si="1"/>
        <v>1824.4849850000001</v>
      </c>
      <c r="E11" s="46">
        <f t="shared" si="1"/>
        <v>1790.142822</v>
      </c>
      <c r="F11" s="46"/>
      <c r="G11" s="80">
        <f t="shared" si="2"/>
        <v>1772.66931125</v>
      </c>
      <c r="H11" s="81">
        <f t="shared" si="3"/>
        <v>84982.869381636585</v>
      </c>
      <c r="I11" s="79">
        <f t="shared" si="4"/>
        <v>2.1570194380064089E-2</v>
      </c>
      <c r="J11" s="79">
        <f t="shared" si="5"/>
        <v>0.11</v>
      </c>
      <c r="K11" s="79">
        <f t="shared" si="6"/>
        <v>5.7306417139002079E-2</v>
      </c>
      <c r="L11">
        <f t="shared" si="7"/>
        <v>4</v>
      </c>
      <c r="P11" s="42"/>
    </row>
    <row r="12" spans="1:49" ht="13.15" x14ac:dyDescent="0.4">
      <c r="A12" s="68" t="s">
        <v>143</v>
      </c>
      <c r="B12" s="46">
        <f t="shared" si="1"/>
        <v>1716.7274170000001</v>
      </c>
      <c r="C12" s="46">
        <f t="shared" si="1"/>
        <v>1747.4570309999999</v>
      </c>
      <c r="D12" s="46">
        <f t="shared" si="1"/>
        <v>1818.4487300000001</v>
      </c>
      <c r="E12" s="46">
        <f t="shared" si="1"/>
        <v>1784.345581</v>
      </c>
      <c r="F12" s="46"/>
      <c r="G12" s="80">
        <f t="shared" si="2"/>
        <v>1766.7446897499999</v>
      </c>
      <c r="H12" s="81">
        <f t="shared" si="3"/>
        <v>84698.83934181201</v>
      </c>
      <c r="I12" s="79">
        <f t="shared" si="4"/>
        <v>2.1658476705550718E-2</v>
      </c>
      <c r="J12" s="79">
        <f t="shared" si="5"/>
        <v>0.11</v>
      </c>
      <c r="K12" s="79">
        <f t="shared" si="6"/>
        <v>5.7575558930585441E-2</v>
      </c>
      <c r="L12">
        <f t="shared" si="7"/>
        <v>4</v>
      </c>
      <c r="P12" s="42"/>
    </row>
    <row r="13" spans="1:49" ht="13.15" x14ac:dyDescent="0.4">
      <c r="A13" s="68" t="s">
        <v>144</v>
      </c>
      <c r="B13" s="46">
        <f t="shared" si="1"/>
        <v>1712.470703</v>
      </c>
      <c r="C13" s="46">
        <f t="shared" si="1"/>
        <v>1743.594116</v>
      </c>
      <c r="D13" s="46">
        <f t="shared" si="1"/>
        <v>1813.8447269999999</v>
      </c>
      <c r="E13" s="46">
        <f t="shared" si="1"/>
        <v>1779.7687989999999</v>
      </c>
      <c r="F13" s="46"/>
      <c r="G13" s="80">
        <f t="shared" si="2"/>
        <v>1762.4195862500001</v>
      </c>
      <c r="H13" s="81">
        <f t="shared" si="3"/>
        <v>84491.491189807653</v>
      </c>
      <c r="I13" s="79">
        <f t="shared" si="4"/>
        <v>2.159638329925289E-2</v>
      </c>
      <c r="J13" s="79">
        <f t="shared" si="5"/>
        <v>0.11</v>
      </c>
      <c r="K13" s="79">
        <f t="shared" si="6"/>
        <v>5.7519801068313822E-2</v>
      </c>
      <c r="L13">
        <f t="shared" si="7"/>
        <v>4</v>
      </c>
      <c r="P13" s="42"/>
    </row>
    <row r="14" spans="1:49" ht="13.15" x14ac:dyDescent="0.4">
      <c r="A14" s="68" t="s">
        <v>145</v>
      </c>
      <c r="B14" s="46">
        <f t="shared" si="1"/>
        <v>1709.278198</v>
      </c>
      <c r="C14" s="46">
        <f t="shared" si="1"/>
        <v>1740.2395019999999</v>
      </c>
      <c r="D14" s="46">
        <f t="shared" si="1"/>
        <v>1809.3431399999999</v>
      </c>
      <c r="E14" s="46">
        <f t="shared" si="1"/>
        <v>1776.412476</v>
      </c>
      <c r="F14" s="46"/>
      <c r="G14" s="80">
        <f t="shared" si="2"/>
        <v>1758.8183289999997</v>
      </c>
      <c r="H14" s="81">
        <f t="shared" si="3"/>
        <v>84318.844677260626</v>
      </c>
      <c r="I14" s="79">
        <f t="shared" si="4"/>
        <v>2.1390589443514955E-2</v>
      </c>
      <c r="J14" s="79">
        <f t="shared" si="5"/>
        <v>0.11</v>
      </c>
      <c r="K14" s="79">
        <f t="shared" si="6"/>
        <v>5.6893279055656228E-2</v>
      </c>
      <c r="L14">
        <f t="shared" si="7"/>
        <v>4</v>
      </c>
      <c r="P14" s="42"/>
    </row>
    <row r="15" spans="1:49" ht="13.15" x14ac:dyDescent="0.4">
      <c r="A15" s="68" t="s">
        <v>146</v>
      </c>
      <c r="B15" s="46">
        <f t="shared" si="1"/>
        <v>1701.9354249999999</v>
      </c>
      <c r="C15" s="46">
        <f t="shared" si="1"/>
        <v>1733.6319579999999</v>
      </c>
      <c r="D15" s="46">
        <f t="shared" si="1"/>
        <v>1800.135254</v>
      </c>
      <c r="E15" s="46">
        <f t="shared" si="1"/>
        <v>1759.122314</v>
      </c>
      <c r="F15" s="46"/>
      <c r="G15" s="80">
        <f t="shared" si="2"/>
        <v>1748.7062377499999</v>
      </c>
      <c r="H15" s="81">
        <f t="shared" si="3"/>
        <v>83834.064733014879</v>
      </c>
      <c r="I15" s="79">
        <f t="shared" si="4"/>
        <v>2.0555214387843614E-2</v>
      </c>
      <c r="J15" s="79">
        <f t="shared" si="5"/>
        <v>0.11</v>
      </c>
      <c r="K15" s="79">
        <f t="shared" si="6"/>
        <v>5.6155703502465043E-2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si="1"/>
        <v>1554.8664550000001</v>
      </c>
      <c r="C16" s="46">
        <f t="shared" si="1"/>
        <v>1615.9149170000001</v>
      </c>
      <c r="D16" s="46">
        <f t="shared" si="1"/>
        <v>1646.261841</v>
      </c>
      <c r="E16" s="46">
        <f t="shared" si="1"/>
        <v>1572.2867429999999</v>
      </c>
      <c r="F16" s="46"/>
      <c r="G16" s="80">
        <f t="shared" si="2"/>
        <v>1597.3324890000001</v>
      </c>
      <c r="H16" s="81">
        <f t="shared" si="3"/>
        <v>76577.113063468161</v>
      </c>
      <c r="I16" s="79">
        <f t="shared" si="4"/>
        <v>2.2507211711641568E-2</v>
      </c>
      <c r="J16" s="79">
        <f t="shared" si="5"/>
        <v>0.11</v>
      </c>
      <c r="K16" s="79">
        <f t="shared" si="6"/>
        <v>5.7217508959088045E-2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si="1"/>
        <v>836.228882</v>
      </c>
      <c r="C17" s="46">
        <f t="shared" si="1"/>
        <v>888.671875</v>
      </c>
      <c r="D17" s="46">
        <f t="shared" si="1"/>
        <v>878.42919900000004</v>
      </c>
      <c r="E17" s="46">
        <f t="shared" si="1"/>
        <v>850.26953100000003</v>
      </c>
      <c r="F17" s="46"/>
      <c r="G17" s="80">
        <f t="shared" si="2"/>
        <v>863.39987174999999</v>
      </c>
      <c r="H17" s="81">
        <f t="shared" si="3"/>
        <v>41391.926886415225</v>
      </c>
      <c r="I17" s="79">
        <f t="shared" si="4"/>
        <v>2.4399702231598423E-2</v>
      </c>
      <c r="J17" s="79">
        <f t="shared" si="5"/>
        <v>0.11</v>
      </c>
      <c r="K17" s="79">
        <f t="shared" si="6"/>
        <v>6.0740098204676393E-2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si="1"/>
        <v>185.16648900000001</v>
      </c>
      <c r="C18" s="46">
        <f t="shared" si="1"/>
        <v>195.58506800000001</v>
      </c>
      <c r="D18" s="46">
        <f t="shared" si="1"/>
        <v>204.312027</v>
      </c>
      <c r="E18" s="46">
        <f t="shared" si="1"/>
        <v>207.27862500000001</v>
      </c>
      <c r="F18" s="46"/>
      <c r="G18" s="80">
        <f t="shared" si="2"/>
        <v>198.08555225000001</v>
      </c>
      <c r="H18" s="81">
        <f t="shared" si="3"/>
        <v>9496.3445840784989</v>
      </c>
      <c r="I18" s="79">
        <f t="shared" si="4"/>
        <v>4.3459308918311984E-2</v>
      </c>
      <c r="J18" s="79">
        <f t="shared" si="5"/>
        <v>0.113</v>
      </c>
      <c r="K18" s="79">
        <f t="shared" si="6"/>
        <v>0.11162922156025133</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si="1"/>
        <v>63.105590999999997</v>
      </c>
      <c r="C19" s="46">
        <f t="shared" si="1"/>
        <v>64.144585000000006</v>
      </c>
      <c r="D19" s="46">
        <f t="shared" si="1"/>
        <v>73.560516000000007</v>
      </c>
      <c r="E19" s="46">
        <f t="shared" si="1"/>
        <v>74.144317999999998</v>
      </c>
      <c r="F19" s="46"/>
      <c r="G19" s="80">
        <f t="shared" si="2"/>
        <v>68.738752500000004</v>
      </c>
      <c r="H19" s="81">
        <f t="shared" si="3"/>
        <v>3295.3785503540548</v>
      </c>
      <c r="I19" s="79">
        <f t="shared" si="4"/>
        <v>7.4644861614194077E-2</v>
      </c>
      <c r="J19" s="79">
        <f t="shared" si="5"/>
        <v>0.11900000000000001</v>
      </c>
      <c r="K19" s="79">
        <f t="shared" si="6"/>
        <v>0.16058957427253281</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si="1"/>
        <v>53.102345</v>
      </c>
      <c r="C20" s="46">
        <f t="shared" si="1"/>
        <v>53.267451999999999</v>
      </c>
      <c r="D20" s="46">
        <f t="shared" si="1"/>
        <v>62.511093000000002</v>
      </c>
      <c r="E20" s="46">
        <f t="shared" si="1"/>
        <v>63.159973000000001</v>
      </c>
      <c r="F20" s="46"/>
      <c r="G20" s="80">
        <f t="shared" si="2"/>
        <v>58.010215750000008</v>
      </c>
      <c r="H20" s="81">
        <f t="shared" si="3"/>
        <v>2781.0458254091968</v>
      </c>
      <c r="I20" s="79">
        <f t="shared" si="4"/>
        <v>8.3280511598929102E-2</v>
      </c>
      <c r="J20" s="79">
        <f t="shared" si="5"/>
        <v>0.11900000000000001</v>
      </c>
      <c r="K20" s="79">
        <f t="shared" si="6"/>
        <v>0.17337684181945143</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si="1"/>
        <v>44.588940000000001</v>
      </c>
      <c r="C21" s="46">
        <f t="shared" si="1"/>
        <v>45.338329000000002</v>
      </c>
      <c r="D21" s="46">
        <f t="shared" si="1"/>
        <v>51.666285999999999</v>
      </c>
      <c r="E21" s="46">
        <f t="shared" si="1"/>
        <v>54.006354999999999</v>
      </c>
      <c r="F21" s="46"/>
      <c r="G21" s="80">
        <f t="shared" si="2"/>
        <v>48.899977499999991</v>
      </c>
      <c r="H21" s="81">
        <f t="shared" si="3"/>
        <v>2344.2953371360045</v>
      </c>
      <c r="I21" s="79">
        <f t="shared" si="4"/>
        <v>8.2434903811593116E-2</v>
      </c>
      <c r="J21" s="79">
        <f t="shared" si="5"/>
        <v>0.11900000000000001</v>
      </c>
      <c r="K21" s="79">
        <f t="shared" si="6"/>
        <v>0.19258526243698168</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si="1"/>
        <v>33.840770999999997</v>
      </c>
      <c r="C22" s="46">
        <f t="shared" si="1"/>
        <v>33.038017000000004</v>
      </c>
      <c r="D22" s="46">
        <f t="shared" si="1"/>
        <v>38.979911999999999</v>
      </c>
      <c r="E22" s="46">
        <f t="shared" si="1"/>
        <v>39.970806000000003</v>
      </c>
      <c r="F22" s="46"/>
      <c r="G22" s="80">
        <f t="shared" si="2"/>
        <v>36.457376500000002</v>
      </c>
      <c r="H22" s="81">
        <f t="shared" si="3"/>
        <v>1747.7893058981831</v>
      </c>
      <c r="I22" s="79">
        <f t="shared" si="4"/>
        <v>8.369981602572929E-2</v>
      </c>
      <c r="J22" s="79">
        <f t="shared" si="5"/>
        <v>0.13400000000000001</v>
      </c>
      <c r="K22" s="79">
        <f t="shared" si="6"/>
        <v>0.1901614889924951</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si="1"/>
        <v>23.943943000000001</v>
      </c>
      <c r="C23" s="46">
        <f t="shared" si="1"/>
        <v>23.177441000000002</v>
      </c>
      <c r="D23" s="46">
        <f t="shared" si="1"/>
        <v>25.577369999999998</v>
      </c>
      <c r="E23" s="46">
        <f t="shared" si="1"/>
        <v>28.477927999999999</v>
      </c>
      <c r="F23" s="46"/>
      <c r="G23" s="80">
        <f t="shared" si="2"/>
        <v>25.2941705</v>
      </c>
      <c r="H23" s="81">
        <f t="shared" si="3"/>
        <v>1212.618266744051</v>
      </c>
      <c r="I23" s="79">
        <f t="shared" si="4"/>
        <v>8.0344627775481958E-2</v>
      </c>
      <c r="J23" s="79">
        <f t="shared" si="5"/>
        <v>0.13400000000000001</v>
      </c>
      <c r="K23" s="79">
        <f t="shared" si="6"/>
        <v>0.20955369933953741</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si="1"/>
        <v>17.346056000000001</v>
      </c>
      <c r="C24" s="46">
        <f t="shared" si="1"/>
        <v>14.943350000000001</v>
      </c>
      <c r="D24" s="46">
        <f t="shared" si="1"/>
        <v>17.597231000000001</v>
      </c>
      <c r="E24" s="46">
        <f t="shared" si="1"/>
        <v>19.934549000000001</v>
      </c>
      <c r="F24" s="46"/>
      <c r="G24" s="80">
        <f t="shared" si="2"/>
        <v>17.455296499999999</v>
      </c>
      <c r="H24" s="81">
        <f t="shared" si="3"/>
        <v>836.81777140442296</v>
      </c>
      <c r="I24" s="79">
        <f t="shared" si="4"/>
        <v>0.10122795662611922</v>
      </c>
      <c r="J24" s="79">
        <f t="shared" si="5"/>
        <v>0.156</v>
      </c>
      <c r="K24" s="79">
        <f t="shared" si="6"/>
        <v>0.28594180568631417</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E38" si="8">R69</f>
        <v>14.047112</v>
      </c>
      <c r="C25" s="46">
        <f t="shared" si="8"/>
        <v>11.080443000000001</v>
      </c>
      <c r="D25" s="46">
        <f t="shared" si="8"/>
        <v>13.811780000000001</v>
      </c>
      <c r="E25" s="46">
        <f t="shared" si="8"/>
        <v>15.967980000000001</v>
      </c>
      <c r="F25" s="46"/>
      <c r="G25" s="80">
        <f t="shared" si="2"/>
        <v>13.726828749999999</v>
      </c>
      <c r="H25" s="81">
        <f t="shared" si="3"/>
        <v>658.07270836248244</v>
      </c>
      <c r="I25" s="79">
        <f t="shared" si="4"/>
        <v>0.12689252618244984</v>
      </c>
      <c r="J25" s="79">
        <f t="shared" si="5"/>
        <v>0.156</v>
      </c>
      <c r="K25" s="79">
        <f t="shared" si="6"/>
        <v>0.35605725758034246</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si="8"/>
        <v>12.876519999999999</v>
      </c>
      <c r="C26" s="46">
        <f t="shared" si="8"/>
        <v>9.6572680000000002</v>
      </c>
      <c r="D26" s="46">
        <f t="shared" si="8"/>
        <v>12.686375999999999</v>
      </c>
      <c r="E26" s="46">
        <f t="shared" si="8"/>
        <v>14.645790999999999</v>
      </c>
      <c r="F26" s="46"/>
      <c r="G26" s="80">
        <f t="shared" si="2"/>
        <v>12.46648875</v>
      </c>
      <c r="H26" s="81">
        <f t="shared" si="3"/>
        <v>597.65122483100242</v>
      </c>
      <c r="I26" s="79">
        <f t="shared" si="4"/>
        <v>0.14381528938934662</v>
      </c>
      <c r="J26" s="79">
        <f t="shared" si="5"/>
        <v>0.156</v>
      </c>
      <c r="K26" s="79">
        <f t="shared" si="6"/>
        <v>0.40015461450602913</v>
      </c>
      <c r="L26">
        <f t="shared" si="7"/>
        <v>4</v>
      </c>
      <c r="P26" s="42"/>
    </row>
    <row r="27" spans="1:49" ht="13.15" x14ac:dyDescent="0.4">
      <c r="A27" s="68" t="s">
        <v>158</v>
      </c>
      <c r="B27" s="46">
        <f t="shared" si="8"/>
        <v>10.961004000000001</v>
      </c>
      <c r="C27" s="46">
        <f t="shared" si="8"/>
        <v>8.5390569999999997</v>
      </c>
      <c r="D27" s="46">
        <f t="shared" si="8"/>
        <v>10.947113999999999</v>
      </c>
      <c r="E27" s="46">
        <f t="shared" si="8"/>
        <v>13.018481</v>
      </c>
      <c r="F27" s="46"/>
      <c r="G27" s="80">
        <f t="shared" si="2"/>
        <v>10.866414000000001</v>
      </c>
      <c r="H27" s="81">
        <f t="shared" si="3"/>
        <v>520.94264606950799</v>
      </c>
      <c r="I27" s="79">
        <f t="shared" si="4"/>
        <v>0.1459677947871533</v>
      </c>
      <c r="J27" s="79">
        <f t="shared" si="5"/>
        <v>0.156</v>
      </c>
      <c r="K27" s="79">
        <f t="shared" si="6"/>
        <v>0.41222651741411653</v>
      </c>
      <c r="L27">
        <f t="shared" si="7"/>
        <v>4</v>
      </c>
      <c r="P27" s="42"/>
    </row>
    <row r="28" spans="1:49" ht="13.15" x14ac:dyDescent="0.4">
      <c r="A28" s="68" t="s">
        <v>159</v>
      </c>
      <c r="B28" s="46">
        <f t="shared" si="8"/>
        <v>9.0454889999999999</v>
      </c>
      <c r="C28" s="46">
        <f t="shared" si="8"/>
        <v>6.9125699999999997</v>
      </c>
      <c r="D28" s="46">
        <f t="shared" si="8"/>
        <v>8.4916870000000007</v>
      </c>
      <c r="E28" s="46">
        <f t="shared" si="8"/>
        <v>11.492877999999999</v>
      </c>
      <c r="F28" s="46"/>
      <c r="G28" s="80">
        <f t="shared" si="2"/>
        <v>8.9856559999999988</v>
      </c>
      <c r="H28" s="81">
        <f t="shared" si="3"/>
        <v>430.77793771803192</v>
      </c>
      <c r="I28" s="79">
        <f t="shared" si="4"/>
        <v>0.18313155218666463</v>
      </c>
      <c r="J28" s="79">
        <f t="shared" si="5"/>
        <v>0.193</v>
      </c>
      <c r="K28" s="79">
        <f t="shared" si="6"/>
        <v>0.50973551624945357</v>
      </c>
      <c r="L28">
        <f t="shared" si="7"/>
        <v>4</v>
      </c>
      <c r="P28" s="42"/>
    </row>
    <row r="29" spans="1:49" ht="13.15" x14ac:dyDescent="0.4">
      <c r="A29" s="68" t="s">
        <v>160</v>
      </c>
      <c r="B29" s="46">
        <f t="shared" si="8"/>
        <v>8.3005669999999991</v>
      </c>
      <c r="C29" s="46">
        <f t="shared" si="8"/>
        <v>5.4893939999999999</v>
      </c>
      <c r="D29" s="46">
        <f t="shared" si="8"/>
        <v>6.5478069999999997</v>
      </c>
      <c r="E29" s="46">
        <f t="shared" si="8"/>
        <v>9.6621539999999992</v>
      </c>
      <c r="F29" s="46"/>
      <c r="G29" s="80">
        <f t="shared" si="2"/>
        <v>7.4999804999999995</v>
      </c>
      <c r="H29" s="81">
        <f t="shared" si="3"/>
        <v>359.55373015787097</v>
      </c>
      <c r="I29" s="79">
        <f t="shared" si="4"/>
        <v>0.21359441123056327</v>
      </c>
      <c r="J29" s="79">
        <f t="shared" si="5"/>
        <v>0.193</v>
      </c>
      <c r="K29" s="79">
        <f t="shared" si="6"/>
        <v>0.55636944656056098</v>
      </c>
      <c r="L29">
        <f t="shared" si="7"/>
        <v>4</v>
      </c>
      <c r="P29" s="42"/>
    </row>
    <row r="30" spans="1:49" ht="13.15" x14ac:dyDescent="0.4">
      <c r="A30" s="68" t="s">
        <v>161</v>
      </c>
      <c r="B30" s="46">
        <f t="shared" si="8"/>
        <v>6.9171389999999997</v>
      </c>
      <c r="C30" s="46">
        <f t="shared" si="8"/>
        <v>4.9811170000000002</v>
      </c>
      <c r="D30" s="46">
        <f t="shared" si="8"/>
        <v>5.2177829999999998</v>
      </c>
      <c r="E30" s="46">
        <f t="shared" si="8"/>
        <v>8.1365510000000008</v>
      </c>
      <c r="F30" s="46"/>
      <c r="G30" s="80">
        <f t="shared" si="2"/>
        <v>6.3131475000000004</v>
      </c>
      <c r="H30" s="81">
        <f t="shared" si="3"/>
        <v>302.65621792774499</v>
      </c>
      <c r="I30" s="79">
        <f t="shared" si="4"/>
        <v>0.20444802386482741</v>
      </c>
      <c r="J30" s="79">
        <f t="shared" si="5"/>
        <v>0.193</v>
      </c>
      <c r="K30" s="79">
        <f t="shared" si="6"/>
        <v>0.49981946406289418</v>
      </c>
      <c r="L30">
        <f t="shared" si="7"/>
        <v>4</v>
      </c>
      <c r="P30" s="42"/>
    </row>
    <row r="31" spans="1:49" ht="13.15" x14ac:dyDescent="0.4">
      <c r="A31" s="68" t="s">
        <v>162</v>
      </c>
      <c r="B31" s="46">
        <f t="shared" si="8"/>
        <v>5.4272939999999998</v>
      </c>
      <c r="C31" s="46">
        <f t="shared" si="8"/>
        <v>4.0662180000000001</v>
      </c>
      <c r="D31" s="46">
        <f t="shared" si="8"/>
        <v>4.0923790000000002</v>
      </c>
      <c r="E31" s="46">
        <f t="shared" si="8"/>
        <v>7.5263090000000004</v>
      </c>
      <c r="F31" s="46"/>
      <c r="G31" s="80">
        <f t="shared" si="2"/>
        <v>5.2780500000000004</v>
      </c>
      <c r="H31" s="81">
        <f t="shared" si="3"/>
        <v>253.0329999471</v>
      </c>
      <c r="I31" s="79">
        <f t="shared" si="4"/>
        <v>0.26712555196785703</v>
      </c>
      <c r="J31" s="79">
        <f t="shared" si="5"/>
        <v>0.193</v>
      </c>
      <c r="K31" s="79">
        <f t="shared" si="6"/>
        <v>0.65556237625638258</v>
      </c>
      <c r="L31">
        <f t="shared" si="7"/>
        <v>4</v>
      </c>
      <c r="P31" s="42"/>
    </row>
    <row r="32" spans="1:49" ht="13.15" x14ac:dyDescent="0.4">
      <c r="A32" s="68" t="s">
        <v>163</v>
      </c>
      <c r="B32" s="46">
        <f t="shared" si="8"/>
        <v>4.3631180000000001</v>
      </c>
      <c r="C32" s="46">
        <f t="shared" si="8"/>
        <v>3.5579399999999999</v>
      </c>
      <c r="D32" s="46">
        <f t="shared" si="8"/>
        <v>3.580832</v>
      </c>
      <c r="E32" s="46">
        <f t="shared" si="8"/>
        <v>6.7126539999999997</v>
      </c>
      <c r="F32" s="46"/>
      <c r="G32" s="80">
        <f t="shared" si="2"/>
        <v>4.553636</v>
      </c>
      <c r="H32" s="81">
        <f t="shared" si="3"/>
        <v>218.30414220159199</v>
      </c>
      <c r="I32" s="79">
        <f t="shared" si="4"/>
        <v>0.28284317533104486</v>
      </c>
      <c r="J32" s="79">
        <f t="shared" si="5"/>
        <v>0.193</v>
      </c>
      <c r="K32" s="79">
        <f t="shared" si="6"/>
        <v>0.69279011321941408</v>
      </c>
      <c r="L32">
        <f t="shared" si="7"/>
        <v>4</v>
      </c>
      <c r="P32" s="42"/>
    </row>
    <row r="33" spans="1:16" ht="13.15" x14ac:dyDescent="0.4">
      <c r="A33" s="68" t="s">
        <v>164</v>
      </c>
      <c r="B33" s="46">
        <f t="shared" si="8"/>
        <v>3.5117780000000001</v>
      </c>
      <c r="C33" s="46">
        <f t="shared" si="8"/>
        <v>3.252974</v>
      </c>
      <c r="D33" s="46">
        <f t="shared" si="8"/>
        <v>3.2739029999999998</v>
      </c>
      <c r="E33" s="46">
        <f t="shared" si="8"/>
        <v>5.7972919999999997</v>
      </c>
      <c r="F33" s="46"/>
      <c r="G33" s="80">
        <f t="shared" si="2"/>
        <v>3.9589867499999993</v>
      </c>
      <c r="H33" s="81">
        <f t="shared" si="3"/>
        <v>189.79628728475845</v>
      </c>
      <c r="I33" s="79">
        <f t="shared" si="4"/>
        <v>0.26931209864276362</v>
      </c>
      <c r="J33" s="79">
        <f t="shared" si="5"/>
        <v>0.27500000000000002</v>
      </c>
      <c r="K33" s="79">
        <f t="shared" si="6"/>
        <v>0.64266898594697242</v>
      </c>
      <c r="L33">
        <f t="shared" si="7"/>
        <v>4</v>
      </c>
      <c r="P33" s="42"/>
    </row>
    <row r="34" spans="1:16" ht="13.15" x14ac:dyDescent="0.4">
      <c r="A34" s="68" t="s">
        <v>165</v>
      </c>
      <c r="B34" s="46">
        <f t="shared" si="8"/>
        <v>2.6604380000000001</v>
      </c>
      <c r="C34" s="46">
        <f t="shared" si="8"/>
        <v>2.7446969999999999</v>
      </c>
      <c r="D34" s="46">
        <f t="shared" si="8"/>
        <v>2.4554269999999998</v>
      </c>
      <c r="E34" s="46">
        <f t="shared" si="8"/>
        <v>5.2887579999999996</v>
      </c>
      <c r="F34" s="46"/>
      <c r="G34" s="80">
        <f t="shared" si="2"/>
        <v>3.2873299999999999</v>
      </c>
      <c r="H34" s="81">
        <f t="shared" si="3"/>
        <v>157.59664491925997</v>
      </c>
      <c r="I34" s="79">
        <f t="shared" si="4"/>
        <v>0.3529624117269326</v>
      </c>
      <c r="J34" s="79">
        <f t="shared" si="5"/>
        <v>0.27500000000000002</v>
      </c>
      <c r="K34" s="79">
        <f t="shared" si="6"/>
        <v>0.86189430327956118</v>
      </c>
      <c r="L34">
        <f t="shared" si="7"/>
        <v>4</v>
      </c>
      <c r="P34" s="42"/>
    </row>
    <row r="35" spans="1:16" ht="13.15" x14ac:dyDescent="0.4">
      <c r="A35" s="68" t="s">
        <v>166</v>
      </c>
      <c r="B35" s="46">
        <f t="shared" si="8"/>
        <v>2.1283500000000002</v>
      </c>
      <c r="C35" s="46">
        <f t="shared" si="8"/>
        <v>2.4397310000000001</v>
      </c>
      <c r="D35" s="46">
        <f t="shared" si="8"/>
        <v>1.636952</v>
      </c>
      <c r="E35" s="46">
        <f t="shared" si="8"/>
        <v>4.6785170000000003</v>
      </c>
      <c r="F35" s="46"/>
      <c r="G35" s="80">
        <f t="shared" si="2"/>
        <v>2.7208874999999999</v>
      </c>
      <c r="H35" s="81">
        <f t="shared" si="3"/>
        <v>130.44103914202498</v>
      </c>
      <c r="I35" s="79">
        <f t="shared" si="4"/>
        <v>0.4285033537997795</v>
      </c>
      <c r="J35" s="79">
        <f t="shared" si="5"/>
        <v>0.27500000000000002</v>
      </c>
      <c r="K35" s="79">
        <f t="shared" si="6"/>
        <v>1.1178576843033754</v>
      </c>
      <c r="L35">
        <f t="shared" si="7"/>
        <v>4</v>
      </c>
      <c r="P35" s="42"/>
    </row>
    <row r="36" spans="1:16" ht="13.15" x14ac:dyDescent="0.4">
      <c r="A36" s="68" t="s">
        <v>167</v>
      </c>
      <c r="B36" s="46">
        <f t="shared" si="8"/>
        <v>0.31925300000000001</v>
      </c>
      <c r="C36" s="46">
        <f t="shared" si="8"/>
        <v>0</v>
      </c>
      <c r="D36" s="46">
        <f t="shared" si="8"/>
        <v>0.30692799999999998</v>
      </c>
      <c r="E36" s="46">
        <f t="shared" si="8"/>
        <v>1.3221890000000001</v>
      </c>
      <c r="F36" s="46"/>
      <c r="G36" s="80">
        <f t="shared" si="2"/>
        <v>0.48709250000000004</v>
      </c>
      <c r="H36" s="81">
        <f t="shared" si="3"/>
        <v>23.351517421535</v>
      </c>
      <c r="I36" s="79">
        <f t="shared" si="4"/>
        <v>1.0240708988227558</v>
      </c>
      <c r="J36" s="79">
        <f t="shared" si="5"/>
        <v>0.27500000000000002</v>
      </c>
      <c r="K36" s="79">
        <f t="shared" si="6"/>
        <v>2.7144515672074605</v>
      </c>
      <c r="L36">
        <f t="shared" si="7"/>
        <v>4</v>
      </c>
      <c r="P36" s="42"/>
    </row>
    <row r="37" spans="1:16" ht="13.15" x14ac:dyDescent="0.4">
      <c r="A37" s="68" t="s">
        <v>168</v>
      </c>
      <c r="B37" s="46">
        <f t="shared" si="8"/>
        <v>0.106418</v>
      </c>
      <c r="C37" s="46">
        <f t="shared" si="8"/>
        <v>0</v>
      </c>
      <c r="D37" s="46">
        <f t="shared" si="8"/>
        <v>0</v>
      </c>
      <c r="E37" s="46">
        <f t="shared" si="8"/>
        <v>0.50853400000000004</v>
      </c>
      <c r="F37" s="46"/>
      <c r="G37" s="80">
        <f t="shared" si="2"/>
        <v>0.15373800000000001</v>
      </c>
      <c r="H37" s="81">
        <f t="shared" si="3"/>
        <v>7.3702953450360003</v>
      </c>
      <c r="I37" s="79">
        <f t="shared" si="4"/>
        <v>1.3620446714002032</v>
      </c>
      <c r="J37" s="79">
        <f t="shared" si="5"/>
        <v>0.27500000000000002</v>
      </c>
      <c r="K37" s="79">
        <f t="shared" si="6"/>
        <v>3.3077963808557413</v>
      </c>
      <c r="L37">
        <f t="shared" si="7"/>
        <v>4</v>
      </c>
    </row>
    <row r="38" spans="1:16" ht="13.15" x14ac:dyDescent="0.4">
      <c r="A38" s="68" t="s">
        <v>169</v>
      </c>
      <c r="B38" s="46">
        <f t="shared" si="8"/>
        <v>0</v>
      </c>
      <c r="C38" s="46">
        <f t="shared" si="8"/>
        <v>0</v>
      </c>
      <c r="D38" s="46">
        <f t="shared" si="8"/>
        <v>0</v>
      </c>
      <c r="E38" s="46">
        <f t="shared" si="8"/>
        <v>0.20341400000000001</v>
      </c>
      <c r="F38" s="46"/>
      <c r="G38" s="80">
        <f t="shared" si="2"/>
        <v>5.0853500000000003E-2</v>
      </c>
      <c r="H38" s="81">
        <f t="shared" si="3"/>
        <v>2.4379484208769999</v>
      </c>
      <c r="I38" s="79">
        <f t="shared" si="4"/>
        <v>1.7320508075688772</v>
      </c>
      <c r="J38" s="79">
        <f t="shared" si="5"/>
        <v>0.27500000000000002</v>
      </c>
      <c r="K38" s="79">
        <f t="shared" si="6"/>
        <v>4</v>
      </c>
      <c r="L38">
        <f t="shared" si="7"/>
        <v>4</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f>'C - B1'!A51</f>
        <v>0</v>
      </c>
      <c r="C51" s="65" t="str">
        <f>'C - B1'!B51</f>
        <v>Portion 1</v>
      </c>
      <c r="D51" s="65" t="str">
        <f>'C - B1'!C51</f>
        <v>Portion 2</v>
      </c>
      <c r="E51" s="65" t="str">
        <f>'C - B1'!D51</f>
        <v>Portion 3</v>
      </c>
      <c r="F51" s="65" t="str">
        <f>'C - B1'!E51</f>
        <v>Portion 4</v>
      </c>
      <c r="G51" s="65" t="str">
        <f>'C - B1'!F51</f>
        <v>Portion 5</v>
      </c>
      <c r="H51" s="65" t="str">
        <f>'C - B1'!G51</f>
        <v>Portion 1</v>
      </c>
      <c r="I51" s="65" t="str">
        <f>'C - B1'!H51</f>
        <v>Portion 2</v>
      </c>
      <c r="J51" s="65" t="str">
        <f>'C - B1'!I51</f>
        <v>Portion 3</v>
      </c>
      <c r="K51" s="65" t="str">
        <f>'C - B1'!J51</f>
        <v>Portion 4</v>
      </c>
      <c r="L51" s="65" t="str">
        <f>'C - B1'!K51</f>
        <v>Portion 5</v>
      </c>
      <c r="M51" s="65" t="str">
        <f>'C - B1'!L51</f>
        <v>Portion 1</v>
      </c>
      <c r="N51" s="65" t="str">
        <f>'C - B1'!M51</f>
        <v>Portion 2</v>
      </c>
      <c r="O51" s="65" t="str">
        <f>'C - B1'!N51</f>
        <v>Portion 3</v>
      </c>
      <c r="P51" s="65" t="str">
        <f>'C - B1'!O51</f>
        <v>Portion 4</v>
      </c>
      <c r="Q51" t="str">
        <f>'C - B1'!P51</f>
        <v>Portion 5</v>
      </c>
      <c r="R51" t="str">
        <f>'C - B1'!Q51</f>
        <v>Portion 1</v>
      </c>
      <c r="S51" t="str">
        <f>'C - B1'!R51</f>
        <v>Portion 2</v>
      </c>
      <c r="T51" t="str">
        <f>'C - B1'!S51</f>
        <v>Portion 3</v>
      </c>
      <c r="U51" t="str">
        <f>'C - B1'!T51</f>
        <v>Portion 4</v>
      </c>
      <c r="V51" t="str">
        <f>'C - B1'!U51</f>
        <v>Portion 5</v>
      </c>
      <c r="W51" t="str">
        <f>'C - B1'!V51</f>
        <v>Portion 1</v>
      </c>
      <c r="X51" t="str">
        <f>'C - B1'!W51</f>
        <v>Portion 2</v>
      </c>
      <c r="Y51" t="str">
        <f>'C - B1'!X51</f>
        <v>Portion 3</v>
      </c>
      <c r="Z51" t="str">
        <f>'C - B1'!Y51</f>
        <v>Portion 4</v>
      </c>
      <c r="AA51" t="str">
        <f>'C - B1'!Z51</f>
        <v>Portion 5</v>
      </c>
    </row>
    <row r="52" spans="1:31" ht="13.15" x14ac:dyDescent="0.4">
      <c r="A52" s="65"/>
      <c r="B52" s="50" t="str">
        <f>'C - B1'!A52</f>
        <v>NAME\mL</v>
      </c>
      <c r="C52" s="50">
        <f>'C - B1'!B52</f>
        <v>9.4013469999999995</v>
      </c>
      <c r="D52" s="50">
        <f>'C - B1'!C52</f>
        <v>9.8436819999999994</v>
      </c>
      <c r="E52" s="50">
        <f>'C - B1'!D52</f>
        <v>9.7738219999999991</v>
      </c>
      <c r="F52" s="50">
        <f>'C - B1'!E52</f>
        <v>9.8394490000000001</v>
      </c>
      <c r="G52" s="50">
        <f>'C - B1'!F52</f>
        <v>9.8386399999999998</v>
      </c>
      <c r="H52" s="50">
        <f>'C - B1'!G52</f>
        <v>9.3964200000000009</v>
      </c>
      <c r="I52" s="50">
        <f>'C - B1'!H52</f>
        <v>9.8391719999999996</v>
      </c>
      <c r="J52" s="50">
        <f>'C - B1'!I52</f>
        <v>9.7717980000000004</v>
      </c>
      <c r="K52" s="50">
        <f>'C - B1'!J52</f>
        <v>9.8409580000000005</v>
      </c>
      <c r="L52" s="50">
        <f>'C - B1'!K52</f>
        <v>9.8377719999999993</v>
      </c>
      <c r="M52" s="50">
        <f>'C - B1'!L52</f>
        <v>9.4034879999999994</v>
      </c>
      <c r="N52" s="50">
        <f>'C - B1'!M52</f>
        <v>9.8474179999999993</v>
      </c>
      <c r="O52" s="50">
        <f>'C - B1'!N52</f>
        <v>9.7709329999999994</v>
      </c>
      <c r="P52" s="50">
        <f>'C - B1'!O52</f>
        <v>9.8387840000000004</v>
      </c>
      <c r="Q52" s="50">
        <f>'C - B1'!P52</f>
        <v>9.8422610000000006</v>
      </c>
      <c r="R52" s="50">
        <f>'C - B1'!Q52</f>
        <v>9.3969489999999993</v>
      </c>
      <c r="S52" s="50">
        <f>'C - B1'!R52</f>
        <v>9.8371519999999997</v>
      </c>
      <c r="T52" s="50">
        <f>'C - B1'!S52</f>
        <v>9.7742649999999998</v>
      </c>
      <c r="U52" s="50">
        <f>'C - B1'!T52</f>
        <v>9.8321760000000005</v>
      </c>
      <c r="V52" s="50">
        <f>'C - B1'!U52</f>
        <v>9.1000800000000002</v>
      </c>
      <c r="W52" s="50">
        <f>'C - B1'!V52</f>
        <v>9.3977529999999998</v>
      </c>
      <c r="X52" s="50">
        <f>'C - B1'!W52</f>
        <v>9.8388399999999994</v>
      </c>
      <c r="Y52" s="50">
        <f>'C - B1'!X52</f>
        <v>9.7722610000000003</v>
      </c>
      <c r="Z52" s="50">
        <f>'C - B1'!Y52</f>
        <v>9.8395860000000006</v>
      </c>
      <c r="AA52" s="50">
        <f>'C - B1'!Z52</f>
        <v>9.8540539999999996</v>
      </c>
      <c r="AB52" s="50"/>
      <c r="AC52" s="50"/>
      <c r="AD52" s="50"/>
      <c r="AE52" s="50"/>
    </row>
    <row r="53" spans="1:31" ht="13.15" x14ac:dyDescent="0.4">
      <c r="A53" s="8"/>
      <c r="B53" s="50">
        <f>'C - B1'!A53</f>
        <v>4</v>
      </c>
      <c r="C53" s="50">
        <f>'C - B1'!B53</f>
        <v>1838.779053</v>
      </c>
      <c r="D53" s="50">
        <f>'C - B1'!C53</f>
        <v>1741.0151370000001</v>
      </c>
      <c r="E53" s="50">
        <f>'C - B1'!D53</f>
        <v>1871.9392089999999</v>
      </c>
      <c r="F53" s="50">
        <f>'C - B1'!E53</f>
        <v>1865.043457</v>
      </c>
      <c r="G53" s="50">
        <f>'C - B1'!F53</f>
        <v>1799.740601</v>
      </c>
      <c r="H53" s="50">
        <f>'C - B1'!G53</f>
        <v>1826.3339840000001</v>
      </c>
      <c r="I53" s="50">
        <f>'C - B1'!H53</f>
        <v>1807.367432</v>
      </c>
      <c r="J53" s="50">
        <f>'C - B1'!I53</f>
        <v>1885.8350829999999</v>
      </c>
      <c r="K53" s="50">
        <f>'C - B1'!J53</f>
        <v>1797.4876710000001</v>
      </c>
      <c r="L53" s="50">
        <f>'C - B1'!K53</f>
        <v>1750.1929929999999</v>
      </c>
      <c r="M53" s="50">
        <f>'C - B1'!L53</f>
        <v>1868.0302730000001</v>
      </c>
      <c r="N53" s="50">
        <f>'C - B1'!M53</f>
        <v>1786.965942</v>
      </c>
      <c r="O53" s="50">
        <f>'C - B1'!N53</f>
        <v>1832.9876710000001</v>
      </c>
      <c r="P53" s="50">
        <f>'C - B1'!O53</f>
        <v>1774.2030030000001</v>
      </c>
      <c r="Q53" s="50">
        <f>'C - B1'!P53</f>
        <v>1677.1552730000001</v>
      </c>
      <c r="R53" s="50">
        <f>'C - B1'!Q53</f>
        <v>1752.4837649999999</v>
      </c>
      <c r="S53" s="50">
        <f>'C - B1'!R53</f>
        <v>1785.7811280000001</v>
      </c>
      <c r="T53" s="50">
        <f>'C - B1'!S53</f>
        <v>1859.2701420000001</v>
      </c>
      <c r="U53" s="50">
        <f>'C - B1'!T53</f>
        <v>1825.231689</v>
      </c>
      <c r="V53" s="50">
        <f>'C - B1'!U53</f>
        <v>1559.5467530000001</v>
      </c>
      <c r="W53" s="50">
        <f>'C - B1'!V53</f>
        <v>1852.6770019999999</v>
      </c>
      <c r="X53" s="50">
        <f>'C - B1'!W53</f>
        <v>1816.169312</v>
      </c>
      <c r="Y53" s="50">
        <f>'C - B1'!X53</f>
        <v>1907.951538</v>
      </c>
      <c r="Z53" s="50">
        <f>'C - B1'!Y53</f>
        <v>1826.3979489999999</v>
      </c>
      <c r="AA53" s="50">
        <f>'C - B1'!Z53</f>
        <v>1571.3328859999999</v>
      </c>
      <c r="AB53" s="50"/>
      <c r="AC53" s="50"/>
      <c r="AD53" s="50"/>
      <c r="AE53" s="50"/>
    </row>
    <row r="54" spans="1:31" ht="13.15" x14ac:dyDescent="0.4">
      <c r="A54" s="8"/>
      <c r="B54" s="50">
        <f>'C - B1'!A54</f>
        <v>5</v>
      </c>
      <c r="C54" s="50">
        <f>'C - B1'!B54</f>
        <v>1813.7825929999999</v>
      </c>
      <c r="D54" s="50">
        <f>'C - B1'!C54</f>
        <v>1715.1102289999999</v>
      </c>
      <c r="E54" s="50">
        <f>'C - B1'!D54</f>
        <v>1844.825928</v>
      </c>
      <c r="F54" s="50">
        <f>'C - B1'!E54</f>
        <v>1840.3469239999999</v>
      </c>
      <c r="G54" s="50">
        <f>'C - B1'!F54</f>
        <v>1776.6683350000001</v>
      </c>
      <c r="H54" s="50">
        <f>'C - B1'!G54</f>
        <v>1803.772217</v>
      </c>
      <c r="I54" s="50">
        <f>'C - B1'!H54</f>
        <v>1784.8045649999999</v>
      </c>
      <c r="J54" s="50">
        <f>'C - B1'!I54</f>
        <v>1861.274658</v>
      </c>
      <c r="K54" s="50">
        <f>'C - B1'!J54</f>
        <v>1776.6563719999999</v>
      </c>
      <c r="L54" s="50">
        <f>'C - B1'!K54</f>
        <v>1730.0664059999999</v>
      </c>
      <c r="M54" s="50">
        <f>'C - B1'!L54</f>
        <v>1845.4853519999999</v>
      </c>
      <c r="N54" s="50">
        <f>'C - B1'!M54</f>
        <v>1766.757568</v>
      </c>
      <c r="O54" s="50">
        <f>'C - B1'!N54</f>
        <v>1810.0625</v>
      </c>
      <c r="P54" s="50">
        <f>'C - B1'!O54</f>
        <v>1753.2653809999999</v>
      </c>
      <c r="Q54" s="50">
        <f>'C - B1'!P54</f>
        <v>1657.3426509999999</v>
      </c>
      <c r="R54" s="50">
        <f>'C - B1'!Q54</f>
        <v>1731.9451899999999</v>
      </c>
      <c r="S54" s="50">
        <f>'C - B1'!R54</f>
        <v>1763.7219239999999</v>
      </c>
      <c r="T54" s="50">
        <f>'C - B1'!S54</f>
        <v>1836.0458980000001</v>
      </c>
      <c r="U54" s="50">
        <f>'C - B1'!T54</f>
        <v>1801.9407960000001</v>
      </c>
      <c r="V54" s="50">
        <f>'C - B1'!U54</f>
        <v>1530.645996</v>
      </c>
      <c r="W54" s="50">
        <f>'C - B1'!V54</f>
        <v>1829.905518</v>
      </c>
      <c r="X54" s="50">
        <f>'C - B1'!W54</f>
        <v>1793.4023440000001</v>
      </c>
      <c r="Y54" s="50">
        <f>'C - B1'!X54</f>
        <v>1883.1876219999999</v>
      </c>
      <c r="Z54" s="50">
        <f>'C - B1'!Y54</f>
        <v>1804.4458010000001</v>
      </c>
      <c r="AA54" s="50">
        <f>'C - B1'!Z54</f>
        <v>1553.4722899999999</v>
      </c>
      <c r="AB54" s="50"/>
      <c r="AC54" s="50"/>
      <c r="AD54" s="50"/>
      <c r="AE54" s="50"/>
    </row>
    <row r="55" spans="1:31" ht="13.15" x14ac:dyDescent="0.4">
      <c r="A55" s="8"/>
      <c r="B55" s="50">
        <f>'C - B1'!A55</f>
        <v>6</v>
      </c>
      <c r="C55" s="50">
        <f>'C - B1'!B55</f>
        <v>1798.5720209999999</v>
      </c>
      <c r="D55" s="50">
        <f>'C - B1'!C55</f>
        <v>1700.684692</v>
      </c>
      <c r="E55" s="50">
        <f>'C - B1'!D55</f>
        <v>1830.501953</v>
      </c>
      <c r="F55" s="50">
        <f>'C - B1'!E55</f>
        <v>1827.134888</v>
      </c>
      <c r="G55" s="50">
        <f>'C - B1'!F55</f>
        <v>1764.0649410000001</v>
      </c>
      <c r="H55" s="50">
        <f>'C - B1'!G55</f>
        <v>1792.278442</v>
      </c>
      <c r="I55" s="50">
        <f>'C - B1'!H55</f>
        <v>1771.8969729999999</v>
      </c>
      <c r="J55" s="50">
        <f>'C - B1'!I55</f>
        <v>1847.254639</v>
      </c>
      <c r="K55" s="50">
        <f>'C - B1'!J55</f>
        <v>1765.783447</v>
      </c>
      <c r="L55" s="50">
        <f>'C - B1'!K55</f>
        <v>1720.511475</v>
      </c>
      <c r="M55" s="50">
        <f>'C - B1'!L55</f>
        <v>1834.0002440000001</v>
      </c>
      <c r="N55" s="50">
        <f>'C - B1'!M55</f>
        <v>1754.0638429999999</v>
      </c>
      <c r="O55" s="50">
        <f>'C - B1'!N55</f>
        <v>1797.6788329999999</v>
      </c>
      <c r="P55" s="50">
        <f>'C - B1'!O55</f>
        <v>1740.7639160000001</v>
      </c>
      <c r="Q55" s="50">
        <f>'C - B1'!P55</f>
        <v>1646.2680660000001</v>
      </c>
      <c r="R55" s="50">
        <f>'C - B1'!Q55</f>
        <v>1722.899658</v>
      </c>
      <c r="S55" s="50">
        <f>'C - B1'!R55</f>
        <v>1753.14978</v>
      </c>
      <c r="T55" s="50">
        <f>'C - B1'!S55</f>
        <v>1824.4849850000001</v>
      </c>
      <c r="U55" s="50">
        <f>'C - B1'!T55</f>
        <v>1790.142822</v>
      </c>
      <c r="V55" s="50">
        <f>'C - B1'!U55</f>
        <v>1513.8328859999999</v>
      </c>
      <c r="W55" s="50">
        <f>'C - B1'!V55</f>
        <v>1818.413452</v>
      </c>
      <c r="X55" s="50">
        <f>'C - B1'!W55</f>
        <v>1782.4255370000001</v>
      </c>
      <c r="Y55" s="50">
        <f>'C - B1'!X55</f>
        <v>1872.1358640000001</v>
      </c>
      <c r="Z55" s="50">
        <f>'C - B1'!Y55</f>
        <v>1792.351807</v>
      </c>
      <c r="AA55" s="50">
        <f>'C - B1'!Z55</f>
        <v>1542.6137699999999</v>
      </c>
      <c r="AB55" s="50"/>
      <c r="AC55" s="50"/>
      <c r="AD55" s="50"/>
      <c r="AE55" s="50"/>
    </row>
    <row r="56" spans="1:31" ht="13.15" x14ac:dyDescent="0.4">
      <c r="A56" s="8"/>
      <c r="B56" s="50">
        <f>'C - B1'!A56</f>
        <v>7</v>
      </c>
      <c r="C56" s="50">
        <f>'C - B1'!B56</f>
        <v>1788.041626</v>
      </c>
      <c r="D56" s="50">
        <f>'C - B1'!C56</f>
        <v>1691.033813</v>
      </c>
      <c r="E56" s="50">
        <f>'C - B1'!D56</f>
        <v>1820.5775149999999</v>
      </c>
      <c r="F56" s="50">
        <f>'C - B1'!E56</f>
        <v>1818.5977780000001</v>
      </c>
      <c r="G56" s="50">
        <f>'C - B1'!F56</f>
        <v>1754.7139890000001</v>
      </c>
      <c r="H56" s="50">
        <f>'C - B1'!G56</f>
        <v>1785.8930660000001</v>
      </c>
      <c r="I56" s="50">
        <f>'C - B1'!H56</f>
        <v>1764.7825929999999</v>
      </c>
      <c r="J56" s="50">
        <f>'C - B1'!I56</f>
        <v>1840.1936040000001</v>
      </c>
      <c r="K56" s="50">
        <f>'C - B1'!J56</f>
        <v>1759.4832759999999</v>
      </c>
      <c r="L56" s="50">
        <f>'C - B1'!K56</f>
        <v>1716.1405030000001</v>
      </c>
      <c r="M56" s="50">
        <f>'C - B1'!L56</f>
        <v>1827.194336</v>
      </c>
      <c r="N56" s="50">
        <f>'C - B1'!M56</f>
        <v>1747.0570070000001</v>
      </c>
      <c r="O56" s="50">
        <f>'C - B1'!N56</f>
        <v>1789.5936280000001</v>
      </c>
      <c r="P56" s="50">
        <f>'C - B1'!O56</f>
        <v>1733.3442379999999</v>
      </c>
      <c r="Q56" s="50">
        <f>'C - B1'!P56</f>
        <v>1639.5622559999999</v>
      </c>
      <c r="R56" s="50">
        <f>'C - B1'!Q56</f>
        <v>1716.7274170000001</v>
      </c>
      <c r="S56" s="50">
        <f>'C - B1'!R56</f>
        <v>1747.4570309999999</v>
      </c>
      <c r="T56" s="50">
        <f>'C - B1'!S56</f>
        <v>1818.4487300000001</v>
      </c>
      <c r="U56" s="50">
        <f>'C - B1'!T56</f>
        <v>1784.345581</v>
      </c>
      <c r="V56" s="50">
        <f>'C - B1'!U56</f>
        <v>1505.9208980000001</v>
      </c>
      <c r="W56" s="50">
        <f>'C - B1'!V56</f>
        <v>1811.9224850000001</v>
      </c>
      <c r="X56" s="50">
        <f>'C - B1'!W56</f>
        <v>1773.3797609999999</v>
      </c>
      <c r="Y56" s="50">
        <f>'C - B1'!X56</f>
        <v>1864.8704829999999</v>
      </c>
      <c r="Z56" s="50">
        <f>'C - B1'!Y56</f>
        <v>1784.7294919999999</v>
      </c>
      <c r="AA56" s="50">
        <f>'C - B1'!Z56</f>
        <v>1535.9160159999999</v>
      </c>
      <c r="AB56" s="50"/>
      <c r="AC56" s="50"/>
      <c r="AD56" s="50"/>
      <c r="AE56" s="50"/>
    </row>
    <row r="57" spans="1:31" ht="13.15" x14ac:dyDescent="0.4">
      <c r="A57" s="8"/>
      <c r="B57" s="50">
        <f>'C - B1'!A57</f>
        <v>8</v>
      </c>
      <c r="C57" s="50">
        <f>'C - B1'!B57</f>
        <v>1782.4041749999999</v>
      </c>
      <c r="D57" s="50">
        <f>'C - B1'!C57</f>
        <v>1685.2432859999999</v>
      </c>
      <c r="E57" s="50">
        <f>'C - B1'!D57</f>
        <v>1814.3363039999999</v>
      </c>
      <c r="F57" s="50">
        <f>'C - B1'!E57</f>
        <v>1812.9063719999999</v>
      </c>
      <c r="G57" s="50">
        <f>'C - B1'!F57</f>
        <v>1749.5303960000001</v>
      </c>
      <c r="H57" s="50">
        <f>'C - B1'!G57</f>
        <v>1781.3167719999999</v>
      </c>
      <c r="I57" s="50">
        <f>'C - B1'!H57</f>
        <v>1760.107422</v>
      </c>
      <c r="J57" s="50">
        <f>'C - B1'!I57</f>
        <v>1837.1235349999999</v>
      </c>
      <c r="K57" s="50">
        <f>'C - B1'!J57</f>
        <v>1755.1137699999999</v>
      </c>
      <c r="L57" s="50">
        <f>'C - B1'!K57</f>
        <v>1712.3795170000001</v>
      </c>
      <c r="M57" s="50">
        <f>'C - B1'!L57</f>
        <v>1822.30249</v>
      </c>
      <c r="N57" s="50">
        <f>'C - B1'!M57</f>
        <v>1743.299683</v>
      </c>
      <c r="O57" s="50">
        <f>'C - B1'!N57</f>
        <v>1785.3975829999999</v>
      </c>
      <c r="P57" s="50">
        <f>'C - B1'!O57</f>
        <v>1728.973755</v>
      </c>
      <c r="Q57" s="50">
        <f>'C - B1'!P57</f>
        <v>1634.58374</v>
      </c>
      <c r="R57" s="50">
        <f>'C - B1'!Q57</f>
        <v>1712.470703</v>
      </c>
      <c r="S57" s="50">
        <f>'C - B1'!R57</f>
        <v>1743.594116</v>
      </c>
      <c r="T57" s="50">
        <f>'C - B1'!S57</f>
        <v>1813.8447269999999</v>
      </c>
      <c r="U57" s="50">
        <f>'C - B1'!T57</f>
        <v>1779.7687989999999</v>
      </c>
      <c r="V57" s="50">
        <f>'C - B1'!U57</f>
        <v>1501.7451169999999</v>
      </c>
      <c r="W57" s="50">
        <f>'C - B1'!V57</f>
        <v>1805.8572999999999</v>
      </c>
      <c r="X57" s="50">
        <f>'C - B1'!W57</f>
        <v>1771.0419919999999</v>
      </c>
      <c r="Y57" s="50">
        <f>'C - B1'!X57</f>
        <v>1858.6282960000001</v>
      </c>
      <c r="Z57" s="50">
        <f>'C - B1'!Y57</f>
        <v>1780.359375</v>
      </c>
      <c r="AA57" s="50">
        <f>'C - B1'!Z57</f>
        <v>1532.871582</v>
      </c>
      <c r="AB57" s="50"/>
      <c r="AC57" s="50"/>
      <c r="AD57" s="50"/>
      <c r="AE57" s="50"/>
    </row>
    <row r="58" spans="1:31" ht="13.15" x14ac:dyDescent="0.4">
      <c r="A58" s="8"/>
      <c r="B58" s="50">
        <f>'C - B1'!A58</f>
        <v>9</v>
      </c>
      <c r="C58" s="50">
        <f>'C - B1'!B58</f>
        <v>1779.4257809999999</v>
      </c>
      <c r="D58" s="50">
        <f>'C - B1'!C58</f>
        <v>1679.8591309999999</v>
      </c>
      <c r="E58" s="50">
        <f>'C - B1'!D58</f>
        <v>1809.322876</v>
      </c>
      <c r="F58" s="50">
        <f>'C - B1'!E58</f>
        <v>1808.536255</v>
      </c>
      <c r="G58" s="50">
        <f>'C - B1'!F58</f>
        <v>1745.7696530000001</v>
      </c>
      <c r="H58" s="50">
        <f>'C - B1'!G58</f>
        <v>1777.6983640000001</v>
      </c>
      <c r="I58" s="50">
        <f>'C - B1'!H58</f>
        <v>1756.753418</v>
      </c>
      <c r="J58" s="50">
        <f>'C - B1'!I58</f>
        <v>1833.030029</v>
      </c>
      <c r="K58" s="50">
        <f>'C - B1'!J58</f>
        <v>1752.674927</v>
      </c>
      <c r="L58" s="50">
        <f>'C - B1'!K58</f>
        <v>1709.1267089999999</v>
      </c>
      <c r="M58" s="50">
        <f>'C - B1'!L58</f>
        <v>1817.623413</v>
      </c>
      <c r="N58" s="50">
        <f>'C - B1'!M58</f>
        <v>1740.2531739999999</v>
      </c>
      <c r="O58" s="50">
        <f>'C - B1'!N58</f>
        <v>1781.099121</v>
      </c>
      <c r="P58" s="50">
        <f>'C - B1'!O58</f>
        <v>1725.213135</v>
      </c>
      <c r="Q58" s="50">
        <f>'C - B1'!P58</f>
        <v>1630.7227780000001</v>
      </c>
      <c r="R58" s="50">
        <f>'C - B1'!Q58</f>
        <v>1709.278198</v>
      </c>
      <c r="S58" s="50">
        <f>'C - B1'!R58</f>
        <v>1740.2395019999999</v>
      </c>
      <c r="T58" s="50">
        <f>'C - B1'!S58</f>
        <v>1809.3431399999999</v>
      </c>
      <c r="U58" s="50">
        <f>'C - B1'!T58</f>
        <v>1776.412476</v>
      </c>
      <c r="V58" s="50">
        <f>'C - B1'!U58</f>
        <v>1496.8000489999999</v>
      </c>
      <c r="W58" s="50">
        <f>'C - B1'!V58</f>
        <v>1802.5585940000001</v>
      </c>
      <c r="X58" s="50">
        <f>'C - B1'!W58</f>
        <v>1767.7895510000001</v>
      </c>
      <c r="Y58" s="50">
        <f>'C - B1'!X58</f>
        <v>1854.944336</v>
      </c>
      <c r="Z58" s="50">
        <f>'C - B1'!Y58</f>
        <v>1776.9039310000001</v>
      </c>
      <c r="AA58" s="50">
        <f>'C - B1'!Z58</f>
        <v>1530.7404790000001</v>
      </c>
      <c r="AB58" s="50"/>
      <c r="AC58" s="50"/>
      <c r="AD58" s="50"/>
      <c r="AE58" s="50"/>
    </row>
    <row r="59" spans="1:31" ht="13.15" x14ac:dyDescent="0.4">
      <c r="A59" s="8"/>
      <c r="B59" s="50">
        <f>'C - B1'!A59</f>
        <v>10</v>
      </c>
      <c r="C59" s="50">
        <f>'C - B1'!B59</f>
        <v>1771.2354740000001</v>
      </c>
      <c r="D59" s="50">
        <f>'C - B1'!C59</f>
        <v>1670.411499</v>
      </c>
      <c r="E59" s="50">
        <f>'C - B1'!D59</f>
        <v>1800.5239260000001</v>
      </c>
      <c r="F59" s="50">
        <f>'C - B1'!E59</f>
        <v>1799.7958980000001</v>
      </c>
      <c r="G59" s="50">
        <f>'C - B1'!F59</f>
        <v>1738.5532229999999</v>
      </c>
      <c r="H59" s="50">
        <f>'C - B1'!G59</f>
        <v>1769.929443</v>
      </c>
      <c r="I59" s="50">
        <f>'C - B1'!H59</f>
        <v>1749.8422849999999</v>
      </c>
      <c r="J59" s="50">
        <f>'C - B1'!I59</f>
        <v>1823.205933</v>
      </c>
      <c r="K59" s="50">
        <f>'C - B1'!J59</f>
        <v>1746.273193</v>
      </c>
      <c r="L59" s="50">
        <f>'C - B1'!K59</f>
        <v>1700.791504</v>
      </c>
      <c r="M59" s="50">
        <f>'C - B1'!L59</f>
        <v>1809.3286129999999</v>
      </c>
      <c r="N59" s="50">
        <f>'C - B1'!M59</f>
        <v>1733.246216</v>
      </c>
      <c r="O59" s="50">
        <f>'C - B1'!N59</f>
        <v>1771.9904790000001</v>
      </c>
      <c r="P59" s="50">
        <f>'C - B1'!O59</f>
        <v>1718.0985109999999</v>
      </c>
      <c r="Q59" s="50">
        <f>'C - B1'!P59</f>
        <v>1623.3057859999999</v>
      </c>
      <c r="R59" s="50">
        <f>'C - B1'!Q59</f>
        <v>1701.9354249999999</v>
      </c>
      <c r="S59" s="50">
        <f>'C - B1'!R59</f>
        <v>1733.6319579999999</v>
      </c>
      <c r="T59" s="50">
        <f>'C - B1'!S59</f>
        <v>1800.135254</v>
      </c>
      <c r="U59" s="50">
        <f>'C - B1'!T59</f>
        <v>1759.122314</v>
      </c>
      <c r="V59" s="50">
        <f>'C - B1'!U59</f>
        <v>1488.009033</v>
      </c>
      <c r="W59" s="50">
        <f>'C - B1'!V59</f>
        <v>1796.3869629999999</v>
      </c>
      <c r="X59" s="50">
        <f>'C - B1'!W59</f>
        <v>1760.8781739999999</v>
      </c>
      <c r="Y59" s="50">
        <f>'C - B1'!X59</f>
        <v>1845.7346190000001</v>
      </c>
      <c r="Z59" s="50">
        <f>'C - B1'!Y59</f>
        <v>1771.1110839999999</v>
      </c>
      <c r="AA59" s="50">
        <f>'C - B1'!Z59</f>
        <v>1524.347168</v>
      </c>
      <c r="AB59" s="50"/>
      <c r="AC59" s="50"/>
      <c r="AD59" s="50"/>
      <c r="AE59" s="50"/>
    </row>
    <row r="60" spans="1:31" ht="13.15" x14ac:dyDescent="0.4">
      <c r="A60" s="8"/>
      <c r="B60" s="50">
        <f>'C - B1'!A60</f>
        <v>11</v>
      </c>
      <c r="C60" s="50">
        <f>'C - B1'!B60</f>
        <v>1627.107178</v>
      </c>
      <c r="D60" s="50">
        <f>'C - B1'!C60</f>
        <v>1540.6835940000001</v>
      </c>
      <c r="E60" s="50">
        <f>'C - B1'!D60</f>
        <v>1664.2414550000001</v>
      </c>
      <c r="F60" s="50">
        <f>'C - B1'!E60</f>
        <v>1658.527832</v>
      </c>
      <c r="G60" s="50">
        <f>'C - B1'!F60</f>
        <v>1624.20813</v>
      </c>
      <c r="H60" s="50">
        <f>'C - B1'!G60</f>
        <v>1620.5108640000001</v>
      </c>
      <c r="I60" s="50">
        <f>'C - B1'!H60</f>
        <v>1619.0385739999999</v>
      </c>
      <c r="J60" s="50">
        <f>'C - B1'!I60</f>
        <v>1655.273682</v>
      </c>
      <c r="K60" s="50">
        <f>'C - B1'!J60</f>
        <v>1625.2482910000001</v>
      </c>
      <c r="L60" s="50">
        <f>'C - B1'!K60</f>
        <v>1551.1641850000001</v>
      </c>
      <c r="M60" s="50">
        <f>'C - B1'!L60</f>
        <v>1661.085693</v>
      </c>
      <c r="N60" s="50">
        <f>'C - B1'!M60</f>
        <v>1613.2147219999999</v>
      </c>
      <c r="O60" s="50">
        <f>'C - B1'!N60</f>
        <v>1603.940918</v>
      </c>
      <c r="P60" s="50">
        <f>'C - B1'!O60</f>
        <v>1591.3551030000001</v>
      </c>
      <c r="Q60" s="50">
        <f>'C - B1'!P60</f>
        <v>1493.6607670000001</v>
      </c>
      <c r="R60" s="50">
        <f>'C - B1'!Q60</f>
        <v>1554.8664550000001</v>
      </c>
      <c r="S60" s="50">
        <f>'C - B1'!R60</f>
        <v>1615.9149170000001</v>
      </c>
      <c r="T60" s="50">
        <f>'C - B1'!S60</f>
        <v>1646.261841</v>
      </c>
      <c r="U60" s="50">
        <f>'C - B1'!T60</f>
        <v>1572.2867429999999</v>
      </c>
      <c r="V60" s="50">
        <f>'C - B1'!U60</f>
        <v>1395.8120120000001</v>
      </c>
      <c r="W60" s="50">
        <f>'C - B1'!V60</f>
        <v>1669.7608640000001</v>
      </c>
      <c r="X60" s="50">
        <f>'C - B1'!W60</f>
        <v>1644.4011230000001</v>
      </c>
      <c r="Y60" s="50">
        <f>'C - B1'!X60</f>
        <v>1686.099121</v>
      </c>
      <c r="Z60" s="50">
        <f>'C - B1'!Y60</f>
        <v>1650.5775149999999</v>
      </c>
      <c r="AA60" s="50">
        <f>'C - B1'!Z60</f>
        <v>1441.9445800000001</v>
      </c>
      <c r="AB60" s="50"/>
      <c r="AC60" s="50"/>
      <c r="AD60" s="50"/>
      <c r="AE60" s="50"/>
    </row>
    <row r="61" spans="1:31" ht="13.15" x14ac:dyDescent="0.4">
      <c r="A61" s="8"/>
      <c r="B61" s="50">
        <f>'C - B1'!A61</f>
        <v>12</v>
      </c>
      <c r="C61" s="50">
        <f>'C - B1'!B61</f>
        <v>879.66119400000002</v>
      </c>
      <c r="D61" s="50">
        <f>'C - B1'!C61</f>
        <v>868.88214100000005</v>
      </c>
      <c r="E61" s="50">
        <f>'C - B1'!D61</f>
        <v>892.79303000000004</v>
      </c>
      <c r="F61" s="50">
        <f>'C - B1'!E61</f>
        <v>902.99774200000002</v>
      </c>
      <c r="G61" s="50">
        <f>'C - B1'!F61</f>
        <v>923.80651899999998</v>
      </c>
      <c r="H61" s="50">
        <f>'C - B1'!G61</f>
        <v>860.540527</v>
      </c>
      <c r="I61" s="50">
        <f>'C - B1'!H61</f>
        <v>883.509277</v>
      </c>
      <c r="J61" s="50">
        <f>'C - B1'!I61</f>
        <v>879.77667199999996</v>
      </c>
      <c r="K61" s="50">
        <f>'C - B1'!J61</f>
        <v>894.72997999999995</v>
      </c>
      <c r="L61" s="50">
        <f>'C - B1'!K61</f>
        <v>854.563354</v>
      </c>
      <c r="M61" s="50">
        <f>'C - B1'!L61</f>
        <v>897.64562999999998</v>
      </c>
      <c r="N61" s="50">
        <f>'C - B1'!M61</f>
        <v>909.98474099999999</v>
      </c>
      <c r="O61" s="50">
        <f>'C - B1'!N61</f>
        <v>836.97229000000004</v>
      </c>
      <c r="P61" s="50">
        <f>'C - B1'!O61</f>
        <v>861.28527799999995</v>
      </c>
      <c r="Q61" s="50">
        <f>'C - B1'!P61</f>
        <v>845.84222399999999</v>
      </c>
      <c r="R61" s="50">
        <f>'C - B1'!Q61</f>
        <v>836.228882</v>
      </c>
      <c r="S61" s="50">
        <f>'C - B1'!R61</f>
        <v>888.671875</v>
      </c>
      <c r="T61" s="50">
        <f>'C - B1'!S61</f>
        <v>878.42919900000004</v>
      </c>
      <c r="U61" s="50">
        <f>'C - B1'!T61</f>
        <v>850.26953100000003</v>
      </c>
      <c r="V61" s="50">
        <f>'C - B1'!U61</f>
        <v>911.31073000000004</v>
      </c>
      <c r="W61" s="50">
        <f>'C - B1'!V61</f>
        <v>920.21997099999999</v>
      </c>
      <c r="X61" s="50">
        <f>'C - B1'!W61</f>
        <v>902.03716999999995</v>
      </c>
      <c r="Y61" s="50">
        <f>'C - B1'!X61</f>
        <v>886.07952899999998</v>
      </c>
      <c r="Z61" s="50">
        <f>'C - B1'!Y61</f>
        <v>918.02642800000001</v>
      </c>
      <c r="AA61" s="50">
        <f>'C - B1'!Z61</f>
        <v>872.73718299999996</v>
      </c>
      <c r="AB61" s="50"/>
      <c r="AC61" s="50"/>
      <c r="AD61" s="50"/>
      <c r="AE61" s="50"/>
    </row>
    <row r="62" spans="1:31" ht="13.15" x14ac:dyDescent="0.4">
      <c r="A62" s="8"/>
      <c r="B62" s="50">
        <f>'C - B1'!A62</f>
        <v>13</v>
      </c>
      <c r="C62" s="50">
        <f>'C - B1'!B62</f>
        <v>199.22676100000001</v>
      </c>
      <c r="D62" s="50">
        <f>'C - B1'!C62</f>
        <v>212.217331</v>
      </c>
      <c r="E62" s="50">
        <f>'C - B1'!D62</f>
        <v>212.81336999999999</v>
      </c>
      <c r="F62" s="50">
        <f>'C - B1'!E62</f>
        <v>217.08532700000001</v>
      </c>
      <c r="G62" s="50">
        <f>'C - B1'!F62</f>
        <v>215.37529000000001</v>
      </c>
      <c r="H62" s="50">
        <f>'C - B1'!G62</f>
        <v>204.86526499999999</v>
      </c>
      <c r="I62" s="50">
        <f>'C - B1'!H62</f>
        <v>205.403458</v>
      </c>
      <c r="J62" s="50">
        <f>'C - B1'!I62</f>
        <v>205.79631000000001</v>
      </c>
      <c r="K62" s="50">
        <f>'C - B1'!J62</f>
        <v>207.09367399999999</v>
      </c>
      <c r="L62" s="50">
        <f>'C - B1'!K62</f>
        <v>193.641403</v>
      </c>
      <c r="M62" s="50">
        <f>'C - B1'!L62</f>
        <v>213.32508899999999</v>
      </c>
      <c r="N62" s="50">
        <f>'C - B1'!M62</f>
        <v>210.71513400000001</v>
      </c>
      <c r="O62" s="50">
        <f>'C - B1'!N62</f>
        <v>201.51606799999999</v>
      </c>
      <c r="P62" s="50">
        <f>'C - B1'!O62</f>
        <v>206.12303199999999</v>
      </c>
      <c r="Q62" s="50">
        <f>'C - B1'!P62</f>
        <v>193.34986900000001</v>
      </c>
      <c r="R62" s="50">
        <f>'C - B1'!Q62</f>
        <v>185.16648900000001</v>
      </c>
      <c r="S62" s="50">
        <f>'C - B1'!R62</f>
        <v>195.58506800000001</v>
      </c>
      <c r="T62" s="50">
        <f>'C - B1'!S62</f>
        <v>204.312027</v>
      </c>
      <c r="U62" s="50">
        <f>'C - B1'!T62</f>
        <v>207.27862500000001</v>
      </c>
      <c r="V62" s="50">
        <f>'C - B1'!U62</f>
        <v>279.22833300000002</v>
      </c>
      <c r="W62" s="50">
        <f>'C - B1'!V62</f>
        <v>213.24246199999999</v>
      </c>
      <c r="X62" s="50">
        <f>'C - B1'!W62</f>
        <v>203.98745700000001</v>
      </c>
      <c r="Y62" s="50">
        <f>'C - B1'!X62</f>
        <v>202.30732699999999</v>
      </c>
      <c r="Z62" s="50">
        <f>'C - B1'!Y62</f>
        <v>211.18774400000001</v>
      </c>
      <c r="AA62" s="50">
        <f>'C - B1'!Z62</f>
        <v>199.61326600000001</v>
      </c>
      <c r="AB62" s="50"/>
      <c r="AC62" s="50"/>
      <c r="AD62" s="50"/>
      <c r="AE62" s="50"/>
    </row>
    <row r="63" spans="1:31" ht="13.15" x14ac:dyDescent="0.4">
      <c r="A63" s="8"/>
      <c r="B63" s="50">
        <f>'C - B1'!A63</f>
        <v>14</v>
      </c>
      <c r="C63" s="50">
        <f>'C - B1'!B63</f>
        <v>79.456695999999994</v>
      </c>
      <c r="D63" s="50">
        <f>'C - B1'!C63</f>
        <v>76.597351000000003</v>
      </c>
      <c r="E63" s="50">
        <f>'C - B1'!D63</f>
        <v>78.167991999999998</v>
      </c>
      <c r="F63" s="50">
        <f>'C - B1'!E63</f>
        <v>79.374367000000007</v>
      </c>
      <c r="G63" s="50">
        <f>'C - B1'!F63</f>
        <v>80.702208999999996</v>
      </c>
      <c r="H63" s="50">
        <f>'C - B1'!G63</f>
        <v>73.964340000000007</v>
      </c>
      <c r="I63" s="50">
        <f>'C - B1'!H63</f>
        <v>69.416404999999997</v>
      </c>
      <c r="J63" s="50">
        <f>'C - B1'!I63</f>
        <v>76.342140000000001</v>
      </c>
      <c r="K63" s="50">
        <f>'C - B1'!J63</f>
        <v>70.724823000000001</v>
      </c>
      <c r="L63" s="50">
        <f>'C - B1'!K63</f>
        <v>66.580116000000004</v>
      </c>
      <c r="M63" s="50">
        <f>'C - B1'!L63</f>
        <v>82.522568000000007</v>
      </c>
      <c r="N63" s="50">
        <f>'C - B1'!M63</f>
        <v>75.552802999999997</v>
      </c>
      <c r="O63" s="50">
        <f>'C - B1'!N63</f>
        <v>76.962967000000006</v>
      </c>
      <c r="P63" s="50">
        <f>'C - B1'!O63</f>
        <v>79.379729999999995</v>
      </c>
      <c r="Q63" s="50">
        <f>'C - B1'!P63</f>
        <v>61.977626999999998</v>
      </c>
      <c r="R63" s="50">
        <f>'C - B1'!Q63</f>
        <v>63.105590999999997</v>
      </c>
      <c r="S63" s="50">
        <f>'C - B1'!R63</f>
        <v>64.144585000000006</v>
      </c>
      <c r="T63" s="50">
        <f>'C - B1'!S63</f>
        <v>73.560516000000007</v>
      </c>
      <c r="U63" s="50">
        <f>'C - B1'!T63</f>
        <v>74.144317999999998</v>
      </c>
      <c r="V63" s="50">
        <f>'C - B1'!U63</f>
        <v>136.04276999999999</v>
      </c>
      <c r="W63" s="50">
        <f>'C - B1'!V63</f>
        <v>66.611671000000001</v>
      </c>
      <c r="X63" s="50">
        <f>'C - B1'!W63</f>
        <v>70.638405000000006</v>
      </c>
      <c r="Y63" s="50">
        <f>'C - B1'!X63</f>
        <v>69.584716999999998</v>
      </c>
      <c r="Z63" s="50">
        <f>'C - B1'!Y63</f>
        <v>68.600448999999998</v>
      </c>
      <c r="AA63" s="50">
        <f>'C - B1'!Z63</f>
        <v>62.207897000000003</v>
      </c>
      <c r="AB63" s="50"/>
      <c r="AC63" s="50"/>
      <c r="AD63" s="50"/>
      <c r="AE63" s="50"/>
    </row>
    <row r="64" spans="1:31" ht="13.15" x14ac:dyDescent="0.4">
      <c r="A64" s="8"/>
      <c r="B64" s="50">
        <f>'C - B1'!A64</f>
        <v>15</v>
      </c>
      <c r="C64" s="50">
        <f>'C - B1'!B64</f>
        <v>68.288086000000007</v>
      </c>
      <c r="D64" s="50">
        <f>'C - B1'!C64</f>
        <v>64.508376999999996</v>
      </c>
      <c r="E64" s="50">
        <f>'C - B1'!D64</f>
        <v>67.220375000000004</v>
      </c>
      <c r="F64" s="50">
        <f>'C - B1'!E64</f>
        <v>66.873665000000003</v>
      </c>
      <c r="G64" s="50">
        <f>'C - B1'!F64</f>
        <v>69.216881000000001</v>
      </c>
      <c r="H64" s="50">
        <f>'C - B1'!G64</f>
        <v>61.299945999999998</v>
      </c>
      <c r="I64" s="50">
        <f>'C - B1'!H64</f>
        <v>58.643143000000002</v>
      </c>
      <c r="J64" s="50">
        <f>'C - B1'!I64</f>
        <v>64.471244999999996</v>
      </c>
      <c r="K64" s="50">
        <f>'C - B1'!J64</f>
        <v>60.156745999999998</v>
      </c>
      <c r="L64" s="50">
        <f>'C - B1'!K64</f>
        <v>55.093772999999999</v>
      </c>
      <c r="M64" s="50">
        <f>'C - B1'!L64</f>
        <v>71.569182999999995</v>
      </c>
      <c r="N64" s="50">
        <f>'C - B1'!M64</f>
        <v>63.366866999999999</v>
      </c>
      <c r="O64" s="50">
        <f>'C - B1'!N64</f>
        <v>64.067573999999993</v>
      </c>
      <c r="P64" s="50">
        <f>'C - B1'!O64</f>
        <v>65.963431999999997</v>
      </c>
      <c r="Q64" s="50">
        <f>'C - B1'!P64</f>
        <v>51.715758999999998</v>
      </c>
      <c r="R64" s="50">
        <f>'C - B1'!Q64</f>
        <v>53.102345</v>
      </c>
      <c r="S64" s="50">
        <f>'C - B1'!R64</f>
        <v>53.267451999999999</v>
      </c>
      <c r="T64" s="50">
        <f>'C - B1'!S64</f>
        <v>62.511093000000002</v>
      </c>
      <c r="U64" s="50">
        <f>'C - B1'!T64</f>
        <v>63.159973000000001</v>
      </c>
      <c r="V64" s="50">
        <f>'C - B1'!U64</f>
        <v>121.97695899999999</v>
      </c>
      <c r="W64" s="50">
        <f>'C - B1'!V64</f>
        <v>56.290053999999998</v>
      </c>
      <c r="X64" s="50">
        <f>'C - B1'!W64</f>
        <v>58.645122999999998</v>
      </c>
      <c r="Y64" s="50">
        <f>'C - B1'!X64</f>
        <v>59.249339999999997</v>
      </c>
      <c r="Z64" s="50">
        <f>'C - B1'!Y64</f>
        <v>57.827632999999999</v>
      </c>
      <c r="AA64" s="50">
        <f>'C - B1'!Z64</f>
        <v>51.653866000000001</v>
      </c>
      <c r="AB64" s="50"/>
      <c r="AC64" s="50"/>
      <c r="AD64" s="50"/>
      <c r="AE64" s="50"/>
    </row>
    <row r="65" spans="1:31" ht="13.15" x14ac:dyDescent="0.4">
      <c r="A65" s="8"/>
      <c r="B65" s="50">
        <f>'C - B1'!A65</f>
        <v>16</v>
      </c>
      <c r="C65" s="50">
        <f>'C - B1'!B65</f>
        <v>57.864047999999997</v>
      </c>
      <c r="D65" s="50">
        <f>'C - B1'!C65</f>
        <v>54.654342999999997</v>
      </c>
      <c r="E65" s="50">
        <f>'C - B1'!D65</f>
        <v>55.863509999999998</v>
      </c>
      <c r="F65" s="50">
        <f>'C - B1'!E65</f>
        <v>57.421913000000004</v>
      </c>
      <c r="G65" s="50">
        <f>'C - B1'!F65</f>
        <v>61.797156999999999</v>
      </c>
      <c r="H65" s="50">
        <f>'C - B1'!G65</f>
        <v>51.402557000000002</v>
      </c>
      <c r="I65" s="50">
        <f>'C - B1'!H65</f>
        <v>48.784592000000004</v>
      </c>
      <c r="J65" s="50">
        <f>'C - B1'!I65</f>
        <v>54.135379999999998</v>
      </c>
      <c r="K65" s="50">
        <f>'C - B1'!J65</f>
        <v>50.198368000000002</v>
      </c>
      <c r="L65" s="50">
        <f>'C - B1'!K65</f>
        <v>46.453606000000001</v>
      </c>
      <c r="M65" s="50">
        <f>'C - B1'!L65</f>
        <v>61.785583000000003</v>
      </c>
      <c r="N65" s="50">
        <f>'C - B1'!M65</f>
        <v>52.704169999999998</v>
      </c>
      <c r="O65" s="50">
        <f>'C - B1'!N65</f>
        <v>54.856583000000001</v>
      </c>
      <c r="P65" s="50">
        <f>'C - B1'!O65</f>
        <v>54.986469</v>
      </c>
      <c r="Q65" s="50">
        <f>'C - B1'!P65</f>
        <v>43.689148000000003</v>
      </c>
      <c r="R65" s="50">
        <f>'C - B1'!Q65</f>
        <v>44.588940000000001</v>
      </c>
      <c r="S65" s="50">
        <f>'C - B1'!R65</f>
        <v>45.338329000000002</v>
      </c>
      <c r="T65" s="50">
        <f>'C - B1'!S65</f>
        <v>51.666285999999999</v>
      </c>
      <c r="U65" s="50">
        <f>'C - B1'!T65</f>
        <v>54.006354999999999</v>
      </c>
      <c r="V65" s="50">
        <f>'C - B1'!U65</f>
        <v>112.41660299999999</v>
      </c>
      <c r="W65" s="50">
        <f>'C - B1'!V65</f>
        <v>48.415829000000002</v>
      </c>
      <c r="X65" s="50">
        <f>'C - B1'!W65</f>
        <v>49.904254999999999</v>
      </c>
      <c r="Y65" s="50">
        <f>'C - B1'!X65</f>
        <v>50.960571000000002</v>
      </c>
      <c r="Z65" s="50">
        <f>'C - B1'!Y65</f>
        <v>48.579276999999998</v>
      </c>
      <c r="AA65" s="50">
        <f>'C - B1'!Z65</f>
        <v>43.230938000000002</v>
      </c>
      <c r="AB65" s="50"/>
      <c r="AC65" s="50"/>
      <c r="AD65" s="50"/>
      <c r="AE65" s="50"/>
    </row>
    <row r="66" spans="1:31" ht="13.15" x14ac:dyDescent="0.4">
      <c r="A66" s="8"/>
      <c r="B66" s="50">
        <f>'C - B1'!A66</f>
        <v>17</v>
      </c>
      <c r="C66" s="50">
        <f>'C - B1'!B66</f>
        <v>42.866196000000002</v>
      </c>
      <c r="D66" s="50">
        <f>'C - B1'!C66</f>
        <v>42.971724999999999</v>
      </c>
      <c r="E66" s="50">
        <f>'C - B1'!D66</f>
        <v>41.027962000000002</v>
      </c>
      <c r="F66" s="50">
        <f>'C - B1'!E66</f>
        <v>44.514687000000002</v>
      </c>
      <c r="G66" s="50">
        <f>'C - B1'!F66</f>
        <v>48.990509000000003</v>
      </c>
      <c r="H66" s="50">
        <f>'C - B1'!G66</f>
        <v>40.653782</v>
      </c>
      <c r="I66" s="50">
        <f>'C - B1'!H66</f>
        <v>38.011325999999997</v>
      </c>
      <c r="J66" s="50">
        <f>'C - B1'!I66</f>
        <v>40.831791000000003</v>
      </c>
      <c r="K66" s="50">
        <f>'C - B1'!J66</f>
        <v>38.410896000000001</v>
      </c>
      <c r="L66" s="50">
        <f>'C - B1'!K66</f>
        <v>36.288704000000003</v>
      </c>
      <c r="M66" s="50">
        <f>'C - B1'!L66</f>
        <v>47.854584000000003</v>
      </c>
      <c r="N66" s="50">
        <f>'C - B1'!M66</f>
        <v>40.822884000000002</v>
      </c>
      <c r="O66" s="50">
        <f>'C - B1'!N66</f>
        <v>40.630713999999998</v>
      </c>
      <c r="P66" s="50">
        <f>'C - B1'!O66</f>
        <v>41.773453000000003</v>
      </c>
      <c r="Q66" s="50">
        <f>'C - B1'!P66</f>
        <v>33.732086000000002</v>
      </c>
      <c r="R66" s="50">
        <f>'C - B1'!Q66</f>
        <v>33.840770999999997</v>
      </c>
      <c r="S66" s="50">
        <f>'C - B1'!R66</f>
        <v>33.038017000000004</v>
      </c>
      <c r="T66" s="50">
        <f>'C - B1'!S66</f>
        <v>38.979911999999999</v>
      </c>
      <c r="U66" s="50">
        <f>'C - B1'!T66</f>
        <v>39.970806000000003</v>
      </c>
      <c r="V66" s="50">
        <f>'C - B1'!U66</f>
        <v>102.08702099999999</v>
      </c>
      <c r="W66" s="50">
        <f>'C - B1'!V66</f>
        <v>37.349353999999998</v>
      </c>
      <c r="X66" s="50">
        <f>'C - B1'!W66</f>
        <v>39.333903999999997</v>
      </c>
      <c r="Y66" s="50">
        <f>'C - B1'!X66</f>
        <v>38.169266</v>
      </c>
      <c r="Z66" s="50">
        <f>'C - B1'!Y66</f>
        <v>37.501575000000003</v>
      </c>
      <c r="AA66" s="50">
        <f>'C - B1'!Z66</f>
        <v>33.184311000000001</v>
      </c>
      <c r="AB66" s="50"/>
      <c r="AC66" s="50"/>
      <c r="AD66" s="50"/>
      <c r="AE66" s="50"/>
    </row>
    <row r="67" spans="1:31" ht="13.15" x14ac:dyDescent="0.4">
      <c r="A67" s="8"/>
      <c r="B67" s="50">
        <f>'C - B1'!A67</f>
        <v>18</v>
      </c>
      <c r="C67" s="50">
        <f>'C - B1'!B67</f>
        <v>30.633907000000001</v>
      </c>
      <c r="D67" s="50">
        <f>'C - B1'!C67</f>
        <v>32.914512999999999</v>
      </c>
      <c r="E67" s="50">
        <f>'C - B1'!D67</f>
        <v>30.387295000000002</v>
      </c>
      <c r="F67" s="50">
        <f>'C - B1'!E67</f>
        <v>32.11562</v>
      </c>
      <c r="G67" s="50">
        <f>'C - B1'!F67</f>
        <v>35.065823000000002</v>
      </c>
      <c r="H67" s="50">
        <f>'C - B1'!G67</f>
        <v>28.734348000000001</v>
      </c>
      <c r="I67" s="50">
        <f>'C - B1'!H67</f>
        <v>27.542967000000001</v>
      </c>
      <c r="J67" s="50">
        <f>'C - B1'!I67</f>
        <v>26.914186000000001</v>
      </c>
      <c r="K67" s="50">
        <f>'C - B1'!J67</f>
        <v>28.046050999999999</v>
      </c>
      <c r="L67" s="50">
        <f>'C - B1'!K67</f>
        <v>25.107309000000001</v>
      </c>
      <c r="M67" s="50">
        <f>'C - B1'!L67</f>
        <v>33.817238000000003</v>
      </c>
      <c r="N67" s="50">
        <f>'C - B1'!M67</f>
        <v>29.449345000000001</v>
      </c>
      <c r="O67" s="50">
        <f>'C - B1'!N67</f>
        <v>28.963456999999998</v>
      </c>
      <c r="P67" s="50">
        <f>'C - B1'!O67</f>
        <v>30.389935000000001</v>
      </c>
      <c r="Q67" s="50">
        <f>'C - B1'!P67</f>
        <v>23.673421999999999</v>
      </c>
      <c r="R67" s="50">
        <f>'C - B1'!Q67</f>
        <v>23.943943000000001</v>
      </c>
      <c r="S67" s="50">
        <f>'C - B1'!R67</f>
        <v>23.177441000000002</v>
      </c>
      <c r="T67" s="50">
        <f>'C - B1'!S67</f>
        <v>25.577369999999998</v>
      </c>
      <c r="U67" s="50">
        <f>'C - B1'!T67</f>
        <v>28.477927999999999</v>
      </c>
      <c r="V67" s="50">
        <f>'C - B1'!U67</f>
        <v>91.647552000000005</v>
      </c>
      <c r="W67" s="50">
        <f>'C - B1'!V67</f>
        <v>25.644428000000001</v>
      </c>
      <c r="X67" s="50">
        <f>'C - B1'!W67</f>
        <v>28.865190999999999</v>
      </c>
      <c r="Y67" s="50">
        <f>'C - B1'!X67</f>
        <v>26.503592000000001</v>
      </c>
      <c r="Z67" s="50">
        <f>'C - B1'!Y67</f>
        <v>24.899422000000001</v>
      </c>
      <c r="AA67" s="50">
        <f>'C - B1'!Z67</f>
        <v>23.137684</v>
      </c>
      <c r="AB67" s="50"/>
      <c r="AC67" s="50"/>
      <c r="AD67" s="50"/>
      <c r="AE67" s="50"/>
    </row>
    <row r="68" spans="1:31" ht="13.15" x14ac:dyDescent="0.4">
      <c r="A68" s="8"/>
      <c r="B68" s="50">
        <f>'C - B1'!A68</f>
        <v>19</v>
      </c>
      <c r="C68" s="50">
        <f>'C - B1'!B68</f>
        <v>21.486281999999999</v>
      </c>
      <c r="D68" s="50">
        <f>'C - B1'!C68</f>
        <v>23.670003999999999</v>
      </c>
      <c r="E68" s="50">
        <f>'C - B1'!D68</f>
        <v>22.09985</v>
      </c>
      <c r="F68" s="50">
        <f>'C - B1'!E68</f>
        <v>24.696504999999998</v>
      </c>
      <c r="G68" s="50">
        <f>'C - B1'!F68</f>
        <v>25.308375999999999</v>
      </c>
      <c r="H68" s="50">
        <f>'C - B1'!G68</f>
        <v>20.859009</v>
      </c>
      <c r="I68" s="50">
        <f>'C - B1'!H68</f>
        <v>19.310568</v>
      </c>
      <c r="J68" s="50">
        <f>'C - B1'!I68</f>
        <v>19.239038000000001</v>
      </c>
      <c r="K68" s="50">
        <f>'C - B1'!J68</f>
        <v>20.526457000000001</v>
      </c>
      <c r="L68" s="50">
        <f>'C - B1'!K68</f>
        <v>16.772089000000001</v>
      </c>
      <c r="M68" s="50">
        <f>'C - B1'!L68</f>
        <v>24.565351</v>
      </c>
      <c r="N68" s="50">
        <f>'C - B1'!M68</f>
        <v>20.919188999999999</v>
      </c>
      <c r="O68" s="50">
        <f>'C - B1'!N68</f>
        <v>20.366529</v>
      </c>
      <c r="P68" s="50">
        <f>'C - B1'!O68</f>
        <v>22.258848</v>
      </c>
      <c r="Q68" s="50">
        <f>'C - B1'!P68</f>
        <v>17.069248000000002</v>
      </c>
      <c r="R68" s="50">
        <f>'C - B1'!Q68</f>
        <v>17.346056000000001</v>
      </c>
      <c r="S68" s="50">
        <f>'C - B1'!R68</f>
        <v>14.943350000000001</v>
      </c>
      <c r="T68" s="50">
        <f>'C - B1'!S68</f>
        <v>17.597231000000001</v>
      </c>
      <c r="U68" s="50">
        <f>'C - B1'!T68</f>
        <v>19.934549000000001</v>
      </c>
      <c r="V68" s="50">
        <f>'C - B1'!U68</f>
        <v>82.306976000000006</v>
      </c>
      <c r="W68" s="50">
        <f>'C - B1'!V68</f>
        <v>17.450980999999999</v>
      </c>
      <c r="X68" s="50">
        <f>'C - B1'!W68</f>
        <v>20.022684000000002</v>
      </c>
      <c r="Y68" s="50">
        <f>'C - B1'!X68</f>
        <v>18.624146</v>
      </c>
      <c r="Z68" s="50">
        <f>'C - B1'!Y68</f>
        <v>16.667368</v>
      </c>
      <c r="AA68" s="50">
        <f>'C - B1'!Z68</f>
        <v>15.729566</v>
      </c>
      <c r="AB68" s="50"/>
      <c r="AC68" s="50"/>
      <c r="AD68" s="50"/>
      <c r="AE68" s="50"/>
    </row>
    <row r="69" spans="1:31" ht="13.15" x14ac:dyDescent="0.4">
      <c r="A69" s="8"/>
      <c r="B69" s="50">
        <f>'C - B1'!A69</f>
        <v>20</v>
      </c>
      <c r="C69" s="50">
        <f>'C - B1'!B69</f>
        <v>18.720721999999999</v>
      </c>
      <c r="D69" s="50">
        <f>'C - B1'!C69</f>
        <v>20.216013</v>
      </c>
      <c r="E69" s="50">
        <f>'C - B1'!D69</f>
        <v>18.825797999999999</v>
      </c>
      <c r="F69" s="50">
        <f>'C - B1'!E69</f>
        <v>21.139395</v>
      </c>
      <c r="G69" s="50">
        <f>'C - B1'!F69</f>
        <v>21.242773</v>
      </c>
      <c r="H69" s="50">
        <f>'C - B1'!G69</f>
        <v>18.091996999999999</v>
      </c>
      <c r="I69" s="50">
        <f>'C - B1'!H69</f>
        <v>16.159894999999999</v>
      </c>
      <c r="J69" s="50">
        <f>'C - B1'!I69</f>
        <v>15.554967</v>
      </c>
      <c r="K69" s="50">
        <f>'C - B1'!J69</f>
        <v>16.156963000000001</v>
      </c>
      <c r="L69" s="50">
        <f>'C - B1'!K69</f>
        <v>13.62097</v>
      </c>
      <c r="M69" s="50">
        <f>'C - B1'!L69</f>
        <v>19.673549999999999</v>
      </c>
      <c r="N69" s="50">
        <f>'C - B1'!M69</f>
        <v>18.482002000000001</v>
      </c>
      <c r="O69" s="50">
        <f>'C - B1'!N69</f>
        <v>17.705576000000001</v>
      </c>
      <c r="P69" s="50">
        <f>'C - B1'!O69</f>
        <v>17.888390000000001</v>
      </c>
      <c r="Q69" s="50">
        <f>'C - B1'!P69</f>
        <v>14.833989000000001</v>
      </c>
      <c r="R69" s="50">
        <f>'C - B1'!Q69</f>
        <v>14.047112</v>
      </c>
      <c r="S69" s="50">
        <f>'C - B1'!R69</f>
        <v>11.080443000000001</v>
      </c>
      <c r="T69" s="50">
        <f>'C - B1'!S69</f>
        <v>13.811780000000001</v>
      </c>
      <c r="U69" s="50">
        <f>'C - B1'!T69</f>
        <v>15.967980000000001</v>
      </c>
      <c r="V69" s="50">
        <f>'C - B1'!U69</f>
        <v>76.592735000000005</v>
      </c>
      <c r="W69" s="50">
        <f>'C - B1'!V69</f>
        <v>15.003587</v>
      </c>
      <c r="X69" s="50">
        <f>'C - B1'!W69</f>
        <v>16.871905999999999</v>
      </c>
      <c r="Y69" s="50">
        <f>'C - B1'!X69</f>
        <v>15.656561999999999</v>
      </c>
      <c r="Z69" s="50">
        <f>'C - B1'!Y69</f>
        <v>12.602156000000001</v>
      </c>
      <c r="AA69" s="50">
        <f>'C - B1'!Z69</f>
        <v>13.192539</v>
      </c>
      <c r="AB69" s="50"/>
      <c r="AC69" s="50"/>
      <c r="AD69" s="50"/>
      <c r="AE69" s="50"/>
    </row>
    <row r="70" spans="1:31" ht="13.15" x14ac:dyDescent="0.4">
      <c r="A70" s="8"/>
      <c r="B70" s="50">
        <f>'C - B1'!A70</f>
        <v>21</v>
      </c>
      <c r="C70" s="50">
        <f>'C - B1'!B70</f>
        <v>16.38063</v>
      </c>
      <c r="D70" s="50">
        <f>'C - B1'!C70</f>
        <v>18.082664000000001</v>
      </c>
      <c r="E70" s="50">
        <f>'C - B1'!D70</f>
        <v>17.495714</v>
      </c>
      <c r="F70" s="50">
        <f>'C - B1'!E70</f>
        <v>19.208393000000001</v>
      </c>
      <c r="G70" s="50">
        <f>'C - B1'!F70</f>
        <v>18.600131999999999</v>
      </c>
      <c r="H70" s="50">
        <f>'C - B1'!G70</f>
        <v>15.537832999999999</v>
      </c>
      <c r="I70" s="50">
        <f>'C - B1'!H70</f>
        <v>13.822301</v>
      </c>
      <c r="J70" s="50">
        <f>'C - B1'!I70</f>
        <v>14.019938</v>
      </c>
      <c r="K70" s="50">
        <f>'C - B1'!J70</f>
        <v>14.937571</v>
      </c>
      <c r="L70" s="50">
        <f>'C - B1'!K70</f>
        <v>12.197884</v>
      </c>
      <c r="M70" s="50">
        <f>'C - B1'!L70</f>
        <v>17.227650000000001</v>
      </c>
      <c r="N70" s="50">
        <f>'C - B1'!M70</f>
        <v>17.060310000000001</v>
      </c>
      <c r="O70" s="50">
        <f>'C - B1'!N70</f>
        <v>15.965722</v>
      </c>
      <c r="P70" s="50">
        <f>'C - B1'!O70</f>
        <v>15.245786000000001</v>
      </c>
      <c r="Q70" s="50">
        <f>'C - B1'!P70</f>
        <v>13.513154999999999</v>
      </c>
      <c r="R70" s="50">
        <f>'C - B1'!Q70</f>
        <v>12.876519999999999</v>
      </c>
      <c r="S70" s="50">
        <f>'C - B1'!R70</f>
        <v>9.6572680000000002</v>
      </c>
      <c r="T70" s="50">
        <f>'C - B1'!S70</f>
        <v>12.686375999999999</v>
      </c>
      <c r="U70" s="50">
        <f>'C - B1'!T70</f>
        <v>14.645790999999999</v>
      </c>
      <c r="V70" s="50">
        <f>'C - B1'!U70</f>
        <v>74.394951000000006</v>
      </c>
      <c r="W70" s="50">
        <f>'C - B1'!V70</f>
        <v>12.875419000000001</v>
      </c>
      <c r="X70" s="50">
        <f>'C - B1'!W70</f>
        <v>14.839147000000001</v>
      </c>
      <c r="Y70" s="50">
        <f>'C - B1'!X70</f>
        <v>14.121605000000001</v>
      </c>
      <c r="Z70" s="50">
        <f>'C - B1'!Y70</f>
        <v>10.976070999999999</v>
      </c>
      <c r="AA70" s="50">
        <f>'C - B1'!Z70</f>
        <v>11.873284999999999</v>
      </c>
      <c r="AB70" s="50"/>
      <c r="AC70" s="50"/>
      <c r="AD70" s="50"/>
      <c r="AE70" s="50"/>
    </row>
    <row r="71" spans="1:31" ht="13.15" x14ac:dyDescent="0.4">
      <c r="A71" s="8"/>
      <c r="B71" s="50">
        <f>'C - B1'!A71</f>
        <v>22</v>
      </c>
      <c r="C71" s="50">
        <f>'C - B1'!B71</f>
        <v>13.615069999999999</v>
      </c>
      <c r="D71" s="50">
        <f>'C - B1'!C71</f>
        <v>15.339788</v>
      </c>
      <c r="E71" s="50">
        <f>'C - B1'!D71</f>
        <v>15.551746</v>
      </c>
      <c r="F71" s="50">
        <f>'C - B1'!E71</f>
        <v>16.565968000000002</v>
      </c>
      <c r="G71" s="50">
        <f>'C - B1'!F71</f>
        <v>16.364049999999999</v>
      </c>
      <c r="H71" s="50">
        <f>'C - B1'!G71</f>
        <v>13.090093</v>
      </c>
      <c r="I71" s="50">
        <f>'C - B1'!H71</f>
        <v>11.687975</v>
      </c>
      <c r="J71" s="50">
        <f>'C - B1'!I71</f>
        <v>11.768560000000001</v>
      </c>
      <c r="K71" s="50">
        <f>'C - B1'!J71</f>
        <v>12.498784000000001</v>
      </c>
      <c r="L71" s="50">
        <f>'C - B1'!K71</f>
        <v>10.368200999999999</v>
      </c>
      <c r="M71" s="50">
        <f>'C - B1'!L71</f>
        <v>14.781749</v>
      </c>
      <c r="N71" s="50">
        <f>'C - B1'!M71</f>
        <v>15.029320999999999</v>
      </c>
      <c r="O71" s="50">
        <f>'C - B1'!N71</f>
        <v>13.611801</v>
      </c>
      <c r="P71" s="50">
        <f>'C - B1'!O71</f>
        <v>14.026123</v>
      </c>
      <c r="Q71" s="50">
        <f>'C - B1'!P71</f>
        <v>11.481101000000001</v>
      </c>
      <c r="R71" s="50">
        <f>'C - B1'!Q71</f>
        <v>10.961004000000001</v>
      </c>
      <c r="S71" s="50">
        <f>'C - B1'!R71</f>
        <v>8.5390569999999997</v>
      </c>
      <c r="T71" s="50">
        <f>'C - B1'!S71</f>
        <v>10.947113999999999</v>
      </c>
      <c r="U71" s="50">
        <f>'C - B1'!T71</f>
        <v>13.018481</v>
      </c>
      <c r="V71" s="50">
        <f>'C - B1'!U71</f>
        <v>70.768615999999994</v>
      </c>
      <c r="W71" s="50">
        <f>'C - B1'!V71</f>
        <v>11.066476</v>
      </c>
      <c r="X71" s="50">
        <f>'C - B1'!W71</f>
        <v>12.501473000000001</v>
      </c>
      <c r="Y71" s="50">
        <f>'C - B1'!X71</f>
        <v>12.381987000000001</v>
      </c>
      <c r="Z71" s="50">
        <f>'C - B1'!Y71</f>
        <v>9.7565080000000002</v>
      </c>
      <c r="AA71" s="50">
        <f>'C - B1'!Z71</f>
        <v>10.554031</v>
      </c>
      <c r="AB71" s="50"/>
      <c r="AC71" s="50"/>
      <c r="AD71" s="50"/>
      <c r="AE71" s="50"/>
    </row>
    <row r="72" spans="1:31" ht="13.15" x14ac:dyDescent="0.4">
      <c r="A72" s="8"/>
      <c r="B72" s="50">
        <f>'C - B1'!A72</f>
        <v>23</v>
      </c>
      <c r="C72" s="50">
        <f>'C - B1'!B72</f>
        <v>11.381347999999999</v>
      </c>
      <c r="D72" s="50">
        <f>'C - B1'!C72</f>
        <v>11.885795999999999</v>
      </c>
      <c r="E72" s="50">
        <f>'C - B1'!D72</f>
        <v>13.096208000000001</v>
      </c>
      <c r="F72" s="50">
        <f>'C - B1'!E72</f>
        <v>12.907227000000001</v>
      </c>
      <c r="G72" s="50">
        <f>'C - B1'!F72</f>
        <v>13.721408</v>
      </c>
      <c r="H72" s="50">
        <f>'C - B1'!G72</f>
        <v>10.855199000000001</v>
      </c>
      <c r="I72" s="50">
        <f>'C - B1'!H72</f>
        <v>9.4520149999999994</v>
      </c>
      <c r="J72" s="50">
        <f>'C - B1'!I72</f>
        <v>9.9265249999999998</v>
      </c>
      <c r="K72" s="50">
        <f>'C - B1'!J72</f>
        <v>10.466461000000001</v>
      </c>
      <c r="L72" s="50">
        <f>'C - B1'!K72</f>
        <v>8.7418169999999993</v>
      </c>
      <c r="M72" s="50">
        <f>'C - B1'!L72</f>
        <v>12.016817</v>
      </c>
      <c r="N72" s="50">
        <f>'C - B1'!M72</f>
        <v>12.084386</v>
      </c>
      <c r="O72" s="50">
        <f>'C - B1'!N72</f>
        <v>11.155537000000001</v>
      </c>
      <c r="P72" s="50">
        <f>'C - B1'!O72</f>
        <v>11.485158999999999</v>
      </c>
      <c r="Q72" s="50">
        <f>'C - B1'!P72</f>
        <v>9.7538560000000007</v>
      </c>
      <c r="R72" s="50">
        <f>'C - B1'!Q72</f>
        <v>9.0454889999999999</v>
      </c>
      <c r="S72" s="50">
        <f>'C - B1'!R72</f>
        <v>6.9125699999999997</v>
      </c>
      <c r="T72" s="50">
        <f>'C - B1'!S72</f>
        <v>8.4916870000000007</v>
      </c>
      <c r="U72" s="50">
        <f>'C - B1'!T72</f>
        <v>11.492877999999999</v>
      </c>
      <c r="V72" s="50">
        <f>'C - B1'!U72</f>
        <v>67.471939000000006</v>
      </c>
      <c r="W72" s="50">
        <f>'C - B1'!V72</f>
        <v>9.1511239999999994</v>
      </c>
      <c r="X72" s="50">
        <f>'C - B1'!W72</f>
        <v>10.468712999999999</v>
      </c>
      <c r="Y72" s="50">
        <f>'C - B1'!X72</f>
        <v>10.540037999999999</v>
      </c>
      <c r="Z72" s="50">
        <f>'C - B1'!Y72</f>
        <v>8.3336839999999999</v>
      </c>
      <c r="AA72" s="50">
        <f>'C - B1'!Z72</f>
        <v>8.1184849999999997</v>
      </c>
      <c r="AB72" s="50"/>
      <c r="AC72" s="50"/>
      <c r="AD72" s="50"/>
      <c r="AE72" s="50"/>
    </row>
    <row r="73" spans="1:31" ht="13.15" x14ac:dyDescent="0.4">
      <c r="A73" s="8"/>
      <c r="B73" s="50">
        <f>'C - B1'!A73</f>
        <v>24</v>
      </c>
      <c r="C73" s="50">
        <f>'C - B1'!B73</f>
        <v>9.5730959999999996</v>
      </c>
      <c r="D73" s="50">
        <f>'C - B1'!C73</f>
        <v>9.9556240000000003</v>
      </c>
      <c r="E73" s="50">
        <f>'C - B1'!D73</f>
        <v>10.742983000000001</v>
      </c>
      <c r="F73" s="50">
        <f>'C - B1'!E73</f>
        <v>11.281119</v>
      </c>
      <c r="G73" s="50">
        <f>'C - B1'!F73</f>
        <v>11.790247000000001</v>
      </c>
      <c r="H73" s="50">
        <f>'C - B1'!G73</f>
        <v>8.1946110000000001</v>
      </c>
      <c r="I73" s="50">
        <f>'C - B1'!H73</f>
        <v>8.2324000000000002</v>
      </c>
      <c r="J73" s="50">
        <f>'C - B1'!I73</f>
        <v>8.4938310000000001</v>
      </c>
      <c r="K73" s="50">
        <f>'C - B1'!J73</f>
        <v>9.0438360000000007</v>
      </c>
      <c r="L73" s="50">
        <f>'C - B1'!K73</f>
        <v>7.7253259999999999</v>
      </c>
      <c r="M73" s="50">
        <f>'C - B1'!L73</f>
        <v>10.421664</v>
      </c>
      <c r="N73" s="50">
        <f>'C - B1'!M73</f>
        <v>10.459595</v>
      </c>
      <c r="O73" s="50">
        <f>'C - B1'!N73</f>
        <v>9.8250600000000006</v>
      </c>
      <c r="P73" s="50">
        <f>'C - B1'!O73</f>
        <v>9.8589420000000008</v>
      </c>
      <c r="Q73" s="50">
        <f>'C - B1'!P73</f>
        <v>7.7218030000000004</v>
      </c>
      <c r="R73" s="50">
        <f>'C - B1'!Q73</f>
        <v>8.3005669999999991</v>
      </c>
      <c r="S73" s="50">
        <f>'C - B1'!R73</f>
        <v>5.4893939999999999</v>
      </c>
      <c r="T73" s="50">
        <f>'C - B1'!S73</f>
        <v>6.5478069999999997</v>
      </c>
      <c r="U73" s="50">
        <f>'C - B1'!T73</f>
        <v>9.6621539999999992</v>
      </c>
      <c r="V73" s="50">
        <f>'C - B1'!U73</f>
        <v>64.175262000000004</v>
      </c>
      <c r="W73" s="50">
        <f>'C - B1'!V73</f>
        <v>7.5549970000000002</v>
      </c>
      <c r="X73" s="50">
        <f>'C - B1'!W73</f>
        <v>8.8425049999999992</v>
      </c>
      <c r="Y73" s="50">
        <f>'C - B1'!X73</f>
        <v>8.5957589999999993</v>
      </c>
      <c r="Z73" s="50">
        <f>'C - B1'!Y73</f>
        <v>6.605969</v>
      </c>
      <c r="AA73" s="50">
        <f>'C - B1'!Z73</f>
        <v>6.7992319999999999</v>
      </c>
      <c r="AB73" s="50"/>
      <c r="AC73" s="50"/>
      <c r="AD73" s="50"/>
      <c r="AE73" s="50"/>
    </row>
    <row r="74" spans="1:31" ht="13.15" x14ac:dyDescent="0.4">
      <c r="A74" s="8"/>
      <c r="B74" s="50">
        <f>'C - B1'!A74</f>
        <v>25</v>
      </c>
      <c r="C74" s="50">
        <f>'C - B1'!B74</f>
        <v>7.9775799999999997</v>
      </c>
      <c r="D74" s="50">
        <f>'C - B1'!C74</f>
        <v>8.8381559999999997</v>
      </c>
      <c r="E74" s="50">
        <f>'C - B1'!D74</f>
        <v>8.9013290000000005</v>
      </c>
      <c r="F74" s="50">
        <f>'C - B1'!E74</f>
        <v>9.5533809999999999</v>
      </c>
      <c r="G74" s="50">
        <f>'C - B1'!F74</f>
        <v>10.062366000000001</v>
      </c>
      <c r="H74" s="50">
        <f>'C - B1'!G74</f>
        <v>6.2789869999999999</v>
      </c>
      <c r="I74" s="50">
        <f>'C - B1'!H74</f>
        <v>7.012785</v>
      </c>
      <c r="J74" s="50">
        <f>'C - B1'!I74</f>
        <v>7.2658069999999997</v>
      </c>
      <c r="K74" s="50">
        <f>'C - B1'!J74</f>
        <v>7.8244420000000003</v>
      </c>
      <c r="L74" s="50">
        <f>'C - B1'!K74</f>
        <v>6.6071869999999997</v>
      </c>
      <c r="M74" s="50">
        <f>'C - B1'!L74</f>
        <v>9.1455420000000007</v>
      </c>
      <c r="N74" s="50">
        <f>'C - B1'!M74</f>
        <v>9.0379020000000008</v>
      </c>
      <c r="O74" s="50">
        <f>'C - B1'!N74</f>
        <v>8.4945830000000004</v>
      </c>
      <c r="P74" s="50">
        <f>'C - B1'!O74</f>
        <v>8.3343629999999997</v>
      </c>
      <c r="Q74" s="50">
        <f>'C - B1'!P74</f>
        <v>6.6041730000000003</v>
      </c>
      <c r="R74" s="50">
        <f>'C - B1'!Q74</f>
        <v>6.9171389999999997</v>
      </c>
      <c r="S74" s="50">
        <f>'C - B1'!R74</f>
        <v>4.9811170000000002</v>
      </c>
      <c r="T74" s="50">
        <f>'C - B1'!S74</f>
        <v>5.2177829999999998</v>
      </c>
      <c r="U74" s="50">
        <f>'C - B1'!T74</f>
        <v>8.1365510000000008</v>
      </c>
      <c r="V74" s="50">
        <f>'C - B1'!U74</f>
        <v>62.856594000000001</v>
      </c>
      <c r="W74" s="50">
        <f>'C - B1'!V74</f>
        <v>6.3845049999999999</v>
      </c>
      <c r="X74" s="50">
        <f>'C - B1'!W74</f>
        <v>6.8097450000000004</v>
      </c>
      <c r="Y74" s="50">
        <f>'C - B1'!X74</f>
        <v>6.7538109999999998</v>
      </c>
      <c r="Z74" s="50">
        <f>'C - B1'!Y74</f>
        <v>5.3864049999999999</v>
      </c>
      <c r="AA74" s="50">
        <f>'C - B1'!Z74</f>
        <v>5.3784970000000003</v>
      </c>
      <c r="AB74" s="50"/>
      <c r="AC74" s="50"/>
      <c r="AD74" s="50"/>
      <c r="AE74" s="50"/>
    </row>
    <row r="75" spans="1:31" ht="13.15" x14ac:dyDescent="0.4">
      <c r="A75" s="8"/>
      <c r="B75" s="50">
        <f>'C - B1'!A75</f>
        <v>26</v>
      </c>
      <c r="C75" s="50">
        <f>'C - B1'!B75</f>
        <v>6.9139030000000004</v>
      </c>
      <c r="D75" s="50">
        <f>'C - B1'!C75</f>
        <v>7.923864</v>
      </c>
      <c r="E75" s="50">
        <f>'C - B1'!D75</f>
        <v>7.7758729999999998</v>
      </c>
      <c r="F75" s="50">
        <f>'C - B1'!E75</f>
        <v>8.5370640000000009</v>
      </c>
      <c r="G75" s="50">
        <f>'C - B1'!F75</f>
        <v>8.5377659999999995</v>
      </c>
      <c r="H75" s="50">
        <f>'C - B1'!G75</f>
        <v>5.4275989999999998</v>
      </c>
      <c r="I75" s="50">
        <f>'C - B1'!H75</f>
        <v>6.1997080000000002</v>
      </c>
      <c r="J75" s="50">
        <f>'C - B1'!I75</f>
        <v>5.9354480000000001</v>
      </c>
      <c r="K75" s="50">
        <f>'C - B1'!J75</f>
        <v>6.8082799999999999</v>
      </c>
      <c r="L75" s="50">
        <f>'C - B1'!K75</f>
        <v>4.9808029999999999</v>
      </c>
      <c r="M75" s="50">
        <f>'C - B1'!L75</f>
        <v>7.3377030000000003</v>
      </c>
      <c r="N75" s="50">
        <f>'C - B1'!M75</f>
        <v>7.1084620000000003</v>
      </c>
      <c r="O75" s="50">
        <f>'C - B1'!N75</f>
        <v>7.3687940000000003</v>
      </c>
      <c r="P75" s="50">
        <f>'C - B1'!O75</f>
        <v>7.521255</v>
      </c>
      <c r="Q75" s="50">
        <f>'C - B1'!P75</f>
        <v>5.080133</v>
      </c>
      <c r="R75" s="50">
        <f>'C - B1'!Q75</f>
        <v>5.4272939999999998</v>
      </c>
      <c r="S75" s="50">
        <f>'C - B1'!R75</f>
        <v>4.0662180000000001</v>
      </c>
      <c r="T75" s="50">
        <f>'C - B1'!S75</f>
        <v>4.0923790000000002</v>
      </c>
      <c r="U75" s="50">
        <f>'C - B1'!T75</f>
        <v>7.5263090000000004</v>
      </c>
      <c r="V75" s="50">
        <f>'C - B1'!U75</f>
        <v>60.658810000000003</v>
      </c>
      <c r="W75" s="50">
        <f>'C - B1'!V75</f>
        <v>5.7460550000000001</v>
      </c>
      <c r="X75" s="50">
        <f>'C - B1'!W75</f>
        <v>5.3868140000000002</v>
      </c>
      <c r="Y75" s="50">
        <f>'C - B1'!X75</f>
        <v>5.3211839999999997</v>
      </c>
      <c r="Z75" s="50">
        <f>'C - B1'!Y75</f>
        <v>4.3701020000000002</v>
      </c>
      <c r="AA75" s="50">
        <f>'C - B1'!Z75</f>
        <v>4.3636860000000004</v>
      </c>
      <c r="AB75" s="50"/>
      <c r="AC75" s="50"/>
      <c r="AD75" s="50"/>
      <c r="AE75" s="50"/>
    </row>
    <row r="76" spans="1:31" ht="13.15" x14ac:dyDescent="0.4">
      <c r="A76" s="8"/>
      <c r="B76" s="50">
        <f>'C - B1'!A76</f>
        <v>27</v>
      </c>
      <c r="C76" s="50">
        <f>'C - B1'!B76</f>
        <v>5.9565929999999998</v>
      </c>
      <c r="D76" s="50">
        <f>'C - B1'!C76</f>
        <v>6.6032200000000003</v>
      </c>
      <c r="E76" s="50">
        <f>'C - B1'!D76</f>
        <v>6.8550459999999998</v>
      </c>
      <c r="F76" s="50">
        <f>'C - B1'!E76</f>
        <v>7.3174830000000002</v>
      </c>
      <c r="G76" s="50">
        <f>'C - B1'!F76</f>
        <v>7.3180839999999998</v>
      </c>
      <c r="H76" s="50">
        <f>'C - B1'!G76</f>
        <v>4.3633639999999998</v>
      </c>
      <c r="I76" s="50">
        <f>'C - B1'!H76</f>
        <v>4.8784590000000003</v>
      </c>
      <c r="J76" s="50">
        <f>'C - B1'!I76</f>
        <v>5.2191010000000002</v>
      </c>
      <c r="K76" s="50">
        <f>'C - B1'!J76</f>
        <v>5.5888869999999997</v>
      </c>
      <c r="L76" s="50">
        <f>'C - B1'!K76</f>
        <v>3.862663</v>
      </c>
      <c r="M76" s="50">
        <f>'C - B1'!L76</f>
        <v>6.2742680000000002</v>
      </c>
      <c r="N76" s="50">
        <f>'C - B1'!M76</f>
        <v>5.9914180000000004</v>
      </c>
      <c r="O76" s="50">
        <f>'C - B1'!N76</f>
        <v>6.6523839999999996</v>
      </c>
      <c r="P76" s="50">
        <f>'C - B1'!O76</f>
        <v>6.5048690000000002</v>
      </c>
      <c r="Q76" s="50">
        <f>'C - B1'!P76</f>
        <v>3.962504</v>
      </c>
      <c r="R76" s="50">
        <f>'C - B1'!Q76</f>
        <v>4.3631180000000001</v>
      </c>
      <c r="S76" s="50">
        <f>'C - B1'!R76</f>
        <v>3.5579399999999999</v>
      </c>
      <c r="T76" s="50">
        <f>'C - B1'!S76</f>
        <v>3.580832</v>
      </c>
      <c r="U76" s="50">
        <f>'C - B1'!T76</f>
        <v>6.7126539999999997</v>
      </c>
      <c r="V76" s="50">
        <f>'C - B1'!U76</f>
        <v>58.790694999999999</v>
      </c>
      <c r="W76" s="50">
        <f>'C - B1'!V76</f>
        <v>4.6819709999999999</v>
      </c>
      <c r="X76" s="50">
        <f>'C - B1'!W76</f>
        <v>4.4720719999999998</v>
      </c>
      <c r="Y76" s="50">
        <f>'C - B1'!X76</f>
        <v>4.5025409999999999</v>
      </c>
      <c r="Z76" s="50">
        <f>'C - B1'!Y76</f>
        <v>3.3538000000000001</v>
      </c>
      <c r="AA76" s="50">
        <f>'C - B1'!Z76</f>
        <v>3.4503560000000002</v>
      </c>
      <c r="AB76" s="50"/>
      <c r="AC76" s="50"/>
      <c r="AD76" s="50"/>
      <c r="AE76" s="50"/>
    </row>
    <row r="77" spans="1:31" ht="13.15" x14ac:dyDescent="0.4">
      <c r="A77" s="8"/>
      <c r="B77" s="50">
        <f>'C - B1'!A77</f>
        <v>28</v>
      </c>
      <c r="C77" s="50">
        <f>'C - B1'!B77</f>
        <v>5.3183870000000004</v>
      </c>
      <c r="D77" s="50">
        <f>'C - B1'!C77</f>
        <v>5.6889279999999998</v>
      </c>
      <c r="E77" s="50">
        <f>'C - B1'!D77</f>
        <v>5.4226479999999997</v>
      </c>
      <c r="F77" s="50">
        <f>'C - B1'!E77</f>
        <v>6.6060610000000004</v>
      </c>
      <c r="G77" s="50">
        <f>'C - B1'!F77</f>
        <v>6.0984040000000004</v>
      </c>
      <c r="H77" s="50">
        <f>'C - B1'!G77</f>
        <v>3.6183999999999998</v>
      </c>
      <c r="I77" s="50">
        <f>'C - B1'!H77</f>
        <v>3.9637479999999998</v>
      </c>
      <c r="J77" s="50">
        <f>'C - B1'!I77</f>
        <v>4.6050890000000004</v>
      </c>
      <c r="K77" s="50">
        <f>'C - B1'!J77</f>
        <v>4.97919</v>
      </c>
      <c r="L77" s="50">
        <f>'C - B1'!K77</f>
        <v>2.8461729999999998</v>
      </c>
      <c r="M77" s="50">
        <f>'C - B1'!L77</f>
        <v>5.8488939999999996</v>
      </c>
      <c r="N77" s="50">
        <f>'C - B1'!M77</f>
        <v>4.8743740000000004</v>
      </c>
      <c r="O77" s="50">
        <f>'C - B1'!N77</f>
        <v>5.9359739999999999</v>
      </c>
      <c r="P77" s="50">
        <f>'C - B1'!O77</f>
        <v>5.590122</v>
      </c>
      <c r="Q77" s="50">
        <f>'C - B1'!P77</f>
        <v>3.454491</v>
      </c>
      <c r="R77" s="50">
        <f>'C - B1'!Q77</f>
        <v>3.5117780000000001</v>
      </c>
      <c r="S77" s="50">
        <f>'C - B1'!R77</f>
        <v>3.252974</v>
      </c>
      <c r="T77" s="50">
        <f>'C - B1'!S77</f>
        <v>3.2739029999999998</v>
      </c>
      <c r="U77" s="50">
        <f>'C - B1'!T77</f>
        <v>5.7972919999999997</v>
      </c>
      <c r="V77" s="50">
        <f>'C - B1'!U77</f>
        <v>55.494019000000002</v>
      </c>
      <c r="W77" s="50">
        <f>'C - B1'!V77</f>
        <v>3.6178859999999999</v>
      </c>
      <c r="X77" s="50">
        <f>'C - B1'!W77</f>
        <v>3.862244</v>
      </c>
      <c r="Y77" s="50">
        <f>'C - B1'!X77</f>
        <v>3.7862269999999998</v>
      </c>
      <c r="Z77" s="50">
        <f>'C - B1'!Y77</f>
        <v>2.5407570000000002</v>
      </c>
      <c r="AA77" s="50">
        <f>'C - B1'!Z77</f>
        <v>3.044432</v>
      </c>
      <c r="AB77" s="50"/>
      <c r="AC77" s="50"/>
      <c r="AD77" s="50"/>
      <c r="AE77" s="50"/>
    </row>
    <row r="78" spans="1:31" ht="13.15" x14ac:dyDescent="0.4">
      <c r="A78" s="8"/>
      <c r="B78" s="50">
        <f>'C - B1'!A78</f>
        <v>29</v>
      </c>
      <c r="C78" s="50">
        <f>'C - B1'!B78</f>
        <v>3.9356059999999999</v>
      </c>
      <c r="D78" s="50">
        <f>'C - B1'!C78</f>
        <v>4.165108</v>
      </c>
      <c r="E78" s="50">
        <f>'C - B1'!D78</f>
        <v>4.6041359999999996</v>
      </c>
      <c r="F78" s="50">
        <f>'C - B1'!E78</f>
        <v>5.5897439999999996</v>
      </c>
      <c r="G78" s="50">
        <f>'C - B1'!F78</f>
        <v>5.2852829999999997</v>
      </c>
      <c r="H78" s="50">
        <f>'C - B1'!G78</f>
        <v>2.9798580000000001</v>
      </c>
      <c r="I78" s="50">
        <f>'C - B1'!H78</f>
        <v>3.150671</v>
      </c>
      <c r="J78" s="50">
        <f>'C - B1'!I78</f>
        <v>3.5817359999999998</v>
      </c>
      <c r="K78" s="50">
        <f>'C - B1'!J78</f>
        <v>4.2678770000000004</v>
      </c>
      <c r="L78" s="50">
        <f>'C - B1'!K78</f>
        <v>2.1346289999999999</v>
      </c>
      <c r="M78" s="50">
        <f>'C - B1'!L78</f>
        <v>4.9981450000000001</v>
      </c>
      <c r="N78" s="50">
        <f>'C - B1'!M78</f>
        <v>3.8588800000000001</v>
      </c>
      <c r="O78" s="50">
        <f>'C - B1'!N78</f>
        <v>5.219563</v>
      </c>
      <c r="P78" s="50">
        <f>'C - B1'!O78</f>
        <v>4.4720969999999998</v>
      </c>
      <c r="Q78" s="50">
        <f>'C - B1'!P78</f>
        <v>3.0480800000000001</v>
      </c>
      <c r="R78" s="50">
        <f>'C - B1'!Q78</f>
        <v>2.6604380000000001</v>
      </c>
      <c r="S78" s="50">
        <f>'C - B1'!R78</f>
        <v>2.7446969999999999</v>
      </c>
      <c r="T78" s="50">
        <f>'C - B1'!S78</f>
        <v>2.4554269999999998</v>
      </c>
      <c r="U78" s="50">
        <f>'C - B1'!T78</f>
        <v>5.2887579999999996</v>
      </c>
      <c r="V78" s="50">
        <f>'C - B1'!U78</f>
        <v>53.516013999999998</v>
      </c>
      <c r="W78" s="50">
        <f>'C - B1'!V78</f>
        <v>3.0858439999999998</v>
      </c>
      <c r="X78" s="50">
        <f>'C - B1'!W78</f>
        <v>3.04914</v>
      </c>
      <c r="Y78" s="50">
        <f>'C - B1'!X78</f>
        <v>2.967584</v>
      </c>
      <c r="Z78" s="50">
        <f>'C - B1'!Y78</f>
        <v>2.0326059999999999</v>
      </c>
      <c r="AA78" s="50">
        <f>'C - B1'!Z78</f>
        <v>2.6385079999999999</v>
      </c>
      <c r="AB78" s="50"/>
      <c r="AC78" s="50"/>
      <c r="AD78" s="50"/>
      <c r="AE78" s="50"/>
    </row>
    <row r="79" spans="1:31" ht="13.15" x14ac:dyDescent="0.4">
      <c r="A79" s="8"/>
      <c r="B79" s="50">
        <f>'C - B1'!A79</f>
        <v>30</v>
      </c>
      <c r="C79" s="50">
        <f>'C - B1'!B79</f>
        <v>2.7655609999999999</v>
      </c>
      <c r="D79" s="50">
        <f>'C - B1'!C79</f>
        <v>3.758756</v>
      </c>
      <c r="E79" s="50">
        <f>'C - B1'!D79</f>
        <v>3.580994</v>
      </c>
      <c r="F79" s="50">
        <f>'C - B1'!E79</f>
        <v>3.9636369999999999</v>
      </c>
      <c r="G79" s="50">
        <f>'C - B1'!F79</f>
        <v>4.2688829999999998</v>
      </c>
      <c r="H79" s="50">
        <f>'C - B1'!G79</f>
        <v>2.3413170000000001</v>
      </c>
      <c r="I79" s="50">
        <f>'C - B1'!H79</f>
        <v>2.6424989999999999</v>
      </c>
      <c r="J79" s="50">
        <f>'C - B1'!I79</f>
        <v>2.967724</v>
      </c>
      <c r="K79" s="50">
        <f>'C - B1'!J79</f>
        <v>3.4549479999999999</v>
      </c>
      <c r="L79" s="50">
        <f>'C - B1'!K79</f>
        <v>1.6263840000000001</v>
      </c>
      <c r="M79" s="50">
        <f>'C - B1'!L79</f>
        <v>3.7220230000000001</v>
      </c>
      <c r="N79" s="50">
        <f>'C - B1'!M79</f>
        <v>3.4526819999999998</v>
      </c>
      <c r="O79" s="50">
        <f>'C - B1'!N79</f>
        <v>4.4008079999999996</v>
      </c>
      <c r="P79" s="50">
        <f>'C - B1'!O79</f>
        <v>3.7606269999999999</v>
      </c>
      <c r="Q79" s="50">
        <f>'C - B1'!P79</f>
        <v>2.844875</v>
      </c>
      <c r="R79" s="50">
        <f>'C - B1'!Q79</f>
        <v>2.1283500000000002</v>
      </c>
      <c r="S79" s="50">
        <f>'C - B1'!R79</f>
        <v>2.4397310000000001</v>
      </c>
      <c r="T79" s="50">
        <f>'C - B1'!S79</f>
        <v>1.636952</v>
      </c>
      <c r="U79" s="50">
        <f>'C - B1'!T79</f>
        <v>4.6785170000000003</v>
      </c>
      <c r="V79" s="50">
        <f>'C - B1'!U79</f>
        <v>51.86768</v>
      </c>
      <c r="W79" s="50">
        <f>'C - B1'!V79</f>
        <v>2.7666189999999999</v>
      </c>
      <c r="X79" s="50">
        <f>'C - B1'!W79</f>
        <v>2.6425879999999999</v>
      </c>
      <c r="Y79" s="50">
        <f>'C - B1'!X79</f>
        <v>2.3536009999999998</v>
      </c>
      <c r="Z79" s="50">
        <f>'C - B1'!Y79</f>
        <v>1.4228240000000001</v>
      </c>
      <c r="AA79" s="50">
        <f>'C - B1'!Z79</f>
        <v>1.826659</v>
      </c>
      <c r="AB79" s="50"/>
      <c r="AC79" s="50"/>
      <c r="AD79" s="50"/>
      <c r="AE79" s="50"/>
    </row>
    <row r="80" spans="1:31" ht="13.15" x14ac:dyDescent="0.4">
      <c r="A80" s="8"/>
      <c r="B80" s="50">
        <f>'C - B1'!A80</f>
        <v>38</v>
      </c>
      <c r="C80" s="50">
        <f>'C - B1'!B80</f>
        <v>0.42547099999999999</v>
      </c>
      <c r="D80" s="50">
        <f>'C - B1'!C80</f>
        <v>0.91429199999999999</v>
      </c>
      <c r="E80" s="50">
        <f>'C - B1'!D80</f>
        <v>0.71619900000000003</v>
      </c>
      <c r="F80" s="50">
        <f>'C - B1'!E80</f>
        <v>0.81305400000000005</v>
      </c>
      <c r="G80" s="50">
        <f>'C - B1'!F80</f>
        <v>0.91476100000000005</v>
      </c>
      <c r="H80" s="50">
        <f>'C - B1'!G80</f>
        <v>0.31927100000000003</v>
      </c>
      <c r="I80" s="50">
        <f>'C - B1'!H80</f>
        <v>0.20326900000000001</v>
      </c>
      <c r="J80" s="50">
        <f>'C - B1'!I80</f>
        <v>0.307006</v>
      </c>
      <c r="K80" s="50">
        <f>'C - B1'!J80</f>
        <v>0.30484800000000001</v>
      </c>
      <c r="L80" s="50">
        <f>'C - B1'!K80</f>
        <v>0</v>
      </c>
      <c r="M80" s="50">
        <f>'C - B1'!L80</f>
        <v>1.276122</v>
      </c>
      <c r="N80" s="50">
        <f>'C - B1'!M80</f>
        <v>0.60929699999999998</v>
      </c>
      <c r="O80" s="50">
        <f>'C - B1'!N80</f>
        <v>0.51172200000000001</v>
      </c>
      <c r="P80" s="50">
        <f>'C - B1'!O80</f>
        <v>0.40655400000000003</v>
      </c>
      <c r="Q80" s="50">
        <f>'C - B1'!P80</f>
        <v>0.40641100000000002</v>
      </c>
      <c r="R80" s="50">
        <f>'C - B1'!Q80</f>
        <v>0.31925300000000001</v>
      </c>
      <c r="S80" s="50">
        <f>'C - B1'!R80</f>
        <v>0</v>
      </c>
      <c r="T80" s="50">
        <f>'C - B1'!S80</f>
        <v>0.30692799999999998</v>
      </c>
      <c r="U80" s="50">
        <f>'C - B1'!T80</f>
        <v>1.3221890000000001</v>
      </c>
      <c r="V80" s="50">
        <f>'C - B1'!U80</f>
        <v>35.164527999999997</v>
      </c>
      <c r="W80" s="50">
        <f>'C - B1'!V80</f>
        <v>0.31922499999999998</v>
      </c>
      <c r="X80" s="50">
        <f>'C - B1'!W80</f>
        <v>0.20327600000000001</v>
      </c>
      <c r="Y80" s="50">
        <f>'C - B1'!X80</f>
        <v>0.20466100000000001</v>
      </c>
      <c r="Z80" s="50">
        <f>'C - B1'!Y80</f>
        <v>0.203261</v>
      </c>
      <c r="AA80" s="50">
        <f>'C - B1'!Z80</f>
        <v>0.30444300000000002</v>
      </c>
      <c r="AB80" s="50"/>
      <c r="AC80" s="50"/>
      <c r="AD80" s="50"/>
      <c r="AE80" s="50"/>
    </row>
    <row r="81" spans="1:31" ht="13.15" x14ac:dyDescent="0.4">
      <c r="A81" s="8"/>
      <c r="B81" s="50">
        <f>'C - B1'!A81</f>
        <v>50</v>
      </c>
      <c r="C81" s="50">
        <f>'C - B1'!B81</f>
        <v>0</v>
      </c>
      <c r="D81" s="50">
        <f>'C - B1'!C81</f>
        <v>0.30476399999999998</v>
      </c>
      <c r="E81" s="50">
        <f>'C - B1'!D81</f>
        <v>0.30694199999999999</v>
      </c>
      <c r="F81" s="50">
        <f>'C - B1'!E81</f>
        <v>0</v>
      </c>
      <c r="G81" s="50">
        <f>'C - B1'!F81</f>
        <v>0.50819999999999999</v>
      </c>
      <c r="H81" s="50">
        <f>'C - B1'!G81</f>
        <v>0.21284700000000001</v>
      </c>
      <c r="I81" s="50">
        <f>'C - B1'!H81</f>
        <v>0</v>
      </c>
      <c r="J81" s="50">
        <f>'C - B1'!I81</f>
        <v>0.102335</v>
      </c>
      <c r="K81" s="50">
        <f>'C - B1'!J81</f>
        <v>0.101616</v>
      </c>
      <c r="L81" s="50">
        <f>'C - B1'!K81</f>
        <v>0</v>
      </c>
      <c r="M81" s="50">
        <f>'C - B1'!L81</f>
        <v>0.21268699999999999</v>
      </c>
      <c r="N81" s="50">
        <f>'C - B1'!M81</f>
        <v>0.30464799999999997</v>
      </c>
      <c r="O81" s="50">
        <f>'C - B1'!N81</f>
        <v>0.20468900000000001</v>
      </c>
      <c r="P81" s="50">
        <f>'C - B1'!O81</f>
        <v>0</v>
      </c>
      <c r="Q81" s="50">
        <f>'C - B1'!P81</f>
        <v>0.101603</v>
      </c>
      <c r="R81" s="50">
        <f>'C - B1'!Q81</f>
        <v>0.106418</v>
      </c>
      <c r="S81" s="50">
        <f>'C - B1'!R81</f>
        <v>0</v>
      </c>
      <c r="T81" s="50">
        <f>'C - B1'!S81</f>
        <v>0</v>
      </c>
      <c r="U81" s="50">
        <f>'C - B1'!T81</f>
        <v>0.50853400000000004</v>
      </c>
      <c r="V81" s="50">
        <f>'C - B1'!U81</f>
        <v>22.747053000000001</v>
      </c>
      <c r="W81" s="50">
        <f>'C - B1'!V81</f>
        <v>0.106408</v>
      </c>
      <c r="X81" s="50">
        <f>'C - B1'!W81</f>
        <v>0</v>
      </c>
      <c r="Y81" s="50">
        <f>'C - B1'!X81</f>
        <v>0</v>
      </c>
      <c r="Z81" s="50">
        <f>'C - B1'!Y81</f>
        <v>0.10163</v>
      </c>
      <c r="AA81" s="50">
        <f>'C - B1'!Z81</f>
        <v>0</v>
      </c>
      <c r="AB81" s="50"/>
      <c r="AC81" s="50"/>
      <c r="AD81" s="50"/>
      <c r="AE81" s="50"/>
    </row>
    <row r="82" spans="1:31" ht="13.15" x14ac:dyDescent="0.4">
      <c r="A82" s="8"/>
      <c r="B82" s="50">
        <f>'C - B1'!A82</f>
        <v>70</v>
      </c>
      <c r="C82" s="50">
        <f>'C - B1'!B82</f>
        <v>0</v>
      </c>
      <c r="D82" s="50">
        <f>'C - B1'!C82</f>
        <v>0</v>
      </c>
      <c r="E82" s="50">
        <f>'C - B1'!D82</f>
        <v>0</v>
      </c>
      <c r="F82" s="50">
        <f>'C - B1'!E82</f>
        <v>0</v>
      </c>
      <c r="G82" s="50">
        <f>'C - B1'!F82</f>
        <v>0.30492000000000002</v>
      </c>
      <c r="H82" s="50">
        <f>'C - B1'!G82</f>
        <v>0.106424</v>
      </c>
      <c r="I82" s="50">
        <f>'C - B1'!H82</f>
        <v>0</v>
      </c>
      <c r="J82" s="50">
        <f>'C - B1'!I82</f>
        <v>0</v>
      </c>
      <c r="K82" s="50">
        <f>'C - B1'!J82</f>
        <v>0.101616</v>
      </c>
      <c r="L82" s="50">
        <f>'C - B1'!K82</f>
        <v>0</v>
      </c>
      <c r="M82" s="50">
        <f>'C - B1'!L82</f>
        <v>0.10634399999999999</v>
      </c>
      <c r="N82" s="50">
        <f>'C - B1'!M82</f>
        <v>0</v>
      </c>
      <c r="O82" s="50">
        <f>'C - B1'!N82</f>
        <v>0</v>
      </c>
      <c r="P82" s="50">
        <f>'C - B1'!O82</f>
        <v>0</v>
      </c>
      <c r="Q82" s="50">
        <f>'C - B1'!P82</f>
        <v>0</v>
      </c>
      <c r="R82" s="50">
        <f>'C - B1'!Q82</f>
        <v>0</v>
      </c>
      <c r="S82" s="50">
        <f>'C - B1'!R82</f>
        <v>0</v>
      </c>
      <c r="T82" s="50">
        <f>'C - B1'!S82</f>
        <v>0</v>
      </c>
      <c r="U82" s="50">
        <f>'C - B1'!T82</f>
        <v>0.20341400000000001</v>
      </c>
      <c r="V82" s="50">
        <f>'C - B1'!U82</f>
        <v>13.955921999999999</v>
      </c>
      <c r="W82" s="50">
        <f>'C - B1'!V82</f>
        <v>0.106408</v>
      </c>
      <c r="X82" s="50">
        <f>'C - B1'!W82</f>
        <v>0</v>
      </c>
      <c r="Y82" s="50">
        <f>'C - B1'!X82</f>
        <v>0</v>
      </c>
      <c r="Z82" s="50">
        <f>'C - B1'!Y82</f>
        <v>0.10163</v>
      </c>
      <c r="AA82" s="50">
        <f>'C - B1'!Z82</f>
        <v>0</v>
      </c>
      <c r="AB82" s="50"/>
      <c r="AC82" s="50"/>
      <c r="AD82" s="50"/>
      <c r="AE82" s="50"/>
    </row>
  </sheetData>
  <mergeCells count="1">
    <mergeCell ref="A2:E2"/>
  </mergeCells>
  <conditionalFormatting sqref="H9:H40">
    <cfRule type="cellIs" dxfId="17" priority="1" operator="greaterThan">
      <formula>1000</formula>
    </cfRule>
  </conditionalFormatting>
  <conditionalFormatting sqref="K9:K40">
    <cfRule type="cellIs" dxfId="16"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39850-9EE8-4305-A176-929A9360DD35}">
  <sheetPr codeName="Sheet26"/>
  <dimension ref="A1:AW82"/>
  <sheetViews>
    <sheetView zoomScale="70" zoomScaleNormal="70" workbookViewId="0"/>
  </sheetViews>
  <sheetFormatPr defaultColWidth="11.53125" defaultRowHeight="12.75" x14ac:dyDescent="0.35"/>
  <cols>
    <col min="2" max="31" width="16.33203125" bestFit="1" customWidth="1"/>
  </cols>
  <sheetData>
    <row r="1" spans="1:49" x14ac:dyDescent="0.35">
      <c r="A1" t="s">
        <v>127</v>
      </c>
    </row>
    <row r="2" spans="1:49" ht="40.15" x14ac:dyDescent="0.4">
      <c r="A2" s="260" t="s">
        <v>353</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V52</f>
        <v>9.3977529999999998</v>
      </c>
      <c r="C8" s="46">
        <f t="shared" ref="C8:F8" si="0">W52</f>
        <v>9.8388399999999994</v>
      </c>
      <c r="D8" s="46">
        <f t="shared" si="0"/>
        <v>9.7722610000000003</v>
      </c>
      <c r="E8" s="46">
        <f t="shared" si="0"/>
        <v>9.8395860000000006</v>
      </c>
      <c r="F8" s="46">
        <f t="shared" si="0"/>
        <v>9.8540539999999996</v>
      </c>
      <c r="G8" s="78">
        <f>AVERAGE(B$8:F$8)*5</f>
        <v>48.702493999999994</v>
      </c>
      <c r="I8" s="79"/>
      <c r="K8" s="79"/>
    </row>
    <row r="9" spans="1:49" ht="13.15" x14ac:dyDescent="0.4">
      <c r="A9" s="68" t="s">
        <v>140</v>
      </c>
      <c r="B9" s="46">
        <f t="shared" ref="B9:E24" si="1">V53</f>
        <v>1852.6770019999999</v>
      </c>
      <c r="C9" s="46">
        <f t="shared" si="1"/>
        <v>1816.169312</v>
      </c>
      <c r="D9" s="46">
        <f t="shared" si="1"/>
        <v>1907.951538</v>
      </c>
      <c r="E9" s="46">
        <f t="shared" si="1"/>
        <v>1826.3979489999999</v>
      </c>
      <c r="F9" s="46"/>
      <c r="G9" s="80">
        <f t="shared" ref="G9:G38" si="2">AVERAGE(B9:F9)</f>
        <v>1850.79895025</v>
      </c>
      <c r="H9" s="81">
        <f t="shared" ref="H9:H38" si="3">G9*G$8</f>
        <v>90138.524769756914</v>
      </c>
      <c r="I9" s="79">
        <f t="shared" ref="I9:I38" si="4">STDEVP(B9:F9)/AVERAGE(B9:F9)</f>
        <v>1.9225687570979384E-2</v>
      </c>
      <c r="J9" s="79">
        <f t="shared" ref="J9:J38" si="5">IF(H9&gt;$A$43, $C$43, IF(H9&gt;$A$44, $C$44, IF(H9&gt;$A$45,$C$45,IF(H9&gt;$A$46,$C$46, IF(H9&gt;$A$47,$C$47,IF(H9&gt;$A$48,$C$48,$C$49))))))/100</f>
        <v>0.11</v>
      </c>
      <c r="K9" s="79">
        <f t="shared" ref="K9:K38" si="6">(MAX(B9:F9)-MIN(B9:F9))/G9</f>
        <v>4.9590597610616967E-2</v>
      </c>
      <c r="L9">
        <f t="shared" ref="L9:L38" si="7">COUNTA(B9:F9)</f>
        <v>4</v>
      </c>
      <c r="P9" s="42"/>
    </row>
    <row r="10" spans="1:49" ht="13.15" x14ac:dyDescent="0.4">
      <c r="A10" s="68" t="s">
        <v>141</v>
      </c>
      <c r="B10" s="46">
        <f t="shared" si="1"/>
        <v>1829.905518</v>
      </c>
      <c r="C10" s="46">
        <f t="shared" si="1"/>
        <v>1793.4023440000001</v>
      </c>
      <c r="D10" s="46">
        <f t="shared" si="1"/>
        <v>1883.1876219999999</v>
      </c>
      <c r="E10" s="46">
        <f t="shared" si="1"/>
        <v>1804.4458010000001</v>
      </c>
      <c r="F10" s="46"/>
      <c r="G10" s="80">
        <f t="shared" si="2"/>
        <v>1827.73532125</v>
      </c>
      <c r="H10" s="81">
        <f t="shared" si="3"/>
        <v>89015.268516766184</v>
      </c>
      <c r="I10" s="79">
        <f t="shared" si="4"/>
        <v>1.8954595633429074E-2</v>
      </c>
      <c r="J10" s="79">
        <f t="shared" si="5"/>
        <v>0.11</v>
      </c>
      <c r="K10" s="79">
        <f t="shared" si="6"/>
        <v>4.9123785570109303E-2</v>
      </c>
      <c r="L10">
        <f t="shared" si="7"/>
        <v>4</v>
      </c>
      <c r="P10" s="42"/>
    </row>
    <row r="11" spans="1:49" ht="13.15" x14ac:dyDescent="0.4">
      <c r="A11" s="68" t="s">
        <v>142</v>
      </c>
      <c r="B11" s="46">
        <f t="shared" si="1"/>
        <v>1818.413452</v>
      </c>
      <c r="C11" s="46">
        <f t="shared" si="1"/>
        <v>1782.4255370000001</v>
      </c>
      <c r="D11" s="46">
        <f t="shared" si="1"/>
        <v>1872.1358640000001</v>
      </c>
      <c r="E11" s="46">
        <f t="shared" si="1"/>
        <v>1792.351807</v>
      </c>
      <c r="F11" s="46"/>
      <c r="G11" s="80">
        <f t="shared" si="2"/>
        <v>1816.3316649999999</v>
      </c>
      <c r="H11" s="81">
        <f t="shared" si="3"/>
        <v>88459.882016672491</v>
      </c>
      <c r="I11" s="79">
        <f t="shared" si="4"/>
        <v>1.9157403147563191E-2</v>
      </c>
      <c r="J11" s="79">
        <f t="shared" si="5"/>
        <v>0.11</v>
      </c>
      <c r="K11" s="79">
        <f t="shared" si="6"/>
        <v>4.9390939291916167E-2</v>
      </c>
      <c r="L11">
        <f t="shared" si="7"/>
        <v>4</v>
      </c>
      <c r="P11" s="42"/>
    </row>
    <row r="12" spans="1:49" ht="13.15" x14ac:dyDescent="0.4">
      <c r="A12" s="68" t="s">
        <v>143</v>
      </c>
      <c r="B12" s="46">
        <f t="shared" si="1"/>
        <v>1811.9224850000001</v>
      </c>
      <c r="C12" s="46">
        <f t="shared" si="1"/>
        <v>1773.3797609999999</v>
      </c>
      <c r="D12" s="46">
        <f t="shared" si="1"/>
        <v>1864.8704829999999</v>
      </c>
      <c r="E12" s="46">
        <f t="shared" si="1"/>
        <v>1784.7294919999999</v>
      </c>
      <c r="F12" s="46"/>
      <c r="G12" s="80">
        <f t="shared" si="2"/>
        <v>1808.7255552500001</v>
      </c>
      <c r="H12" s="81">
        <f t="shared" si="3"/>
        <v>88089.445502209783</v>
      </c>
      <c r="I12" s="79">
        <f t="shared" si="4"/>
        <v>1.9522864998182371E-2</v>
      </c>
      <c r="J12" s="79">
        <f t="shared" si="5"/>
        <v>0.11</v>
      </c>
      <c r="K12" s="79">
        <f t="shared" si="6"/>
        <v>5.058297635837531E-2</v>
      </c>
      <c r="L12">
        <f t="shared" si="7"/>
        <v>4</v>
      </c>
      <c r="P12" s="42"/>
    </row>
    <row r="13" spans="1:49" ht="13.15" x14ac:dyDescent="0.4">
      <c r="A13" s="68" t="s">
        <v>144</v>
      </c>
      <c r="B13" s="46">
        <f t="shared" si="1"/>
        <v>1805.8572999999999</v>
      </c>
      <c r="C13" s="46">
        <f t="shared" si="1"/>
        <v>1771.0419919999999</v>
      </c>
      <c r="D13" s="46">
        <f t="shared" si="1"/>
        <v>1858.6282960000001</v>
      </c>
      <c r="E13" s="46">
        <f t="shared" si="1"/>
        <v>1780.359375</v>
      </c>
      <c r="F13" s="46"/>
      <c r="G13" s="80">
        <f t="shared" si="2"/>
        <v>1803.97174075</v>
      </c>
      <c r="H13" s="81">
        <f t="shared" si="3"/>
        <v>87857.922880046419</v>
      </c>
      <c r="I13" s="79">
        <f t="shared" si="4"/>
        <v>1.8865240954383598E-2</v>
      </c>
      <c r="J13" s="79">
        <f t="shared" si="5"/>
        <v>0.11</v>
      </c>
      <c r="K13" s="79">
        <f t="shared" si="6"/>
        <v>4.8551926852017209E-2</v>
      </c>
      <c r="L13">
        <f t="shared" si="7"/>
        <v>4</v>
      </c>
      <c r="P13" s="42"/>
    </row>
    <row r="14" spans="1:49" ht="13.15" x14ac:dyDescent="0.4">
      <c r="A14" s="68" t="s">
        <v>145</v>
      </c>
      <c r="B14" s="46">
        <f t="shared" si="1"/>
        <v>1802.5585940000001</v>
      </c>
      <c r="C14" s="46">
        <f t="shared" si="1"/>
        <v>1767.7895510000001</v>
      </c>
      <c r="D14" s="46">
        <f t="shared" si="1"/>
        <v>1854.944336</v>
      </c>
      <c r="E14" s="46">
        <f t="shared" si="1"/>
        <v>1776.9039310000001</v>
      </c>
      <c r="F14" s="46"/>
      <c r="G14" s="80">
        <f t="shared" si="2"/>
        <v>1800.5491030000001</v>
      </c>
      <c r="H14" s="81">
        <f t="shared" si="3"/>
        <v>87691.231885562869</v>
      </c>
      <c r="I14" s="79">
        <f t="shared" si="4"/>
        <v>1.8824152836796396E-2</v>
      </c>
      <c r="J14" s="79">
        <f t="shared" si="5"/>
        <v>0.11</v>
      </c>
      <c r="K14" s="79">
        <f t="shared" si="6"/>
        <v>4.8404558839737426E-2</v>
      </c>
      <c r="L14">
        <f t="shared" si="7"/>
        <v>4</v>
      </c>
      <c r="P14" s="42"/>
    </row>
    <row r="15" spans="1:49" ht="13.15" x14ac:dyDescent="0.4">
      <c r="A15" s="68" t="s">
        <v>146</v>
      </c>
      <c r="B15" s="46">
        <f t="shared" si="1"/>
        <v>1796.3869629999999</v>
      </c>
      <c r="C15" s="46">
        <f t="shared" si="1"/>
        <v>1760.8781739999999</v>
      </c>
      <c r="D15" s="46">
        <f t="shared" si="1"/>
        <v>1845.7346190000001</v>
      </c>
      <c r="E15" s="46">
        <f t="shared" si="1"/>
        <v>1771.1110839999999</v>
      </c>
      <c r="F15" s="46"/>
      <c r="G15" s="80">
        <f t="shared" si="2"/>
        <v>1793.5277100000001</v>
      </c>
      <c r="H15" s="81">
        <f t="shared" si="3"/>
        <v>87349.272535108728</v>
      </c>
      <c r="I15" s="79">
        <f t="shared" si="4"/>
        <v>1.8285587876644159E-2</v>
      </c>
      <c r="J15" s="79">
        <f t="shared" si="5"/>
        <v>0.11</v>
      </c>
      <c r="K15" s="79">
        <f t="shared" si="6"/>
        <v>4.7312592120475304E-2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si="1"/>
        <v>1669.7608640000001</v>
      </c>
      <c r="C16" s="46">
        <f t="shared" si="1"/>
        <v>1644.4011230000001</v>
      </c>
      <c r="D16" s="46">
        <f t="shared" si="1"/>
        <v>1686.099121</v>
      </c>
      <c r="E16" s="46">
        <f t="shared" si="1"/>
        <v>1650.5775149999999</v>
      </c>
      <c r="F16" s="46"/>
      <c r="G16" s="80">
        <f t="shared" si="2"/>
        <v>1662.7096557500001</v>
      </c>
      <c r="H16" s="81">
        <f t="shared" si="3"/>
        <v>80978.107032906439</v>
      </c>
      <c r="I16" s="79">
        <f t="shared" si="4"/>
        <v>9.8787067495953451E-3</v>
      </c>
      <c r="J16" s="79">
        <f t="shared" si="5"/>
        <v>0.11</v>
      </c>
      <c r="K16" s="79">
        <f t="shared" si="6"/>
        <v>2.5078339958993688E-2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si="1"/>
        <v>920.21997099999999</v>
      </c>
      <c r="C17" s="46">
        <f t="shared" si="1"/>
        <v>902.03716999999995</v>
      </c>
      <c r="D17" s="46">
        <f t="shared" si="1"/>
        <v>886.07952899999998</v>
      </c>
      <c r="E17" s="46">
        <f t="shared" si="1"/>
        <v>918.02642800000001</v>
      </c>
      <c r="F17" s="46"/>
      <c r="G17" s="80">
        <f t="shared" si="2"/>
        <v>906.59077450000007</v>
      </c>
      <c r="H17" s="81">
        <f t="shared" si="3"/>
        <v>44153.231755541601</v>
      </c>
      <c r="I17" s="79">
        <f t="shared" si="4"/>
        <v>1.518400517007272E-2</v>
      </c>
      <c r="J17" s="79">
        <f t="shared" si="5"/>
        <v>0.11</v>
      </c>
      <c r="K17" s="79">
        <f t="shared" si="6"/>
        <v>3.7658051416670363E-2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si="1"/>
        <v>213.24246199999999</v>
      </c>
      <c r="C18" s="46">
        <f t="shared" si="1"/>
        <v>203.98745700000001</v>
      </c>
      <c r="D18" s="46">
        <f t="shared" si="1"/>
        <v>202.30732699999999</v>
      </c>
      <c r="E18" s="46">
        <f t="shared" si="1"/>
        <v>211.18774400000001</v>
      </c>
      <c r="F18" s="46"/>
      <c r="G18" s="80">
        <f t="shared" si="2"/>
        <v>207.68124749999998</v>
      </c>
      <c r="H18" s="81">
        <f t="shared" si="3"/>
        <v>10114.594710281262</v>
      </c>
      <c r="I18" s="79">
        <f t="shared" si="4"/>
        <v>2.2293537251766294E-2</v>
      </c>
      <c r="J18" s="79">
        <f t="shared" si="5"/>
        <v>0.11</v>
      </c>
      <c r="K18" s="79">
        <f t="shared" si="6"/>
        <v>5.265345394268206E-2</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si="1"/>
        <v>66.611671000000001</v>
      </c>
      <c r="C19" s="46">
        <f t="shared" si="1"/>
        <v>70.638405000000006</v>
      </c>
      <c r="D19" s="46">
        <f t="shared" si="1"/>
        <v>69.584716999999998</v>
      </c>
      <c r="E19" s="46">
        <f t="shared" si="1"/>
        <v>68.600448999999998</v>
      </c>
      <c r="F19" s="46"/>
      <c r="G19" s="80">
        <f t="shared" si="2"/>
        <v>68.858810500000004</v>
      </c>
      <c r="H19" s="81">
        <f t="shared" si="3"/>
        <v>3353.5958052233868</v>
      </c>
      <c r="I19" s="79">
        <f t="shared" si="4"/>
        <v>2.1552885815969369E-2</v>
      </c>
      <c r="J19" s="79">
        <f t="shared" si="5"/>
        <v>0.11900000000000001</v>
      </c>
      <c r="K19" s="79">
        <f t="shared" si="6"/>
        <v>5.8478123144459555E-2</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si="1"/>
        <v>56.290053999999998</v>
      </c>
      <c r="C20" s="46">
        <f t="shared" si="1"/>
        <v>58.645122999999998</v>
      </c>
      <c r="D20" s="46">
        <f t="shared" si="1"/>
        <v>59.249339999999997</v>
      </c>
      <c r="E20" s="46">
        <f t="shared" si="1"/>
        <v>57.827632999999999</v>
      </c>
      <c r="F20" s="46"/>
      <c r="G20" s="80">
        <f t="shared" si="2"/>
        <v>58.003037499999998</v>
      </c>
      <c r="H20" s="81">
        <f t="shared" si="3"/>
        <v>2824.8925858255247</v>
      </c>
      <c r="I20" s="79">
        <f t="shared" si="4"/>
        <v>1.9141244123426372E-2</v>
      </c>
      <c r="J20" s="79">
        <f t="shared" si="5"/>
        <v>0.11900000000000001</v>
      </c>
      <c r="K20" s="79">
        <f t="shared" si="6"/>
        <v>5.1019500487366698E-2</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si="1"/>
        <v>48.415829000000002</v>
      </c>
      <c r="C21" s="46">
        <f t="shared" si="1"/>
        <v>49.904254999999999</v>
      </c>
      <c r="D21" s="46">
        <f t="shared" si="1"/>
        <v>50.960571000000002</v>
      </c>
      <c r="E21" s="46">
        <f t="shared" si="1"/>
        <v>48.579276999999998</v>
      </c>
      <c r="F21" s="46"/>
      <c r="G21" s="80">
        <f t="shared" si="2"/>
        <v>49.464983000000004</v>
      </c>
      <c r="H21" s="81">
        <f t="shared" si="3"/>
        <v>2409.0680377676017</v>
      </c>
      <c r="I21" s="79">
        <f t="shared" si="4"/>
        <v>2.0997116172166069E-2</v>
      </c>
      <c r="J21" s="79">
        <f t="shared" si="5"/>
        <v>0.11900000000000001</v>
      </c>
      <c r="K21" s="79">
        <f t="shared" si="6"/>
        <v>5.1445322441534026E-2</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si="1"/>
        <v>37.349353999999998</v>
      </c>
      <c r="C22" s="46">
        <f t="shared" si="1"/>
        <v>39.333903999999997</v>
      </c>
      <c r="D22" s="46">
        <f t="shared" si="1"/>
        <v>38.169266</v>
      </c>
      <c r="E22" s="46">
        <f t="shared" si="1"/>
        <v>37.501575000000003</v>
      </c>
      <c r="F22" s="46"/>
      <c r="G22" s="80">
        <f t="shared" si="2"/>
        <v>38.088524749999998</v>
      </c>
      <c r="H22" s="81">
        <f t="shared" si="3"/>
        <v>1855.0061481057262</v>
      </c>
      <c r="I22" s="79">
        <f t="shared" si="4"/>
        <v>2.0540667733255819E-2</v>
      </c>
      <c r="J22" s="79">
        <f t="shared" si="5"/>
        <v>0.13400000000000001</v>
      </c>
      <c r="K22" s="79">
        <f t="shared" si="6"/>
        <v>5.2103619476624619E-2</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si="1"/>
        <v>25.644428000000001</v>
      </c>
      <c r="C23" s="46">
        <f t="shared" si="1"/>
        <v>28.865190999999999</v>
      </c>
      <c r="D23" s="46">
        <f t="shared" si="1"/>
        <v>26.503592000000001</v>
      </c>
      <c r="E23" s="46">
        <f t="shared" si="1"/>
        <v>24.899422000000001</v>
      </c>
      <c r="F23" s="46"/>
      <c r="G23" s="80">
        <f t="shared" si="2"/>
        <v>26.47815825</v>
      </c>
      <c r="H23" s="81">
        <f t="shared" si="3"/>
        <v>1289.5523433016754</v>
      </c>
      <c r="I23" s="79">
        <f t="shared" si="4"/>
        <v>5.6290810150852445E-2</v>
      </c>
      <c r="J23" s="79">
        <f t="shared" si="5"/>
        <v>0.13400000000000001</v>
      </c>
      <c r="K23" s="79">
        <f t="shared" si="6"/>
        <v>0.14977510756436385</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si="1"/>
        <v>17.450980999999999</v>
      </c>
      <c r="C24" s="46">
        <f t="shared" si="1"/>
        <v>20.022684000000002</v>
      </c>
      <c r="D24" s="46">
        <f t="shared" si="1"/>
        <v>18.624146</v>
      </c>
      <c r="E24" s="46">
        <f t="shared" si="1"/>
        <v>16.667368</v>
      </c>
      <c r="F24" s="46"/>
      <c r="G24" s="80">
        <f t="shared" si="2"/>
        <v>18.191294749999997</v>
      </c>
      <c r="H24" s="81">
        <f t="shared" si="3"/>
        <v>885.96142341410632</v>
      </c>
      <c r="I24" s="79">
        <f t="shared" si="4"/>
        <v>6.959774319724904E-2</v>
      </c>
      <c r="J24" s="79">
        <f t="shared" si="5"/>
        <v>0.156</v>
      </c>
      <c r="K24" s="79">
        <f t="shared" si="6"/>
        <v>0.18444624454232442</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F38" si="8">V69</f>
        <v>15.003587</v>
      </c>
      <c r="C25" s="46">
        <f t="shared" si="8"/>
        <v>16.871905999999999</v>
      </c>
      <c r="D25" s="46">
        <f t="shared" si="8"/>
        <v>15.656561999999999</v>
      </c>
      <c r="E25" s="46">
        <f t="shared" si="8"/>
        <v>12.602156000000001</v>
      </c>
      <c r="F25" s="46"/>
      <c r="G25" s="80">
        <f t="shared" si="2"/>
        <v>15.03355275</v>
      </c>
      <c r="H25" s="81">
        <f t="shared" si="3"/>
        <v>732.17151260555841</v>
      </c>
      <c r="I25" s="79">
        <f t="shared" si="4"/>
        <v>0.10347898092115917</v>
      </c>
      <c r="J25" s="79">
        <f t="shared" si="5"/>
        <v>0.156</v>
      </c>
      <c r="K25" s="79">
        <f t="shared" si="6"/>
        <v>0.28401470171446985</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si="8"/>
        <v>12.875419000000001</v>
      </c>
      <c r="C26" s="46">
        <f t="shared" si="8"/>
        <v>14.839147000000001</v>
      </c>
      <c r="D26" s="46">
        <f t="shared" si="8"/>
        <v>14.121605000000001</v>
      </c>
      <c r="E26" s="46">
        <f t="shared" si="8"/>
        <v>10.976070999999999</v>
      </c>
      <c r="F26" s="46"/>
      <c r="G26" s="80">
        <f t="shared" si="2"/>
        <v>13.203060499999999</v>
      </c>
      <c r="H26" s="81">
        <f t="shared" si="3"/>
        <v>643.0219747828869</v>
      </c>
      <c r="I26" s="79">
        <f t="shared" si="4"/>
        <v>0.11097485186838013</v>
      </c>
      <c r="J26" s="79">
        <f t="shared" si="5"/>
        <v>0.156</v>
      </c>
      <c r="K26" s="79">
        <f t="shared" si="6"/>
        <v>0.29258943409370891</v>
      </c>
      <c r="L26">
        <f t="shared" si="7"/>
        <v>4</v>
      </c>
      <c r="P26" s="42"/>
    </row>
    <row r="27" spans="1:49" ht="13.15" x14ac:dyDescent="0.4">
      <c r="A27" s="68" t="s">
        <v>158</v>
      </c>
      <c r="B27" s="46">
        <f t="shared" si="8"/>
        <v>11.066476</v>
      </c>
      <c r="C27" s="46">
        <f t="shared" si="8"/>
        <v>12.501473000000001</v>
      </c>
      <c r="D27" s="46">
        <f t="shared" si="8"/>
        <v>12.381987000000001</v>
      </c>
      <c r="E27" s="46">
        <f t="shared" si="8"/>
        <v>9.7565080000000002</v>
      </c>
      <c r="F27" s="46">
        <f t="shared" si="8"/>
        <v>10.554031</v>
      </c>
      <c r="G27" s="80">
        <f t="shared" si="2"/>
        <v>11.252095000000001</v>
      </c>
      <c r="H27" s="81">
        <f t="shared" si="3"/>
        <v>548.00508922492997</v>
      </c>
      <c r="I27" s="79">
        <f t="shared" si="4"/>
        <v>9.4021134595490413E-2</v>
      </c>
      <c r="J27" s="79">
        <f t="shared" si="5"/>
        <v>0.156</v>
      </c>
      <c r="K27" s="79">
        <f t="shared" si="6"/>
        <v>0.24395145970594811</v>
      </c>
      <c r="L27">
        <f t="shared" si="7"/>
        <v>5</v>
      </c>
      <c r="P27" s="42"/>
    </row>
    <row r="28" spans="1:49" ht="13.15" x14ac:dyDescent="0.4">
      <c r="A28" s="68" t="s">
        <v>159</v>
      </c>
      <c r="B28" s="46">
        <f t="shared" si="8"/>
        <v>9.1511239999999994</v>
      </c>
      <c r="C28" s="46">
        <f t="shared" si="8"/>
        <v>10.468712999999999</v>
      </c>
      <c r="D28" s="46">
        <f t="shared" si="8"/>
        <v>10.540037999999999</v>
      </c>
      <c r="E28" s="46">
        <f t="shared" si="8"/>
        <v>8.3336839999999999</v>
      </c>
      <c r="F28" s="46"/>
      <c r="G28" s="80">
        <f t="shared" si="2"/>
        <v>9.6233897499999994</v>
      </c>
      <c r="H28" s="81">
        <f t="shared" si="3"/>
        <v>468.6830815590364</v>
      </c>
      <c r="I28" s="79">
        <f t="shared" si="4"/>
        <v>9.6382089094658063E-2</v>
      </c>
      <c r="J28" s="79">
        <f t="shared" si="5"/>
        <v>0.193</v>
      </c>
      <c r="K28" s="79">
        <f t="shared" si="6"/>
        <v>0.22926994097895695</v>
      </c>
      <c r="L28">
        <f t="shared" si="7"/>
        <v>4</v>
      </c>
      <c r="P28" s="42"/>
    </row>
    <row r="29" spans="1:49" ht="13.15" x14ac:dyDescent="0.4">
      <c r="A29" s="68" t="s">
        <v>160</v>
      </c>
      <c r="B29" s="46">
        <f t="shared" si="8"/>
        <v>7.5549970000000002</v>
      </c>
      <c r="C29" s="46">
        <f t="shared" si="8"/>
        <v>8.8425049999999992</v>
      </c>
      <c r="D29" s="46">
        <f t="shared" si="8"/>
        <v>8.5957589999999993</v>
      </c>
      <c r="E29" s="46">
        <f t="shared" si="8"/>
        <v>6.605969</v>
      </c>
      <c r="F29" s="46"/>
      <c r="G29" s="80">
        <f t="shared" si="2"/>
        <v>7.8998074999999996</v>
      </c>
      <c r="H29" s="81">
        <f t="shared" si="3"/>
        <v>384.74032736990495</v>
      </c>
      <c r="I29" s="79">
        <f t="shared" si="4"/>
        <v>0.11261721816064081</v>
      </c>
      <c r="J29" s="79">
        <f t="shared" si="5"/>
        <v>0.193</v>
      </c>
      <c r="K29" s="79">
        <f t="shared" si="6"/>
        <v>0.28311272141757876</v>
      </c>
      <c r="L29">
        <f t="shared" si="7"/>
        <v>4</v>
      </c>
      <c r="P29" s="42"/>
    </row>
    <row r="30" spans="1:49" ht="13.15" x14ac:dyDescent="0.4">
      <c r="A30" s="68" t="s">
        <v>161</v>
      </c>
      <c r="B30" s="46">
        <f t="shared" si="8"/>
        <v>6.3845049999999999</v>
      </c>
      <c r="C30" s="46">
        <f t="shared" si="8"/>
        <v>6.8097450000000004</v>
      </c>
      <c r="D30" s="46">
        <f t="shared" si="8"/>
        <v>6.7538109999999998</v>
      </c>
      <c r="E30" s="46">
        <f t="shared" si="8"/>
        <v>5.3864049999999999</v>
      </c>
      <c r="F30" s="46">
        <f t="shared" si="8"/>
        <v>5.3784970000000003</v>
      </c>
      <c r="G30" s="80">
        <f t="shared" si="2"/>
        <v>6.1425925999999995</v>
      </c>
      <c r="H30" s="81">
        <f t="shared" si="3"/>
        <v>299.15957924594431</v>
      </c>
      <c r="I30" s="79">
        <f t="shared" si="4"/>
        <v>0.10380479367033313</v>
      </c>
      <c r="J30" s="79">
        <f t="shared" si="5"/>
        <v>0.193</v>
      </c>
      <c r="K30" s="79">
        <f t="shared" si="6"/>
        <v>0.23300389480493955</v>
      </c>
      <c r="L30">
        <f t="shared" si="7"/>
        <v>5</v>
      </c>
      <c r="P30" s="42"/>
    </row>
    <row r="31" spans="1:49" ht="13.15" x14ac:dyDescent="0.4">
      <c r="A31" s="68" t="s">
        <v>162</v>
      </c>
      <c r="B31" s="46">
        <f t="shared" si="8"/>
        <v>5.7460550000000001</v>
      </c>
      <c r="C31" s="46">
        <f t="shared" si="8"/>
        <v>5.3868140000000002</v>
      </c>
      <c r="D31" s="46">
        <f t="shared" si="8"/>
        <v>5.3211839999999997</v>
      </c>
      <c r="E31" s="46">
        <f t="shared" si="8"/>
        <v>4.3701020000000002</v>
      </c>
      <c r="F31" s="46">
        <f t="shared" si="8"/>
        <v>4.3636860000000004</v>
      </c>
      <c r="G31" s="80">
        <f t="shared" si="2"/>
        <v>5.0375681999999999</v>
      </c>
      <c r="H31" s="81">
        <f t="shared" si="3"/>
        <v>245.34213503509076</v>
      </c>
      <c r="I31" s="79">
        <f t="shared" si="4"/>
        <v>0.11243336741713827</v>
      </c>
      <c r="J31" s="79">
        <f t="shared" si="5"/>
        <v>0.193</v>
      </c>
      <c r="K31" s="79">
        <f t="shared" si="6"/>
        <v>0.27441196726626943</v>
      </c>
      <c r="L31">
        <f t="shared" si="7"/>
        <v>5</v>
      </c>
      <c r="P31" s="42"/>
    </row>
    <row r="32" spans="1:49" ht="13.15" x14ac:dyDescent="0.4">
      <c r="A32" s="68" t="s">
        <v>163</v>
      </c>
      <c r="B32" s="46">
        <f t="shared" si="8"/>
        <v>4.6819709999999999</v>
      </c>
      <c r="C32" s="46">
        <f t="shared" si="8"/>
        <v>4.4720719999999998</v>
      </c>
      <c r="D32" s="46">
        <f t="shared" si="8"/>
        <v>4.5025409999999999</v>
      </c>
      <c r="E32" s="46">
        <f t="shared" si="8"/>
        <v>3.3538000000000001</v>
      </c>
      <c r="F32" s="46">
        <f t="shared" si="8"/>
        <v>3.4503560000000002</v>
      </c>
      <c r="G32" s="80">
        <f t="shared" si="2"/>
        <v>4.0921479999999999</v>
      </c>
      <c r="H32" s="81">
        <f t="shared" si="3"/>
        <v>199.29781341711197</v>
      </c>
      <c r="I32" s="79">
        <f t="shared" si="4"/>
        <v>0.13899976860831761</v>
      </c>
      <c r="J32" s="79">
        <f t="shared" si="5"/>
        <v>0.27500000000000002</v>
      </c>
      <c r="K32" s="79">
        <f t="shared" si="6"/>
        <v>0.32456572929424837</v>
      </c>
      <c r="L32">
        <f t="shared" si="7"/>
        <v>5</v>
      </c>
      <c r="P32" s="42"/>
    </row>
    <row r="33" spans="1:16" ht="13.15" x14ac:dyDescent="0.4">
      <c r="A33" s="68" t="s">
        <v>164</v>
      </c>
      <c r="B33" s="46">
        <f t="shared" si="8"/>
        <v>3.6178859999999999</v>
      </c>
      <c r="C33" s="46">
        <f t="shared" si="8"/>
        <v>3.862244</v>
      </c>
      <c r="D33" s="46">
        <f t="shared" si="8"/>
        <v>3.7862269999999998</v>
      </c>
      <c r="E33" s="46">
        <f t="shared" si="8"/>
        <v>2.5407570000000002</v>
      </c>
      <c r="F33" s="46">
        <f t="shared" si="8"/>
        <v>3.044432</v>
      </c>
      <c r="G33" s="80">
        <f t="shared" si="2"/>
        <v>3.3703091999999999</v>
      </c>
      <c r="H33" s="81">
        <f t="shared" si="3"/>
        <v>164.14246359114478</v>
      </c>
      <c r="I33" s="79">
        <f t="shared" si="4"/>
        <v>0.14957381812809967</v>
      </c>
      <c r="J33" s="79">
        <f t="shared" si="5"/>
        <v>0.27500000000000002</v>
      </c>
      <c r="K33" s="79">
        <f t="shared" si="6"/>
        <v>0.39209666578959579</v>
      </c>
      <c r="L33">
        <f t="shared" si="7"/>
        <v>5</v>
      </c>
      <c r="P33" s="42"/>
    </row>
    <row r="34" spans="1:16" ht="13.15" x14ac:dyDescent="0.4">
      <c r="A34" s="68" t="s">
        <v>165</v>
      </c>
      <c r="B34" s="46">
        <f t="shared" si="8"/>
        <v>3.0858439999999998</v>
      </c>
      <c r="C34" s="46">
        <f t="shared" si="8"/>
        <v>3.04914</v>
      </c>
      <c r="D34" s="46">
        <f t="shared" si="8"/>
        <v>2.967584</v>
      </c>
      <c r="E34" s="46">
        <f t="shared" si="8"/>
        <v>2.0326059999999999</v>
      </c>
      <c r="F34" s="46">
        <f t="shared" si="8"/>
        <v>2.6385079999999999</v>
      </c>
      <c r="G34" s="80">
        <f t="shared" si="2"/>
        <v>2.7547363999999996</v>
      </c>
      <c r="H34" s="81">
        <f t="shared" si="3"/>
        <v>134.16253299258156</v>
      </c>
      <c r="I34" s="79">
        <f t="shared" si="4"/>
        <v>0.14306426789188609</v>
      </c>
      <c r="J34" s="79">
        <f t="shared" si="5"/>
        <v>0.27500000000000002</v>
      </c>
      <c r="K34" s="79">
        <f t="shared" si="6"/>
        <v>0.38233712670293973</v>
      </c>
      <c r="L34">
        <f t="shared" si="7"/>
        <v>5</v>
      </c>
      <c r="P34" s="42"/>
    </row>
    <row r="35" spans="1:16" ht="13.15" x14ac:dyDescent="0.4">
      <c r="A35" s="68" t="s">
        <v>166</v>
      </c>
      <c r="B35" s="46">
        <f t="shared" si="8"/>
        <v>2.7666189999999999</v>
      </c>
      <c r="C35" s="46">
        <f t="shared" si="8"/>
        <v>2.6425879999999999</v>
      </c>
      <c r="D35" s="46">
        <f t="shared" si="8"/>
        <v>2.3536009999999998</v>
      </c>
      <c r="E35" s="46">
        <f t="shared" si="8"/>
        <v>1.4228240000000001</v>
      </c>
      <c r="F35" s="46">
        <f t="shared" si="8"/>
        <v>1.826659</v>
      </c>
      <c r="G35" s="80">
        <f t="shared" si="2"/>
        <v>2.2024581999999997</v>
      </c>
      <c r="H35" s="81">
        <f t="shared" si="3"/>
        <v>107.26520727075078</v>
      </c>
      <c r="I35" s="79">
        <f t="shared" si="4"/>
        <v>0.23007598247056205</v>
      </c>
      <c r="J35" s="79">
        <f t="shared" si="5"/>
        <v>0.27500000000000002</v>
      </c>
      <c r="K35" s="79">
        <f t="shared" si="6"/>
        <v>0.61013416735899917</v>
      </c>
      <c r="L35">
        <f t="shared" si="7"/>
        <v>5</v>
      </c>
      <c r="P35" s="42"/>
    </row>
    <row r="36" spans="1:16" ht="13.15" x14ac:dyDescent="0.4">
      <c r="A36" s="68" t="s">
        <v>167</v>
      </c>
      <c r="B36" s="46">
        <f t="shared" si="8"/>
        <v>0.31922499999999998</v>
      </c>
      <c r="C36" s="46">
        <f t="shared" si="8"/>
        <v>0.20327600000000001</v>
      </c>
      <c r="D36" s="46">
        <f t="shared" si="8"/>
        <v>0.20466100000000001</v>
      </c>
      <c r="E36" s="46">
        <f t="shared" si="8"/>
        <v>0.203261</v>
      </c>
      <c r="F36" s="46">
        <f t="shared" si="8"/>
        <v>0.30444300000000002</v>
      </c>
      <c r="G36" s="80">
        <f t="shared" si="2"/>
        <v>0.2469732</v>
      </c>
      <c r="H36" s="81">
        <f t="shared" si="3"/>
        <v>12.028210791160799</v>
      </c>
      <c r="I36" s="79">
        <f t="shared" si="4"/>
        <v>0.21527417988382047</v>
      </c>
      <c r="J36" s="79">
        <f t="shared" si="5"/>
        <v>0.27500000000000002</v>
      </c>
      <c r="K36" s="79">
        <f t="shared" si="6"/>
        <v>0.46954082467247449</v>
      </c>
      <c r="L36">
        <f t="shared" si="7"/>
        <v>5</v>
      </c>
      <c r="P36" s="42"/>
    </row>
    <row r="37" spans="1:16" ht="13.15" x14ac:dyDescent="0.4">
      <c r="A37" s="68" t="s">
        <v>168</v>
      </c>
      <c r="B37" s="46">
        <f t="shared" si="8"/>
        <v>0.106408</v>
      </c>
      <c r="C37" s="46">
        <f t="shared" si="8"/>
        <v>0</v>
      </c>
      <c r="D37" s="46">
        <f t="shared" si="8"/>
        <v>0</v>
      </c>
      <c r="E37" s="46">
        <f t="shared" si="8"/>
        <v>0.10163</v>
      </c>
      <c r="F37" s="46">
        <f t="shared" si="8"/>
        <v>0</v>
      </c>
      <c r="G37" s="80">
        <f t="shared" si="2"/>
        <v>4.1607600000000002E-2</v>
      </c>
      <c r="H37" s="81">
        <f t="shared" si="3"/>
        <v>2.0263938893544</v>
      </c>
      <c r="I37" s="79">
        <f t="shared" si="4"/>
        <v>1.2252831113235811</v>
      </c>
      <c r="J37" s="79">
        <f t="shared" si="5"/>
        <v>0.27500000000000002</v>
      </c>
      <c r="K37" s="79">
        <f t="shared" si="6"/>
        <v>2.5574173948990087</v>
      </c>
      <c r="L37">
        <f t="shared" si="7"/>
        <v>5</v>
      </c>
    </row>
    <row r="38" spans="1:16" ht="13.15" x14ac:dyDescent="0.4">
      <c r="A38" s="68" t="s">
        <v>169</v>
      </c>
      <c r="B38" s="46">
        <f t="shared" si="8"/>
        <v>0.106408</v>
      </c>
      <c r="C38" s="46">
        <f t="shared" si="8"/>
        <v>0</v>
      </c>
      <c r="D38" s="46">
        <f t="shared" si="8"/>
        <v>0</v>
      </c>
      <c r="E38" s="46">
        <f t="shared" si="8"/>
        <v>0.10163</v>
      </c>
      <c r="F38" s="46">
        <f t="shared" si="8"/>
        <v>0</v>
      </c>
      <c r="G38" s="80">
        <f t="shared" si="2"/>
        <v>4.1607600000000002E-2</v>
      </c>
      <c r="H38" s="81">
        <f t="shared" si="3"/>
        <v>2.0263938893544</v>
      </c>
      <c r="I38" s="79">
        <f t="shared" si="4"/>
        <v>1.2252831113235811</v>
      </c>
      <c r="J38" s="79">
        <f t="shared" si="5"/>
        <v>0.27500000000000002</v>
      </c>
      <c r="K38" s="79">
        <f t="shared" si="6"/>
        <v>2.5574173948990087</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15" priority="1" operator="greaterThan">
      <formula>1000</formula>
    </cfRule>
  </conditionalFormatting>
  <conditionalFormatting sqref="K9:K40">
    <cfRule type="cellIs" dxfId="1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1E340-51E6-41F8-89CC-FB7A83A7E94E}">
  <dimension ref="A1:AF88"/>
  <sheetViews>
    <sheetView zoomScale="70" zoomScaleNormal="70" workbookViewId="0">
      <selection activeCell="N16" sqref="N16"/>
    </sheetView>
  </sheetViews>
  <sheetFormatPr defaultRowHeight="12.75" x14ac:dyDescent="0.35"/>
  <cols>
    <col min="2" max="2" width="11.796875" customWidth="1"/>
  </cols>
  <sheetData>
    <row r="1" spans="1:16" x14ac:dyDescent="0.35">
      <c r="A1" t="s">
        <v>127</v>
      </c>
    </row>
    <row r="2" spans="1:16" ht="40.15" x14ac:dyDescent="0.4">
      <c r="A2" s="260" t="s">
        <v>267</v>
      </c>
      <c r="B2" s="260"/>
      <c r="C2" s="260"/>
      <c r="D2" s="260"/>
      <c r="E2" s="260"/>
      <c r="H2" s="72" t="s">
        <v>128</v>
      </c>
    </row>
    <row r="3" spans="1:16" ht="13.15" x14ac:dyDescent="0.4">
      <c r="A3" t="s">
        <v>129</v>
      </c>
      <c r="B3" s="73" t="s">
        <v>25</v>
      </c>
      <c r="D3" t="s">
        <v>130</v>
      </c>
      <c r="E3" s="8">
        <v>1</v>
      </c>
    </row>
    <row r="4" spans="1:16" ht="40.15" x14ac:dyDescent="1.05">
      <c r="A4" s="8" t="s">
        <v>28</v>
      </c>
      <c r="B4" s="74">
        <v>45832</v>
      </c>
      <c r="O4" s="75"/>
    </row>
    <row r="5" spans="1:16" ht="13.15" x14ac:dyDescent="0.4">
      <c r="A5" s="8" t="s">
        <v>116</v>
      </c>
      <c r="B5" s="76" t="s">
        <v>131</v>
      </c>
      <c r="O5" s="29"/>
    </row>
    <row r="6" spans="1:16" ht="13.15" x14ac:dyDescent="0.4">
      <c r="A6" t="s">
        <v>132</v>
      </c>
      <c r="B6" s="77" t="str">
        <f ca="1">RIGHT(CELL("filename"),1)</f>
        <v>1</v>
      </c>
      <c r="C6" s="8"/>
      <c r="D6" s="8"/>
      <c r="E6" s="8"/>
      <c r="F6" s="8"/>
    </row>
    <row r="7" spans="1:16" ht="14.65" x14ac:dyDescent="0.5">
      <c r="B7" s="65" t="s">
        <v>40</v>
      </c>
      <c r="C7" s="65" t="s">
        <v>41</v>
      </c>
      <c r="D7" s="65" t="s">
        <v>43</v>
      </c>
      <c r="E7" s="65" t="s">
        <v>44</v>
      </c>
      <c r="F7" s="65" t="s">
        <v>46</v>
      </c>
      <c r="G7" s="65" t="s">
        <v>133</v>
      </c>
      <c r="H7" s="65" t="s">
        <v>134</v>
      </c>
      <c r="I7" s="65" t="s">
        <v>135</v>
      </c>
      <c r="J7" s="65" t="s">
        <v>136</v>
      </c>
      <c r="K7" s="65" t="s">
        <v>137</v>
      </c>
      <c r="L7" s="65" t="s">
        <v>138</v>
      </c>
      <c r="P7" s="65"/>
    </row>
    <row r="8" spans="1:16" ht="13.15" x14ac:dyDescent="0.4">
      <c r="A8" s="68" t="s">
        <v>139</v>
      </c>
      <c r="B8" s="46">
        <v>1</v>
      </c>
      <c r="C8" s="46">
        <v>1</v>
      </c>
      <c r="D8" s="46">
        <v>1</v>
      </c>
      <c r="E8" s="46">
        <v>1</v>
      </c>
      <c r="F8" s="46">
        <v>1</v>
      </c>
      <c r="G8" s="78">
        <f>AVERAGE(B$8:F$8)*5</f>
        <v>5</v>
      </c>
      <c r="I8" s="79"/>
      <c r="K8" s="79"/>
    </row>
    <row r="9" spans="1:16" ht="13.15" x14ac:dyDescent="0.4">
      <c r="A9" s="68" t="s">
        <v>140</v>
      </c>
      <c r="B9" s="42">
        <f t="shared" ref="B9:F24" si="0">B53/B$8</f>
        <v>1716.491211</v>
      </c>
      <c r="C9" s="42">
        <f t="shared" si="0"/>
        <v>1643.644775</v>
      </c>
      <c r="D9" s="42">
        <f t="shared" si="0"/>
        <v>1635.6400149999999</v>
      </c>
      <c r="E9" s="42">
        <f t="shared" si="0"/>
        <v>1685.3596190000001</v>
      </c>
      <c r="F9" s="42">
        <f t="shared" si="0"/>
        <v>1638.6480710000001</v>
      </c>
      <c r="G9" s="80">
        <f t="shared" ref="G9:G38" si="1">AVERAGE(B9:F9)</f>
        <v>1663.9567382</v>
      </c>
      <c r="H9" s="81">
        <f t="shared" ref="H9:H38" si="2">G9*G$8</f>
        <v>8319.7836910000005</v>
      </c>
      <c r="I9" s="79">
        <f t="shared" ref="I9:I38" si="3">STDEVP(B9:F9)/AVERAGE(B9:F9)</f>
        <v>1.9142599907951387E-2</v>
      </c>
      <c r="J9" s="79">
        <f t="shared" ref="J9:J38" si="4">IF(H9&gt;$A$43, $C$43, IF(H9&gt;$A$44, $C$44, IF(H9&gt;$A$45,$C$45,IF(H9&gt;$A$46,$C$46, IF(H9&gt;$A$47,$C$47,IF(H9&gt;$A$48,$C$48,$C$49))))))/100</f>
        <v>0.113</v>
      </c>
      <c r="K9" s="79">
        <f t="shared" ref="K9:K38" si="5">(MAX(B9:F9)-MIN(B9:F9))/G9</f>
        <v>4.858972240315669E-2</v>
      </c>
      <c r="L9">
        <f t="shared" ref="L9:L38" si="6">COUNTA(B9:F9)</f>
        <v>5</v>
      </c>
      <c r="P9" s="42"/>
    </row>
    <row r="10" spans="1:16" ht="13.15" x14ac:dyDescent="0.4">
      <c r="A10" s="68" t="s">
        <v>141</v>
      </c>
      <c r="B10" s="42">
        <f t="shared" si="0"/>
        <v>1705.13147</v>
      </c>
      <c r="C10" s="42">
        <f t="shared" si="0"/>
        <v>1635.7348629999999</v>
      </c>
      <c r="D10" s="42">
        <f t="shared" si="0"/>
        <v>1629.4155270000001</v>
      </c>
      <c r="E10" s="42">
        <f t="shared" si="0"/>
        <v>1680.8988039999999</v>
      </c>
      <c r="F10" s="42">
        <f t="shared" si="0"/>
        <v>1634.5927730000001</v>
      </c>
      <c r="G10" s="80">
        <f t="shared" si="1"/>
        <v>1657.1546874000001</v>
      </c>
      <c r="H10" s="81">
        <f t="shared" si="2"/>
        <v>8285.7734369999998</v>
      </c>
      <c r="I10" s="79">
        <f t="shared" si="3"/>
        <v>1.8309060047351208E-2</v>
      </c>
      <c r="J10" s="79">
        <f t="shared" si="4"/>
        <v>0.113</v>
      </c>
      <c r="K10" s="79">
        <f t="shared" si="5"/>
        <v>4.5690329077724648E-2</v>
      </c>
      <c r="L10">
        <f t="shared" si="6"/>
        <v>5</v>
      </c>
      <c r="P10" s="42"/>
    </row>
    <row r="11" spans="1:16" ht="13.15" x14ac:dyDescent="0.4">
      <c r="A11" s="68" t="s">
        <v>142</v>
      </c>
      <c r="B11" s="42">
        <f t="shared" si="0"/>
        <v>1699.2923579999999</v>
      </c>
      <c r="C11" s="42">
        <f t="shared" si="0"/>
        <v>1631.475586</v>
      </c>
      <c r="D11" s="42">
        <f t="shared" si="0"/>
        <v>1625.537842</v>
      </c>
      <c r="E11" s="42">
        <f t="shared" si="0"/>
        <v>1677.5532229999999</v>
      </c>
      <c r="F11" s="42">
        <f t="shared" si="0"/>
        <v>1631.5512699999999</v>
      </c>
      <c r="G11" s="80">
        <f t="shared" si="1"/>
        <v>1653.0820558</v>
      </c>
      <c r="H11" s="81">
        <f t="shared" si="2"/>
        <v>8265.4102789999997</v>
      </c>
      <c r="I11" s="79">
        <f t="shared" si="3"/>
        <v>1.7992651181407346E-2</v>
      </c>
      <c r="J11" s="79">
        <f t="shared" si="4"/>
        <v>0.113</v>
      </c>
      <c r="K11" s="79">
        <f t="shared" si="5"/>
        <v>4.4616367191952166E-2</v>
      </c>
      <c r="L11">
        <f t="shared" si="6"/>
        <v>5</v>
      </c>
      <c r="P11" s="42"/>
    </row>
    <row r="12" spans="1:16" ht="13.15" x14ac:dyDescent="0.4">
      <c r="A12" s="68" t="s">
        <v>143</v>
      </c>
      <c r="B12" s="42">
        <f t="shared" si="0"/>
        <v>1696.4257809999999</v>
      </c>
      <c r="C12" s="42">
        <f t="shared" si="0"/>
        <v>1627.8249510000001</v>
      </c>
      <c r="D12" s="42">
        <f t="shared" si="0"/>
        <v>1624.007202</v>
      </c>
      <c r="E12" s="42">
        <f t="shared" si="0"/>
        <v>1675.829712</v>
      </c>
      <c r="F12" s="42">
        <f t="shared" si="0"/>
        <v>1629.7264399999999</v>
      </c>
      <c r="G12" s="80">
        <f t="shared" si="1"/>
        <v>1650.7628172</v>
      </c>
      <c r="H12" s="81">
        <f t="shared" si="2"/>
        <v>8253.8140860000003</v>
      </c>
      <c r="I12" s="79">
        <f t="shared" si="3"/>
        <v>1.7966256729240512E-2</v>
      </c>
      <c r="J12" s="79">
        <f t="shared" si="4"/>
        <v>0.113</v>
      </c>
      <c r="K12" s="79">
        <f t="shared" si="5"/>
        <v>4.3869766295581612E-2</v>
      </c>
      <c r="L12">
        <f t="shared" si="6"/>
        <v>5</v>
      </c>
      <c r="P12" s="42"/>
    </row>
    <row r="13" spans="1:16" ht="13.15" x14ac:dyDescent="0.4">
      <c r="A13" s="68" t="s">
        <v>144</v>
      </c>
      <c r="B13" s="42">
        <f t="shared" si="0"/>
        <v>1693.984009</v>
      </c>
      <c r="C13" s="42">
        <f t="shared" si="0"/>
        <v>1626.709351</v>
      </c>
      <c r="D13" s="42">
        <f t="shared" si="0"/>
        <v>1623.496948</v>
      </c>
      <c r="E13" s="42">
        <f t="shared" si="0"/>
        <v>1674.9173579999999</v>
      </c>
      <c r="F13" s="42">
        <f t="shared" si="0"/>
        <v>1628.915283</v>
      </c>
      <c r="G13" s="80">
        <f t="shared" si="1"/>
        <v>1649.6045898</v>
      </c>
      <c r="H13" s="81">
        <f t="shared" si="2"/>
        <v>8248.0229490000002</v>
      </c>
      <c r="I13" s="79">
        <f t="shared" si="3"/>
        <v>1.7661550882660779E-2</v>
      </c>
      <c r="J13" s="79">
        <f t="shared" si="4"/>
        <v>0.113</v>
      </c>
      <c r="K13" s="79">
        <f t="shared" si="5"/>
        <v>4.2729670756157377E-2</v>
      </c>
      <c r="L13">
        <f t="shared" si="6"/>
        <v>5</v>
      </c>
      <c r="P13" s="42"/>
    </row>
    <row r="14" spans="1:16" ht="13.15" x14ac:dyDescent="0.4">
      <c r="A14" s="68" t="s">
        <v>145</v>
      </c>
      <c r="B14" s="42">
        <f t="shared" si="0"/>
        <v>1691.8607179999999</v>
      </c>
      <c r="C14" s="42">
        <f t="shared" si="0"/>
        <v>1625.9995120000001</v>
      </c>
      <c r="D14" s="42">
        <f t="shared" si="0"/>
        <v>1622.7827150000001</v>
      </c>
      <c r="E14" s="42">
        <f t="shared" si="0"/>
        <v>1674.4104</v>
      </c>
      <c r="F14" s="42">
        <f t="shared" si="0"/>
        <v>1628.0029300000001</v>
      </c>
      <c r="G14" s="80">
        <f t="shared" si="1"/>
        <v>1648.6112550000003</v>
      </c>
      <c r="H14" s="81">
        <f t="shared" si="2"/>
        <v>8243.0562750000008</v>
      </c>
      <c r="I14" s="79">
        <f t="shared" si="3"/>
        <v>1.7452432235854073E-2</v>
      </c>
      <c r="J14" s="79">
        <f t="shared" si="4"/>
        <v>0.113</v>
      </c>
      <c r="K14" s="79">
        <f t="shared" si="5"/>
        <v>4.1900722678251907E-2</v>
      </c>
      <c r="L14">
        <f t="shared" si="6"/>
        <v>5</v>
      </c>
      <c r="P14" s="42"/>
    </row>
    <row r="15" spans="1:16" ht="13.15" x14ac:dyDescent="0.4">
      <c r="A15" s="68" t="s">
        <v>146</v>
      </c>
      <c r="B15" s="42">
        <f t="shared" si="0"/>
        <v>1689.631226</v>
      </c>
      <c r="C15" s="42">
        <f t="shared" si="0"/>
        <v>1624.376953</v>
      </c>
      <c r="D15" s="42">
        <f t="shared" si="0"/>
        <v>1621.2520750000001</v>
      </c>
      <c r="E15" s="42">
        <f t="shared" si="0"/>
        <v>1672.5855710000001</v>
      </c>
      <c r="F15" s="42">
        <f t="shared" si="0"/>
        <v>1626.989014</v>
      </c>
      <c r="G15" s="80">
        <f t="shared" si="1"/>
        <v>1646.9669678000002</v>
      </c>
      <c r="H15" s="81">
        <f t="shared" si="2"/>
        <v>8234.834839000001</v>
      </c>
      <c r="I15" s="79">
        <f t="shared" si="3"/>
        <v>1.7274652244874508E-2</v>
      </c>
      <c r="J15" s="79">
        <f t="shared" si="4"/>
        <v>0.113</v>
      </c>
      <c r="K15" s="79">
        <f t="shared" si="5"/>
        <v>4.1518228560066359E-2</v>
      </c>
      <c r="L15">
        <f t="shared" si="6"/>
        <v>5</v>
      </c>
      <c r="P15" s="42"/>
    </row>
    <row r="16" spans="1:16" ht="13.15" x14ac:dyDescent="0.4">
      <c r="A16" s="68" t="s">
        <v>147</v>
      </c>
      <c r="B16" s="42">
        <f t="shared" si="0"/>
        <v>1662.452759</v>
      </c>
      <c r="C16" s="42">
        <f t="shared" si="0"/>
        <v>1591.7231449999999</v>
      </c>
      <c r="D16" s="42">
        <f t="shared" si="0"/>
        <v>1598.1904300000001</v>
      </c>
      <c r="E16" s="42">
        <f t="shared" si="0"/>
        <v>1646.3278809999999</v>
      </c>
      <c r="F16" s="42">
        <f t="shared" si="0"/>
        <v>1605.8000489999999</v>
      </c>
      <c r="G16" s="80">
        <f t="shared" si="1"/>
        <v>1620.8988528000002</v>
      </c>
      <c r="H16" s="81">
        <f t="shared" si="2"/>
        <v>8104.4942640000008</v>
      </c>
      <c r="I16" s="79">
        <f t="shared" si="3"/>
        <v>1.7380311195013418E-2</v>
      </c>
      <c r="J16" s="79">
        <f t="shared" si="4"/>
        <v>0.113</v>
      </c>
      <c r="K16" s="79">
        <f t="shared" si="5"/>
        <v>4.3636044209556413E-2</v>
      </c>
      <c r="L16">
        <f t="shared" si="6"/>
        <v>5</v>
      </c>
      <c r="P16" s="42"/>
    </row>
    <row r="17" spans="1:16" ht="13.15" x14ac:dyDescent="0.4">
      <c r="A17" s="68" t="s">
        <v>148</v>
      </c>
      <c r="B17" s="42">
        <f t="shared" si="0"/>
        <v>1253.2891850000001</v>
      </c>
      <c r="C17" s="42">
        <f t="shared" si="0"/>
        <v>1212.95874</v>
      </c>
      <c r="D17" s="42">
        <f t="shared" si="0"/>
        <v>1242.1639399999999</v>
      </c>
      <c r="E17" s="42">
        <f t="shared" si="0"/>
        <v>1260.369995</v>
      </c>
      <c r="F17" s="42">
        <f t="shared" si="0"/>
        <v>1254.813232</v>
      </c>
      <c r="G17" s="80">
        <f t="shared" si="1"/>
        <v>1244.7190183999999</v>
      </c>
      <c r="H17" s="81">
        <f t="shared" si="2"/>
        <v>6223.5950919999996</v>
      </c>
      <c r="I17" s="79">
        <f t="shared" si="3"/>
        <v>1.3612909929592125E-2</v>
      </c>
      <c r="J17" s="79">
        <f t="shared" si="4"/>
        <v>0.113</v>
      </c>
      <c r="K17" s="79">
        <f t="shared" si="5"/>
        <v>3.8089925757657232E-2</v>
      </c>
      <c r="L17">
        <f t="shared" si="6"/>
        <v>5</v>
      </c>
      <c r="P17" s="42"/>
    </row>
    <row r="18" spans="1:16" ht="13.15" x14ac:dyDescent="0.4">
      <c r="A18" s="68" t="s">
        <v>149</v>
      </c>
      <c r="B18" s="42">
        <f t="shared" si="0"/>
        <v>426.78714000000002</v>
      </c>
      <c r="C18" s="42">
        <f t="shared" si="0"/>
        <v>424.29724099999999</v>
      </c>
      <c r="D18" s="42">
        <f t="shared" si="0"/>
        <v>439.70135499999998</v>
      </c>
      <c r="E18" s="42">
        <f t="shared" si="0"/>
        <v>435.63464399999998</v>
      </c>
      <c r="F18" s="42">
        <f t="shared" si="0"/>
        <v>429.86251800000002</v>
      </c>
      <c r="G18" s="80">
        <f t="shared" si="1"/>
        <v>431.25657960000001</v>
      </c>
      <c r="H18" s="81">
        <f t="shared" si="2"/>
        <v>2156.2828979999999</v>
      </c>
      <c r="I18" s="79">
        <f t="shared" si="3"/>
        <v>1.3151259473816505E-2</v>
      </c>
      <c r="J18" s="79">
        <f t="shared" si="4"/>
        <v>0.11900000000000001</v>
      </c>
      <c r="K18" s="79">
        <f t="shared" si="5"/>
        <v>3.5719139669214202E-2</v>
      </c>
      <c r="L18">
        <f t="shared" si="6"/>
        <v>5</v>
      </c>
      <c r="P18" s="42"/>
    </row>
    <row r="19" spans="1:16" ht="13.15" x14ac:dyDescent="0.4">
      <c r="A19" s="68" t="s">
        <v>150</v>
      </c>
      <c r="B19" s="42">
        <f t="shared" si="0"/>
        <v>111.580421</v>
      </c>
      <c r="C19" s="42">
        <f t="shared" si="0"/>
        <v>114.694115</v>
      </c>
      <c r="D19" s="42">
        <f t="shared" si="0"/>
        <v>111.328423</v>
      </c>
      <c r="E19" s="42">
        <f t="shared" si="0"/>
        <v>113.03994</v>
      </c>
      <c r="F19" s="42">
        <f t="shared" si="0"/>
        <v>111.52093499999999</v>
      </c>
      <c r="G19" s="80">
        <f t="shared" si="1"/>
        <v>112.4327668</v>
      </c>
      <c r="H19" s="81">
        <f t="shared" si="2"/>
        <v>562.16383399999995</v>
      </c>
      <c r="I19" s="79">
        <f t="shared" si="3"/>
        <v>1.1431638012503274E-2</v>
      </c>
      <c r="J19" s="79">
        <f t="shared" si="4"/>
        <v>0.156</v>
      </c>
      <c r="K19" s="79">
        <f t="shared" si="5"/>
        <v>2.9935152320737835E-2</v>
      </c>
      <c r="L19">
        <f t="shared" si="6"/>
        <v>5</v>
      </c>
      <c r="P19" s="42"/>
    </row>
    <row r="20" spans="1:16" ht="13.15" x14ac:dyDescent="0.4">
      <c r="A20" s="68" t="s">
        <v>151</v>
      </c>
      <c r="B20" s="42">
        <f t="shared" si="0"/>
        <v>76.120994999999994</v>
      </c>
      <c r="C20" s="42">
        <f t="shared" si="0"/>
        <v>76.665565000000001</v>
      </c>
      <c r="D20" s="42">
        <f t="shared" si="0"/>
        <v>75.817618999999993</v>
      </c>
      <c r="E20" s="42">
        <f t="shared" si="0"/>
        <v>77.252403000000001</v>
      </c>
      <c r="F20" s="42">
        <f t="shared" si="0"/>
        <v>76.442535000000007</v>
      </c>
      <c r="G20" s="80">
        <f t="shared" si="1"/>
        <v>76.459823400000005</v>
      </c>
      <c r="H20" s="81">
        <f t="shared" si="2"/>
        <v>382.29911700000002</v>
      </c>
      <c r="I20" s="79">
        <f t="shared" si="3"/>
        <v>6.4020306033554944E-3</v>
      </c>
      <c r="J20" s="79">
        <f t="shared" si="4"/>
        <v>0.193</v>
      </c>
      <c r="K20" s="79">
        <f t="shared" si="5"/>
        <v>1.8765201594750317E-2</v>
      </c>
      <c r="L20">
        <f t="shared" si="6"/>
        <v>5</v>
      </c>
      <c r="P20" s="42"/>
    </row>
    <row r="21" spans="1:16" ht="13.15" x14ac:dyDescent="0.4">
      <c r="A21" s="68" t="s">
        <v>152</v>
      </c>
      <c r="B21" s="42">
        <f t="shared" si="0"/>
        <v>69.857201000000003</v>
      </c>
      <c r="C21" s="42">
        <f t="shared" si="0"/>
        <v>69.465491999999998</v>
      </c>
      <c r="D21" s="42">
        <f t="shared" si="0"/>
        <v>69.082808999999997</v>
      </c>
      <c r="E21" s="42">
        <f t="shared" si="0"/>
        <v>69.851585</v>
      </c>
      <c r="F21" s="42">
        <f t="shared" si="0"/>
        <v>70.055428000000006</v>
      </c>
      <c r="G21" s="80">
        <f t="shared" si="1"/>
        <v>69.662503000000001</v>
      </c>
      <c r="H21" s="81">
        <f t="shared" si="2"/>
        <v>348.31251500000002</v>
      </c>
      <c r="I21" s="79">
        <f t="shared" si="3"/>
        <v>4.9847271100343093E-3</v>
      </c>
      <c r="J21" s="79">
        <f t="shared" si="4"/>
        <v>0.193</v>
      </c>
      <c r="K21" s="79">
        <f t="shared" si="5"/>
        <v>1.3961872716517361E-2</v>
      </c>
      <c r="L21">
        <f t="shared" si="6"/>
        <v>5</v>
      </c>
      <c r="P21" s="42"/>
    </row>
    <row r="22" spans="1:16" ht="13.15" x14ac:dyDescent="0.4">
      <c r="A22" s="68" t="s">
        <v>153</v>
      </c>
      <c r="B22" s="42">
        <f t="shared" si="0"/>
        <v>59.771434999999997</v>
      </c>
      <c r="C22" s="42">
        <f t="shared" si="0"/>
        <v>56.586486999999998</v>
      </c>
      <c r="D22" s="42">
        <f t="shared" si="0"/>
        <v>57.551997999999998</v>
      </c>
      <c r="E22" s="42">
        <f t="shared" si="0"/>
        <v>58.192757</v>
      </c>
      <c r="F22" s="42">
        <f t="shared" si="0"/>
        <v>60.221305999999998</v>
      </c>
      <c r="G22" s="80">
        <f t="shared" si="1"/>
        <v>58.4647966</v>
      </c>
      <c r="H22" s="81">
        <f t="shared" si="2"/>
        <v>292.323983</v>
      </c>
      <c r="I22" s="79">
        <f t="shared" si="3"/>
        <v>2.3236547114792696E-2</v>
      </c>
      <c r="J22" s="79">
        <f t="shared" si="4"/>
        <v>0.193</v>
      </c>
      <c r="K22" s="79">
        <f t="shared" si="5"/>
        <v>6.2171070650744391E-2</v>
      </c>
      <c r="L22">
        <f t="shared" si="6"/>
        <v>5</v>
      </c>
      <c r="P22" s="42"/>
    </row>
    <row r="23" spans="1:16" ht="13.15" x14ac:dyDescent="0.4">
      <c r="A23" s="68" t="s">
        <v>154</v>
      </c>
      <c r="B23" s="42">
        <f t="shared" si="0"/>
        <v>45.014366000000003</v>
      </c>
      <c r="C23" s="42">
        <f t="shared" si="0"/>
        <v>44.113121</v>
      </c>
      <c r="D23" s="42">
        <f t="shared" si="0"/>
        <v>42.755828999999999</v>
      </c>
      <c r="E23" s="42">
        <f t="shared" si="0"/>
        <v>42.073162000000004</v>
      </c>
      <c r="F23" s="42">
        <f t="shared" si="0"/>
        <v>42.479340000000001</v>
      </c>
      <c r="G23" s="80">
        <f t="shared" si="1"/>
        <v>43.2871636</v>
      </c>
      <c r="H23" s="81">
        <f t="shared" si="2"/>
        <v>216.43581799999998</v>
      </c>
      <c r="I23" s="79">
        <f t="shared" si="3"/>
        <v>2.5462314395018854E-2</v>
      </c>
      <c r="J23" s="79">
        <f t="shared" si="4"/>
        <v>0.193</v>
      </c>
      <c r="K23" s="79">
        <f t="shared" si="5"/>
        <v>6.7946332247095981E-2</v>
      </c>
      <c r="L23">
        <f t="shared" si="6"/>
        <v>5</v>
      </c>
      <c r="P23" s="42"/>
    </row>
    <row r="24" spans="1:16" ht="13.15" x14ac:dyDescent="0.4">
      <c r="A24" s="68" t="s">
        <v>155</v>
      </c>
      <c r="B24" s="42">
        <f t="shared" si="0"/>
        <v>31.955953999999998</v>
      </c>
      <c r="C24" s="42">
        <f t="shared" si="0"/>
        <v>31.538347000000002</v>
      </c>
      <c r="D24" s="42">
        <f t="shared" si="0"/>
        <v>30.40868</v>
      </c>
      <c r="E24" s="42">
        <f t="shared" si="0"/>
        <v>28.690854999999999</v>
      </c>
      <c r="F24" s="42">
        <f t="shared" si="0"/>
        <v>30.414801000000001</v>
      </c>
      <c r="G24" s="80">
        <f t="shared" si="1"/>
        <v>30.601727399999998</v>
      </c>
      <c r="H24" s="81">
        <f t="shared" si="2"/>
        <v>153.00863699999999</v>
      </c>
      <c r="I24" s="79">
        <f t="shared" si="3"/>
        <v>3.7071275538263414E-2</v>
      </c>
      <c r="J24" s="79">
        <f t="shared" si="4"/>
        <v>0.27500000000000002</v>
      </c>
      <c r="K24" s="79">
        <f t="shared" si="5"/>
        <v>0.10669655857401042</v>
      </c>
      <c r="L24">
        <f t="shared" si="6"/>
        <v>5</v>
      </c>
      <c r="P24" s="42"/>
    </row>
    <row r="25" spans="1:16" ht="13.15" x14ac:dyDescent="0.4">
      <c r="A25" s="68" t="s">
        <v>156</v>
      </c>
      <c r="B25" s="42">
        <f t="shared" ref="B25:F38" si="7">B69/B$8</f>
        <v>24.312004000000002</v>
      </c>
      <c r="C25" s="42">
        <f t="shared" si="7"/>
        <v>24.034046</v>
      </c>
      <c r="D25" s="42">
        <f t="shared" si="7"/>
        <v>22.755489000000001</v>
      </c>
      <c r="E25" s="42">
        <f t="shared" si="7"/>
        <v>22.303844000000002</v>
      </c>
      <c r="F25" s="42">
        <f t="shared" si="7"/>
        <v>23.318014000000002</v>
      </c>
      <c r="G25" s="80">
        <f t="shared" si="1"/>
        <v>23.3446794</v>
      </c>
      <c r="H25" s="81">
        <f t="shared" si="2"/>
        <v>116.72339700000001</v>
      </c>
      <c r="I25" s="79">
        <f t="shared" si="3"/>
        <v>3.2296068400430956E-2</v>
      </c>
      <c r="J25" s="79">
        <f t="shared" si="4"/>
        <v>0.27500000000000002</v>
      </c>
      <c r="K25" s="79">
        <f t="shared" si="5"/>
        <v>8.6022170859198013E-2</v>
      </c>
      <c r="L25">
        <f t="shared" si="6"/>
        <v>5</v>
      </c>
      <c r="P25" s="42"/>
    </row>
    <row r="26" spans="1:16" ht="13.15" x14ac:dyDescent="0.4">
      <c r="A26" s="68" t="s">
        <v>157</v>
      </c>
      <c r="B26" s="42">
        <f t="shared" si="7"/>
        <v>22.082519999999999</v>
      </c>
      <c r="C26" s="42">
        <f t="shared" si="7"/>
        <v>21.803038000000001</v>
      </c>
      <c r="D26" s="42">
        <f t="shared" si="7"/>
        <v>20.102383</v>
      </c>
      <c r="E26" s="42">
        <f t="shared" si="7"/>
        <v>19.972078</v>
      </c>
      <c r="F26" s="42">
        <f t="shared" ref="F26" si="8">F70/F$8</f>
        <v>20.580680999999998</v>
      </c>
      <c r="G26" s="80">
        <f t="shared" si="1"/>
        <v>20.90814</v>
      </c>
      <c r="H26" s="81">
        <f t="shared" si="2"/>
        <v>104.5407</v>
      </c>
      <c r="I26" s="79">
        <f t="shared" si="3"/>
        <v>4.1765311341303603E-2</v>
      </c>
      <c r="J26" s="79">
        <f t="shared" si="4"/>
        <v>0.27500000000000002</v>
      </c>
      <c r="K26" s="79">
        <f t="shared" si="5"/>
        <v>0.1009387731285518</v>
      </c>
      <c r="L26">
        <f t="shared" si="6"/>
        <v>5</v>
      </c>
      <c r="P26" s="42"/>
    </row>
    <row r="27" spans="1:16" ht="13.15" x14ac:dyDescent="0.4">
      <c r="A27" s="68" t="s">
        <v>158</v>
      </c>
      <c r="B27" s="42">
        <f t="shared" si="7"/>
        <v>19.322205</v>
      </c>
      <c r="C27" s="42">
        <f t="shared" si="7"/>
        <v>20.383305</v>
      </c>
      <c r="D27" s="42">
        <f t="shared" si="7"/>
        <v>19.388083999999999</v>
      </c>
      <c r="E27" s="42">
        <f t="shared" si="7"/>
        <v>18.2486</v>
      </c>
      <c r="F27" s="42">
        <f t="shared" ref="F27" si="9">F71/F$8</f>
        <v>18.654411</v>
      </c>
      <c r="G27" s="80">
        <f t="shared" si="1"/>
        <v>19.199321000000001</v>
      </c>
      <c r="H27" s="81">
        <f t="shared" si="2"/>
        <v>95.996605000000002</v>
      </c>
      <c r="I27" s="79">
        <f t="shared" si="3"/>
        <v>3.794252113906111E-2</v>
      </c>
      <c r="J27" s="79">
        <f t="shared" si="4"/>
        <v>0.27500000000000002</v>
      </c>
      <c r="K27" s="79">
        <f t="shared" si="5"/>
        <v>0.1111864841470175</v>
      </c>
      <c r="L27">
        <f t="shared" si="6"/>
        <v>5</v>
      </c>
      <c r="P27" s="42"/>
    </row>
    <row r="28" spans="1:16" ht="13.15" x14ac:dyDescent="0.4">
      <c r="A28" s="68" t="s">
        <v>159</v>
      </c>
      <c r="B28" s="42">
        <f t="shared" si="7"/>
        <v>17.305052</v>
      </c>
      <c r="C28" s="42">
        <f t="shared" si="7"/>
        <v>17.645247999999999</v>
      </c>
      <c r="D28" s="42">
        <f t="shared" si="7"/>
        <v>17.449276000000001</v>
      </c>
      <c r="E28" s="42">
        <f t="shared" si="7"/>
        <v>15.916834</v>
      </c>
      <c r="F28" s="42">
        <f t="shared" ref="F28" si="10">F72/F$8</f>
        <v>16.423991999999998</v>
      </c>
      <c r="G28" s="80">
        <f t="shared" si="1"/>
        <v>16.948080399999998</v>
      </c>
      <c r="H28" s="81">
        <f t="shared" si="2"/>
        <v>84.740401999999989</v>
      </c>
      <c r="I28" s="79">
        <f t="shared" si="3"/>
        <v>3.916360193656386E-2</v>
      </c>
      <c r="J28" s="79">
        <f t="shared" si="4"/>
        <v>0.27500000000000002</v>
      </c>
      <c r="K28" s="79">
        <f t="shared" si="5"/>
        <v>0.10198287706966502</v>
      </c>
      <c r="L28">
        <f t="shared" si="6"/>
        <v>5</v>
      </c>
      <c r="P28" s="42"/>
    </row>
    <row r="29" spans="1:16" ht="13.15" x14ac:dyDescent="0.4">
      <c r="A29" s="68" t="s">
        <v>160</v>
      </c>
      <c r="B29" s="42">
        <f t="shared" si="7"/>
        <v>15.394064</v>
      </c>
      <c r="C29" s="42">
        <f t="shared" si="7"/>
        <v>15.819879</v>
      </c>
      <c r="D29" s="42">
        <f t="shared" si="7"/>
        <v>15.102297999999999</v>
      </c>
      <c r="E29" s="42">
        <f t="shared" si="7"/>
        <v>14.598879999999999</v>
      </c>
      <c r="F29" s="42">
        <f t="shared" ref="F29" si="11">F73/F$8</f>
        <v>14.193574</v>
      </c>
      <c r="G29" s="80">
        <f t="shared" si="1"/>
        <v>15.021739</v>
      </c>
      <c r="H29" s="81">
        <f t="shared" si="2"/>
        <v>75.108694999999997</v>
      </c>
      <c r="I29" s="79">
        <f t="shared" si="3"/>
        <v>3.8204678497964981E-2</v>
      </c>
      <c r="J29" s="79">
        <f t="shared" si="4"/>
        <v>0.27500000000000002</v>
      </c>
      <c r="K29" s="79">
        <f t="shared" si="5"/>
        <v>0.10826343075192561</v>
      </c>
      <c r="L29">
        <f t="shared" si="6"/>
        <v>5</v>
      </c>
      <c r="P29" s="42"/>
    </row>
    <row r="30" spans="1:16" ht="13.15" x14ac:dyDescent="0.4">
      <c r="A30" s="68" t="s">
        <v>161</v>
      </c>
      <c r="B30" s="42">
        <f t="shared" si="7"/>
        <v>14.120072</v>
      </c>
      <c r="C30" s="42">
        <f t="shared" si="7"/>
        <v>14.298736</v>
      </c>
      <c r="D30" s="42">
        <f t="shared" si="7"/>
        <v>13.877787</v>
      </c>
      <c r="E30" s="42">
        <f t="shared" si="7"/>
        <v>12.672639</v>
      </c>
      <c r="F30" s="42">
        <f t="shared" ref="F30" si="12">F74/F$8</f>
        <v>12.571451</v>
      </c>
      <c r="G30" s="80">
        <f t="shared" si="1"/>
        <v>13.508137</v>
      </c>
      <c r="H30" s="81">
        <f t="shared" si="2"/>
        <v>67.540684999999996</v>
      </c>
      <c r="I30" s="79">
        <f t="shared" si="3"/>
        <v>5.4516949430480056E-2</v>
      </c>
      <c r="J30" s="79">
        <f t="shared" si="4"/>
        <v>0.27500000000000002</v>
      </c>
      <c r="K30" s="79">
        <f t="shared" si="5"/>
        <v>0.12786996459985564</v>
      </c>
      <c r="L30">
        <f t="shared" si="6"/>
        <v>5</v>
      </c>
      <c r="P30" s="42"/>
    </row>
    <row r="31" spans="1:16" ht="13.15" x14ac:dyDescent="0.4">
      <c r="A31" s="68" t="s">
        <v>162</v>
      </c>
      <c r="B31" s="42">
        <f t="shared" si="7"/>
        <v>13.376910000000001</v>
      </c>
      <c r="C31" s="42">
        <f t="shared" si="7"/>
        <v>13.183230999999999</v>
      </c>
      <c r="D31" s="42">
        <f t="shared" si="7"/>
        <v>12.755319</v>
      </c>
      <c r="E31" s="42">
        <f t="shared" si="7"/>
        <v>10.746397999999999</v>
      </c>
      <c r="F31" s="42">
        <f t="shared" ref="F31" si="13">F75/F$8</f>
        <v>11.354858</v>
      </c>
      <c r="G31" s="80">
        <f t="shared" si="1"/>
        <v>12.283343200000001</v>
      </c>
      <c r="H31" s="81">
        <f t="shared" si="2"/>
        <v>61.416716000000008</v>
      </c>
      <c r="I31" s="79">
        <f t="shared" si="3"/>
        <v>8.5016950389151968E-2</v>
      </c>
      <c r="J31" s="79">
        <f t="shared" si="4"/>
        <v>0.27500000000000002</v>
      </c>
      <c r="K31" s="79">
        <f t="shared" si="5"/>
        <v>0.21415277234946925</v>
      </c>
      <c r="L31">
        <f t="shared" si="6"/>
        <v>5</v>
      </c>
      <c r="P31" s="42"/>
    </row>
    <row r="32" spans="1:16" ht="13.15" x14ac:dyDescent="0.4">
      <c r="A32" s="68" t="s">
        <v>163</v>
      </c>
      <c r="B32" s="42">
        <f t="shared" si="7"/>
        <v>12.421417</v>
      </c>
      <c r="C32" s="42">
        <f t="shared" si="7"/>
        <v>12.067727</v>
      </c>
      <c r="D32" s="42">
        <f t="shared" si="7"/>
        <v>11.836936</v>
      </c>
      <c r="E32" s="42">
        <f t="shared" si="7"/>
        <v>9.0229189999999999</v>
      </c>
      <c r="F32" s="42">
        <f t="shared" ref="F32" si="14">F76/F$8</f>
        <v>9.6313530000000007</v>
      </c>
      <c r="G32" s="80">
        <f t="shared" si="1"/>
        <v>10.996070399999999</v>
      </c>
      <c r="H32" s="81">
        <f t="shared" si="2"/>
        <v>54.980351999999996</v>
      </c>
      <c r="I32" s="79">
        <f t="shared" si="3"/>
        <v>0.12629356503586794</v>
      </c>
      <c r="J32" s="79">
        <f t="shared" si="4"/>
        <v>0.27500000000000002</v>
      </c>
      <c r="K32" s="79">
        <f t="shared" si="5"/>
        <v>0.30906477281193112</v>
      </c>
      <c r="L32">
        <f t="shared" si="6"/>
        <v>5</v>
      </c>
      <c r="P32" s="42"/>
    </row>
    <row r="33" spans="1:16" ht="13.15" x14ac:dyDescent="0.4">
      <c r="A33" s="68" t="s">
        <v>164</v>
      </c>
      <c r="B33" s="42">
        <f t="shared" si="7"/>
        <v>10.404263</v>
      </c>
      <c r="C33" s="42">
        <f t="shared" si="7"/>
        <v>10.242357</v>
      </c>
      <c r="D33" s="42">
        <f t="shared" si="7"/>
        <v>10.510382999999999</v>
      </c>
      <c r="E33" s="42">
        <f t="shared" si="7"/>
        <v>7.8063450000000003</v>
      </c>
      <c r="F33" s="42">
        <f t="shared" ref="F33" si="15">F77/F$8</f>
        <v>8.4147619999999996</v>
      </c>
      <c r="G33" s="80">
        <f t="shared" si="1"/>
        <v>9.4756219999999978</v>
      </c>
      <c r="H33" s="81">
        <f t="shared" si="2"/>
        <v>47.378109999999992</v>
      </c>
      <c r="I33" s="79">
        <f t="shared" si="3"/>
        <v>0.11970452202279658</v>
      </c>
      <c r="J33" s="79">
        <f t="shared" si="4"/>
        <v>0.27500000000000002</v>
      </c>
      <c r="K33" s="79">
        <f t="shared" si="5"/>
        <v>0.2853678629223495</v>
      </c>
      <c r="L33">
        <f t="shared" si="6"/>
        <v>5</v>
      </c>
      <c r="P33" s="42"/>
    </row>
    <row r="34" spans="1:16" ht="13.15" x14ac:dyDescent="0.4">
      <c r="A34" s="68" t="s">
        <v>165</v>
      </c>
      <c r="B34" s="42">
        <f t="shared" si="7"/>
        <v>9.6611019999999996</v>
      </c>
      <c r="C34" s="42">
        <f t="shared" si="7"/>
        <v>8.9240340000000007</v>
      </c>
      <c r="D34" s="42">
        <f t="shared" si="7"/>
        <v>9.4899579999999997</v>
      </c>
      <c r="E34" s="42">
        <f t="shared" si="7"/>
        <v>6.9952959999999997</v>
      </c>
      <c r="F34" s="42">
        <f t="shared" ref="F34" si="16">F78/F$8</f>
        <v>7.6036999999999999</v>
      </c>
      <c r="G34" s="80">
        <f t="shared" si="1"/>
        <v>8.5348180000000013</v>
      </c>
      <c r="H34" s="81">
        <f t="shared" si="2"/>
        <v>42.674090000000007</v>
      </c>
      <c r="I34" s="79">
        <f t="shared" si="3"/>
        <v>0.1236588399117696</v>
      </c>
      <c r="J34" s="79">
        <f t="shared" si="4"/>
        <v>0.27500000000000002</v>
      </c>
      <c r="K34" s="79">
        <f t="shared" si="5"/>
        <v>0.31234479751062055</v>
      </c>
      <c r="L34">
        <f t="shared" si="6"/>
        <v>5</v>
      </c>
      <c r="P34" s="42"/>
    </row>
    <row r="35" spans="1:16" ht="13.15" x14ac:dyDescent="0.4">
      <c r="A35" s="68" t="s">
        <v>166</v>
      </c>
      <c r="B35" s="42">
        <f t="shared" si="7"/>
        <v>7.9624470000000001</v>
      </c>
      <c r="C35" s="42">
        <f t="shared" si="7"/>
        <v>6.9972539999999999</v>
      </c>
      <c r="D35" s="42">
        <f t="shared" si="7"/>
        <v>7.9593189999999998</v>
      </c>
      <c r="E35" s="42">
        <f t="shared" si="7"/>
        <v>6.2856290000000001</v>
      </c>
      <c r="F35" s="42">
        <f t="shared" ref="F35" si="17">F79/F$8</f>
        <v>6.6912560000000001</v>
      </c>
      <c r="G35" s="80">
        <f t="shared" si="1"/>
        <v>7.1791809999999998</v>
      </c>
      <c r="H35" s="81">
        <f t="shared" si="2"/>
        <v>35.895904999999999</v>
      </c>
      <c r="I35" s="79">
        <f t="shared" si="3"/>
        <v>9.4302082572371229E-2</v>
      </c>
      <c r="J35" s="79">
        <f t="shared" si="4"/>
        <v>0.27500000000000002</v>
      </c>
      <c r="K35" s="79">
        <f t="shared" si="5"/>
        <v>0.23356675364501883</v>
      </c>
      <c r="L35">
        <f t="shared" si="6"/>
        <v>5</v>
      </c>
      <c r="P35" s="42"/>
    </row>
    <row r="36" spans="1:16" ht="13.15" x14ac:dyDescent="0.4">
      <c r="A36" s="68" t="s">
        <v>167</v>
      </c>
      <c r="B36" s="42">
        <f t="shared" si="7"/>
        <v>2.3356509999999999</v>
      </c>
      <c r="C36" s="42">
        <f t="shared" si="7"/>
        <v>1.7239610000000001</v>
      </c>
      <c r="D36" s="42">
        <f t="shared" si="7"/>
        <v>2.040851</v>
      </c>
      <c r="E36" s="42">
        <f t="shared" si="7"/>
        <v>1.622098</v>
      </c>
      <c r="F36" s="42">
        <f>F80/F$8</f>
        <v>1.1152089999999999</v>
      </c>
      <c r="G36" s="80">
        <f t="shared" si="1"/>
        <v>1.7675539999999998</v>
      </c>
      <c r="H36" s="81">
        <f t="shared" si="2"/>
        <v>8.837769999999999</v>
      </c>
      <c r="I36" s="79">
        <f t="shared" si="3"/>
        <v>0.23272179026976952</v>
      </c>
      <c r="J36" s="79">
        <f t="shared" si="4"/>
        <v>0.27500000000000002</v>
      </c>
      <c r="K36" s="79">
        <f t="shared" si="5"/>
        <v>0.6904694283738998</v>
      </c>
      <c r="L36">
        <f t="shared" si="6"/>
        <v>5</v>
      </c>
      <c r="P36" s="42"/>
    </row>
    <row r="37" spans="1:16" ht="13.15" x14ac:dyDescent="0.4">
      <c r="A37" s="68" t="s">
        <v>168</v>
      </c>
      <c r="B37" s="42">
        <f t="shared" si="7"/>
        <v>0.53083000000000002</v>
      </c>
      <c r="C37" s="42">
        <f t="shared" si="7"/>
        <v>0.50704700000000003</v>
      </c>
      <c r="D37" s="42">
        <f t="shared" si="7"/>
        <v>0.91838299999999995</v>
      </c>
      <c r="E37" s="42">
        <f t="shared" si="7"/>
        <v>0.101381</v>
      </c>
      <c r="F37" s="42">
        <f>F81/F$8</f>
        <v>0.101383</v>
      </c>
      <c r="G37" s="80">
        <f t="shared" si="1"/>
        <v>0.43180479999999993</v>
      </c>
      <c r="H37" s="81">
        <f t="shared" si="2"/>
        <v>2.1590239999999996</v>
      </c>
      <c r="I37" s="79">
        <f t="shared" si="3"/>
        <v>0.71047073292688112</v>
      </c>
      <c r="J37" s="79">
        <f t="shared" si="4"/>
        <v>0.27500000000000002</v>
      </c>
      <c r="K37" s="79">
        <f t="shared" si="5"/>
        <v>1.8920632656237266</v>
      </c>
      <c r="L37">
        <f t="shared" si="6"/>
        <v>5</v>
      </c>
    </row>
    <row r="38" spans="1:16" ht="13.15" x14ac:dyDescent="0.4">
      <c r="A38" s="68" t="s">
        <v>169</v>
      </c>
      <c r="B38" s="42">
        <f t="shared" si="7"/>
        <v>0.21233199999999999</v>
      </c>
      <c r="C38" s="42">
        <f t="shared" si="7"/>
        <v>0.202819</v>
      </c>
      <c r="D38" s="42">
        <f t="shared" si="7"/>
        <v>0.30612800000000001</v>
      </c>
      <c r="E38" s="42">
        <f t="shared" si="7"/>
        <v>0</v>
      </c>
      <c r="F38" s="42">
        <f>F82/F$8</f>
        <v>0</v>
      </c>
      <c r="G38" s="80">
        <f t="shared" si="1"/>
        <v>0.14425579999999999</v>
      </c>
      <c r="H38" s="81">
        <f t="shared" si="2"/>
        <v>0.721279</v>
      </c>
      <c r="I38" s="79">
        <f t="shared" si="3"/>
        <v>0.85400974421563902</v>
      </c>
      <c r="J38" s="79">
        <f t="shared" si="4"/>
        <v>0.27500000000000002</v>
      </c>
      <c r="K38" s="79">
        <f t="shared" si="5"/>
        <v>2.1221191799567158</v>
      </c>
      <c r="L38">
        <f t="shared" si="6"/>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ht="13.15" x14ac:dyDescent="0.4">
      <c r="B51" s="65" t="s">
        <v>40</v>
      </c>
      <c r="C51" s="65" t="s">
        <v>41</v>
      </c>
      <c r="D51" s="65" t="s">
        <v>43</v>
      </c>
      <c r="E51" s="65" t="s">
        <v>44</v>
      </c>
      <c r="F51" s="65" t="s">
        <v>46</v>
      </c>
      <c r="G51" s="65"/>
      <c r="H51" s="65"/>
      <c r="I51" s="65"/>
      <c r="J51" s="65"/>
      <c r="K51" s="65"/>
      <c r="L51" s="65"/>
      <c r="M51" s="65"/>
      <c r="N51" s="65"/>
      <c r="O51" s="65"/>
      <c r="P51" s="65"/>
    </row>
    <row r="52" spans="1:16" ht="13.15" x14ac:dyDescent="0.4">
      <c r="A52" s="65" t="s">
        <v>181</v>
      </c>
      <c r="B52">
        <v>9.4192149999999994</v>
      </c>
      <c r="C52">
        <v>9.8610120000000006</v>
      </c>
      <c r="D52">
        <v>9.7998329999999996</v>
      </c>
      <c r="E52">
        <v>9.8637700000000006</v>
      </c>
      <c r="F52">
        <v>9.8636189999999999</v>
      </c>
    </row>
    <row r="53" spans="1:16" ht="13.15" x14ac:dyDescent="0.4">
      <c r="A53" s="8">
        <v>4</v>
      </c>
      <c r="B53">
        <v>1716.491211</v>
      </c>
      <c r="C53">
        <v>1643.644775</v>
      </c>
      <c r="D53">
        <v>1635.6400149999999</v>
      </c>
      <c r="E53">
        <v>1685.3596190000001</v>
      </c>
      <c r="F53">
        <v>1638.6480710000001</v>
      </c>
    </row>
    <row r="54" spans="1:16" ht="13.15" x14ac:dyDescent="0.4">
      <c r="A54" s="8">
        <v>5</v>
      </c>
      <c r="B54">
        <v>1705.13147</v>
      </c>
      <c r="C54">
        <v>1635.7348629999999</v>
      </c>
      <c r="D54">
        <v>1629.4155270000001</v>
      </c>
      <c r="E54">
        <v>1680.8988039999999</v>
      </c>
      <c r="F54">
        <v>1634.5927730000001</v>
      </c>
    </row>
    <row r="55" spans="1:16" ht="13.15" x14ac:dyDescent="0.4">
      <c r="A55" s="8">
        <v>6</v>
      </c>
      <c r="B55">
        <v>1699.2923579999999</v>
      </c>
      <c r="C55">
        <v>1631.475586</v>
      </c>
      <c r="D55">
        <v>1625.537842</v>
      </c>
      <c r="E55">
        <v>1677.5532229999999</v>
      </c>
      <c r="F55">
        <v>1631.5512699999999</v>
      </c>
    </row>
    <row r="56" spans="1:16" ht="13.15" x14ac:dyDescent="0.4">
      <c r="A56" s="8">
        <v>7</v>
      </c>
      <c r="B56">
        <v>1696.4257809999999</v>
      </c>
      <c r="C56">
        <v>1627.8249510000001</v>
      </c>
      <c r="D56">
        <v>1624.007202</v>
      </c>
      <c r="E56">
        <v>1675.829712</v>
      </c>
      <c r="F56">
        <v>1629.7264399999999</v>
      </c>
    </row>
    <row r="57" spans="1:16" ht="13.15" x14ac:dyDescent="0.4">
      <c r="A57" s="8">
        <v>8</v>
      </c>
      <c r="B57">
        <v>1693.984009</v>
      </c>
      <c r="C57">
        <v>1626.709351</v>
      </c>
      <c r="D57">
        <v>1623.496948</v>
      </c>
      <c r="E57">
        <v>1674.9173579999999</v>
      </c>
      <c r="F57">
        <v>1628.915283</v>
      </c>
    </row>
    <row r="58" spans="1:16" ht="13.15" x14ac:dyDescent="0.4">
      <c r="A58" s="8">
        <v>9</v>
      </c>
      <c r="B58">
        <v>1691.8607179999999</v>
      </c>
      <c r="C58">
        <v>1625.9995120000001</v>
      </c>
      <c r="D58">
        <v>1622.7827150000001</v>
      </c>
      <c r="E58">
        <v>1674.4104</v>
      </c>
      <c r="F58">
        <v>1628.0029300000001</v>
      </c>
    </row>
    <row r="59" spans="1:16" ht="13.15" x14ac:dyDescent="0.4">
      <c r="A59" s="8">
        <v>10</v>
      </c>
      <c r="B59">
        <v>1689.631226</v>
      </c>
      <c r="C59">
        <v>1624.376953</v>
      </c>
      <c r="D59">
        <v>1621.2520750000001</v>
      </c>
      <c r="E59">
        <v>1672.5855710000001</v>
      </c>
      <c r="F59">
        <v>1626.989014</v>
      </c>
    </row>
    <row r="60" spans="1:16" ht="13.15" x14ac:dyDescent="0.4">
      <c r="A60" s="8">
        <v>11</v>
      </c>
      <c r="B60">
        <v>1662.452759</v>
      </c>
      <c r="C60">
        <v>1591.7231449999999</v>
      </c>
      <c r="D60">
        <v>1598.1904300000001</v>
      </c>
      <c r="E60">
        <v>1646.3278809999999</v>
      </c>
      <c r="F60">
        <v>1605.8000489999999</v>
      </c>
    </row>
    <row r="61" spans="1:16" ht="13.15" x14ac:dyDescent="0.4">
      <c r="A61" s="8">
        <v>12</v>
      </c>
      <c r="B61">
        <v>1253.2891850000001</v>
      </c>
      <c r="C61">
        <v>1212.95874</v>
      </c>
      <c r="D61">
        <v>1242.1639399999999</v>
      </c>
      <c r="E61">
        <v>1260.369995</v>
      </c>
      <c r="F61">
        <v>1254.813232</v>
      </c>
    </row>
    <row r="62" spans="1:16" ht="13.15" x14ac:dyDescent="0.4">
      <c r="A62" s="8">
        <v>13</v>
      </c>
      <c r="B62">
        <v>426.78714000000002</v>
      </c>
      <c r="C62">
        <v>424.29724099999999</v>
      </c>
      <c r="D62">
        <v>439.70135499999998</v>
      </c>
      <c r="E62">
        <v>435.63464399999998</v>
      </c>
      <c r="F62">
        <v>429.86251800000002</v>
      </c>
    </row>
    <row r="63" spans="1:16" ht="13.15" x14ac:dyDescent="0.4">
      <c r="A63" s="8">
        <v>14</v>
      </c>
      <c r="B63">
        <v>111.580421</v>
      </c>
      <c r="C63">
        <v>114.694115</v>
      </c>
      <c r="D63">
        <v>111.328423</v>
      </c>
      <c r="E63">
        <v>113.03994</v>
      </c>
      <c r="F63">
        <v>111.52093499999999</v>
      </c>
    </row>
    <row r="64" spans="1:16" ht="13.15" x14ac:dyDescent="0.4">
      <c r="A64" s="8">
        <v>15</v>
      </c>
      <c r="B64">
        <v>76.120994999999994</v>
      </c>
      <c r="C64">
        <v>76.665565000000001</v>
      </c>
      <c r="D64">
        <v>75.817618999999993</v>
      </c>
      <c r="E64">
        <v>77.252403000000001</v>
      </c>
      <c r="F64">
        <v>76.442535000000007</v>
      </c>
    </row>
    <row r="65" spans="1:6" ht="13.15" x14ac:dyDescent="0.4">
      <c r="A65" s="8">
        <v>16</v>
      </c>
      <c r="B65">
        <v>69.857201000000003</v>
      </c>
      <c r="C65">
        <v>69.465491999999998</v>
      </c>
      <c r="D65">
        <v>69.082808999999997</v>
      </c>
      <c r="E65">
        <v>69.851585</v>
      </c>
      <c r="F65">
        <v>70.055428000000006</v>
      </c>
    </row>
    <row r="66" spans="1:6" ht="13.15" x14ac:dyDescent="0.4">
      <c r="A66" s="8">
        <v>17</v>
      </c>
      <c r="B66">
        <v>59.771434999999997</v>
      </c>
      <c r="C66">
        <v>56.586486999999998</v>
      </c>
      <c r="D66">
        <v>57.551997999999998</v>
      </c>
      <c r="E66">
        <v>58.192757</v>
      </c>
      <c r="F66">
        <v>60.221305999999998</v>
      </c>
    </row>
    <row r="67" spans="1:6" ht="13.15" x14ac:dyDescent="0.4">
      <c r="A67" s="8">
        <v>18</v>
      </c>
      <c r="B67">
        <v>45.014366000000003</v>
      </c>
      <c r="C67">
        <v>44.113121</v>
      </c>
      <c r="D67">
        <v>42.755828999999999</v>
      </c>
      <c r="E67">
        <v>42.073162000000004</v>
      </c>
      <c r="F67">
        <v>42.479340000000001</v>
      </c>
    </row>
    <row r="68" spans="1:6" ht="13.15" x14ac:dyDescent="0.4">
      <c r="A68" s="8">
        <v>19</v>
      </c>
      <c r="B68">
        <v>31.955953999999998</v>
      </c>
      <c r="C68">
        <v>31.538347000000002</v>
      </c>
      <c r="D68">
        <v>30.40868</v>
      </c>
      <c r="E68">
        <v>28.690854999999999</v>
      </c>
      <c r="F68">
        <v>30.414801000000001</v>
      </c>
    </row>
    <row r="69" spans="1:6" ht="13.15" x14ac:dyDescent="0.4">
      <c r="A69" s="8">
        <v>20</v>
      </c>
      <c r="B69">
        <v>24.312004000000002</v>
      </c>
      <c r="C69">
        <v>24.034046</v>
      </c>
      <c r="D69">
        <v>22.755489000000001</v>
      </c>
      <c r="E69">
        <v>22.303844000000002</v>
      </c>
      <c r="F69">
        <v>23.318014000000002</v>
      </c>
    </row>
    <row r="70" spans="1:6" ht="13.15" x14ac:dyDescent="0.4">
      <c r="A70" s="8">
        <v>21</v>
      </c>
      <c r="B70">
        <v>22.082519999999999</v>
      </c>
      <c r="C70">
        <v>21.803038000000001</v>
      </c>
      <c r="D70">
        <v>20.102383</v>
      </c>
      <c r="E70">
        <v>19.972078</v>
      </c>
      <c r="F70">
        <v>20.580680999999998</v>
      </c>
    </row>
    <row r="71" spans="1:6" ht="13.15" x14ac:dyDescent="0.4">
      <c r="A71" s="8">
        <v>22</v>
      </c>
      <c r="B71">
        <v>19.322205</v>
      </c>
      <c r="C71">
        <v>20.383305</v>
      </c>
      <c r="D71">
        <v>19.388083999999999</v>
      </c>
      <c r="E71">
        <v>18.2486</v>
      </c>
      <c r="F71">
        <v>18.654411</v>
      </c>
    </row>
    <row r="72" spans="1:6" ht="13.15" x14ac:dyDescent="0.4">
      <c r="A72" s="8">
        <v>23</v>
      </c>
      <c r="B72">
        <v>17.305052</v>
      </c>
      <c r="C72">
        <v>17.645247999999999</v>
      </c>
      <c r="D72">
        <v>17.449276000000001</v>
      </c>
      <c r="E72">
        <v>15.916834</v>
      </c>
      <c r="F72">
        <v>16.423991999999998</v>
      </c>
    </row>
    <row r="73" spans="1:6" ht="13.15" x14ac:dyDescent="0.4">
      <c r="A73" s="8">
        <v>24</v>
      </c>
      <c r="B73">
        <v>15.394064</v>
      </c>
      <c r="C73">
        <v>15.819879</v>
      </c>
      <c r="D73">
        <v>15.102297999999999</v>
      </c>
      <c r="E73">
        <v>14.598879999999999</v>
      </c>
      <c r="F73">
        <v>14.193574</v>
      </c>
    </row>
    <row r="74" spans="1:6" ht="13.15" x14ac:dyDescent="0.4">
      <c r="A74" s="8">
        <v>25</v>
      </c>
      <c r="B74">
        <v>14.120072</v>
      </c>
      <c r="C74">
        <v>14.298736</v>
      </c>
      <c r="D74">
        <v>13.877787</v>
      </c>
      <c r="E74">
        <v>12.672639</v>
      </c>
      <c r="F74">
        <v>12.571451</v>
      </c>
    </row>
    <row r="75" spans="1:6" ht="13.15" x14ac:dyDescent="0.4">
      <c r="A75" s="8">
        <v>26</v>
      </c>
      <c r="B75">
        <v>13.376910000000001</v>
      </c>
      <c r="C75">
        <v>13.183230999999999</v>
      </c>
      <c r="D75">
        <v>12.755319</v>
      </c>
      <c r="E75">
        <v>10.746397999999999</v>
      </c>
      <c r="F75">
        <v>11.354858</v>
      </c>
    </row>
    <row r="76" spans="1:6" ht="13.15" x14ac:dyDescent="0.4">
      <c r="A76" s="8">
        <v>27</v>
      </c>
      <c r="B76">
        <v>12.421417</v>
      </c>
      <c r="C76">
        <v>12.067727</v>
      </c>
      <c r="D76">
        <v>11.836936</v>
      </c>
      <c r="E76">
        <v>9.0229189999999999</v>
      </c>
      <c r="F76">
        <v>9.6313530000000007</v>
      </c>
    </row>
    <row r="77" spans="1:6" ht="13.15" x14ac:dyDescent="0.4">
      <c r="A77" s="8">
        <v>28</v>
      </c>
      <c r="B77">
        <v>10.404263</v>
      </c>
      <c r="C77">
        <v>10.242357</v>
      </c>
      <c r="D77">
        <v>10.510382999999999</v>
      </c>
      <c r="E77">
        <v>7.8063450000000003</v>
      </c>
      <c r="F77">
        <v>8.4147619999999996</v>
      </c>
    </row>
    <row r="78" spans="1:6" ht="13.15" x14ac:dyDescent="0.4">
      <c r="A78" s="8">
        <v>29</v>
      </c>
      <c r="B78">
        <v>9.6611019999999996</v>
      </c>
      <c r="C78">
        <v>8.9240340000000007</v>
      </c>
      <c r="D78">
        <v>9.4899579999999997</v>
      </c>
      <c r="E78">
        <v>6.9952959999999997</v>
      </c>
      <c r="F78">
        <v>7.6036999999999999</v>
      </c>
    </row>
    <row r="79" spans="1:6" ht="13.15" x14ac:dyDescent="0.4">
      <c r="A79" s="8">
        <v>30</v>
      </c>
      <c r="B79">
        <v>7.9624470000000001</v>
      </c>
      <c r="C79">
        <v>6.9972539999999999</v>
      </c>
      <c r="D79">
        <v>7.9593189999999998</v>
      </c>
      <c r="E79">
        <v>6.2856290000000001</v>
      </c>
      <c r="F79">
        <v>6.6912560000000001</v>
      </c>
    </row>
    <row r="80" spans="1:6" ht="13.15" x14ac:dyDescent="0.4">
      <c r="A80" s="8">
        <v>38</v>
      </c>
      <c r="B80">
        <v>2.3356509999999999</v>
      </c>
      <c r="C80">
        <v>1.7239610000000001</v>
      </c>
      <c r="D80">
        <v>2.040851</v>
      </c>
      <c r="E80">
        <v>1.622098</v>
      </c>
      <c r="F80">
        <v>1.1152089999999999</v>
      </c>
    </row>
    <row r="81" spans="1:32" ht="13.15" x14ac:dyDescent="0.4">
      <c r="A81" s="8">
        <v>50</v>
      </c>
      <c r="B81">
        <v>0.53083000000000002</v>
      </c>
      <c r="C81">
        <v>0.50704700000000003</v>
      </c>
      <c r="D81">
        <v>0.91838299999999995</v>
      </c>
      <c r="E81">
        <v>0.101381</v>
      </c>
      <c r="F81">
        <v>0.101383</v>
      </c>
    </row>
    <row r="82" spans="1:32" ht="13.15" x14ac:dyDescent="0.4">
      <c r="A82" s="8">
        <v>70</v>
      </c>
      <c r="B82">
        <v>0.21233199999999999</v>
      </c>
      <c r="C82">
        <v>0.202819</v>
      </c>
      <c r="D82">
        <v>0.30612800000000001</v>
      </c>
      <c r="E82">
        <v>0</v>
      </c>
      <c r="F82">
        <v>0</v>
      </c>
    </row>
    <row r="84" spans="1:32" x14ac:dyDescent="0.35">
      <c r="A84">
        <v>1</v>
      </c>
      <c r="B84">
        <v>9.4192149999999994</v>
      </c>
      <c r="C84">
        <v>1716.491211</v>
      </c>
      <c r="D84">
        <v>1705.13147</v>
      </c>
      <c r="E84">
        <v>1699.2923579999999</v>
      </c>
      <c r="F84">
        <v>1696.4257809999999</v>
      </c>
      <c r="G84">
        <v>1693.984009</v>
      </c>
      <c r="H84">
        <v>1691.8607179999999</v>
      </c>
      <c r="I84">
        <v>1689.631226</v>
      </c>
      <c r="J84">
        <v>1662.452759</v>
      </c>
      <c r="K84">
        <v>1253.2891850000001</v>
      </c>
      <c r="L84">
        <v>426.78714000000002</v>
      </c>
      <c r="M84">
        <v>111.580421</v>
      </c>
      <c r="N84">
        <v>76.120994999999994</v>
      </c>
      <c r="O84">
        <v>69.857201000000003</v>
      </c>
      <c r="P84">
        <v>59.771434999999997</v>
      </c>
      <c r="Q84">
        <v>45.014366000000003</v>
      </c>
      <c r="R84">
        <v>31.955953999999998</v>
      </c>
      <c r="S84">
        <v>24.312004000000002</v>
      </c>
      <c r="T84">
        <v>22.082519999999999</v>
      </c>
      <c r="U84">
        <v>19.322205</v>
      </c>
      <c r="V84">
        <v>17.305052</v>
      </c>
      <c r="W84">
        <v>15.394064</v>
      </c>
      <c r="X84">
        <v>14.120072</v>
      </c>
      <c r="Y84">
        <v>13.376910000000001</v>
      </c>
      <c r="Z84">
        <v>12.421417</v>
      </c>
      <c r="AA84">
        <v>10.404263</v>
      </c>
      <c r="AB84">
        <v>9.6611019999999996</v>
      </c>
      <c r="AC84">
        <v>7.9624470000000001</v>
      </c>
      <c r="AD84">
        <v>2.3356509999999999</v>
      </c>
      <c r="AE84">
        <v>0.53083000000000002</v>
      </c>
      <c r="AF84">
        <v>0.21233199999999999</v>
      </c>
    </row>
    <row r="85" spans="1:32" x14ac:dyDescent="0.35">
      <c r="A85">
        <v>2</v>
      </c>
      <c r="B85">
        <v>9.8610120000000006</v>
      </c>
      <c r="C85">
        <v>1643.644775</v>
      </c>
      <c r="D85">
        <v>1635.7348629999999</v>
      </c>
      <c r="E85">
        <v>1631.475586</v>
      </c>
      <c r="F85">
        <v>1627.8249510000001</v>
      </c>
      <c r="G85">
        <v>1626.709351</v>
      </c>
      <c r="H85">
        <v>1625.9995120000001</v>
      </c>
      <c r="I85">
        <v>1624.376953</v>
      </c>
      <c r="J85">
        <v>1591.7231449999999</v>
      </c>
      <c r="K85">
        <v>1212.95874</v>
      </c>
      <c r="L85">
        <v>424.29724099999999</v>
      </c>
      <c r="M85">
        <v>114.694115</v>
      </c>
      <c r="N85">
        <v>76.665565000000001</v>
      </c>
      <c r="O85">
        <v>69.465491999999998</v>
      </c>
      <c r="P85">
        <v>56.586486999999998</v>
      </c>
      <c r="Q85">
        <v>44.113121</v>
      </c>
      <c r="R85">
        <v>31.538347000000002</v>
      </c>
      <c r="S85">
        <v>24.034046</v>
      </c>
      <c r="T85">
        <v>21.803038000000001</v>
      </c>
      <c r="U85">
        <v>20.383305</v>
      </c>
      <c r="V85">
        <v>17.645247999999999</v>
      </c>
      <c r="W85">
        <v>15.819879</v>
      </c>
      <c r="X85">
        <v>14.298736</v>
      </c>
      <c r="Y85">
        <v>13.183230999999999</v>
      </c>
      <c r="Z85">
        <v>12.067727</v>
      </c>
      <c r="AA85">
        <v>10.242357</v>
      </c>
      <c r="AB85">
        <v>8.9240340000000007</v>
      </c>
      <c r="AC85">
        <v>6.9972539999999999</v>
      </c>
      <c r="AD85">
        <v>1.7239610000000001</v>
      </c>
      <c r="AE85">
        <v>0.50704700000000003</v>
      </c>
      <c r="AF85">
        <v>0.202819</v>
      </c>
    </row>
    <row r="86" spans="1:32" x14ac:dyDescent="0.35">
      <c r="A86">
        <v>3</v>
      </c>
      <c r="B86">
        <v>9.7998329999999996</v>
      </c>
      <c r="C86">
        <v>1635.6400149999999</v>
      </c>
      <c r="D86">
        <v>1629.4155270000001</v>
      </c>
      <c r="E86">
        <v>1625.537842</v>
      </c>
      <c r="F86">
        <v>1624.007202</v>
      </c>
      <c r="G86">
        <v>1623.496948</v>
      </c>
      <c r="H86">
        <v>1622.7827150000001</v>
      </c>
      <c r="I86">
        <v>1621.2520750000001</v>
      </c>
      <c r="J86">
        <v>1598.1904300000001</v>
      </c>
      <c r="K86">
        <v>1242.1639399999999</v>
      </c>
      <c r="L86">
        <v>439.70135499999998</v>
      </c>
      <c r="M86">
        <v>111.328423</v>
      </c>
      <c r="N86">
        <v>75.817618999999993</v>
      </c>
      <c r="O86">
        <v>69.082808999999997</v>
      </c>
      <c r="P86">
        <v>57.551997999999998</v>
      </c>
      <c r="Q86">
        <v>42.755828999999999</v>
      </c>
      <c r="R86">
        <v>30.40868</v>
      </c>
      <c r="S86">
        <v>22.755489000000001</v>
      </c>
      <c r="T86">
        <v>20.102383</v>
      </c>
      <c r="U86">
        <v>19.388083999999999</v>
      </c>
      <c r="V86">
        <v>17.449276000000001</v>
      </c>
      <c r="W86">
        <v>15.102297999999999</v>
      </c>
      <c r="X86">
        <v>13.877787</v>
      </c>
      <c r="Y86">
        <v>12.755319</v>
      </c>
      <c r="Z86">
        <v>11.836936</v>
      </c>
      <c r="AA86">
        <v>10.510382999999999</v>
      </c>
      <c r="AB86">
        <v>9.4899579999999997</v>
      </c>
      <c r="AC86">
        <v>7.9593189999999998</v>
      </c>
      <c r="AD86">
        <v>2.040851</v>
      </c>
      <c r="AE86">
        <v>0.91838299999999995</v>
      </c>
      <c r="AF86">
        <v>0.30612800000000001</v>
      </c>
    </row>
    <row r="87" spans="1:32" x14ac:dyDescent="0.35">
      <c r="A87">
        <v>4</v>
      </c>
      <c r="B87">
        <v>9.8637700000000006</v>
      </c>
      <c r="C87">
        <v>1685.3596190000001</v>
      </c>
      <c r="D87">
        <v>1680.8988039999999</v>
      </c>
      <c r="E87">
        <v>1677.5532229999999</v>
      </c>
      <c r="F87">
        <v>1675.829712</v>
      </c>
      <c r="G87">
        <v>1674.9173579999999</v>
      </c>
      <c r="H87">
        <v>1674.4104</v>
      </c>
      <c r="I87">
        <v>1672.5855710000001</v>
      </c>
      <c r="J87">
        <v>1646.3278809999999</v>
      </c>
      <c r="K87">
        <v>1260.369995</v>
      </c>
      <c r="L87">
        <v>435.63464399999998</v>
      </c>
      <c r="M87">
        <v>113.03994</v>
      </c>
      <c r="N87">
        <v>77.252403000000001</v>
      </c>
      <c r="O87">
        <v>69.851585</v>
      </c>
      <c r="P87">
        <v>58.192757</v>
      </c>
      <c r="Q87">
        <v>42.073162000000004</v>
      </c>
      <c r="R87">
        <v>28.690854999999999</v>
      </c>
      <c r="S87">
        <v>22.303844000000002</v>
      </c>
      <c r="T87">
        <v>19.972078</v>
      </c>
      <c r="U87">
        <v>18.2486</v>
      </c>
      <c r="V87">
        <v>15.916834</v>
      </c>
      <c r="W87">
        <v>14.598879999999999</v>
      </c>
      <c r="X87">
        <v>12.672639</v>
      </c>
      <c r="Y87">
        <v>10.746397999999999</v>
      </c>
      <c r="Z87">
        <v>9.0229189999999999</v>
      </c>
      <c r="AA87">
        <v>7.8063450000000003</v>
      </c>
      <c r="AB87">
        <v>6.9952959999999997</v>
      </c>
      <c r="AC87">
        <v>6.2856290000000001</v>
      </c>
      <c r="AD87">
        <v>1.622098</v>
      </c>
      <c r="AE87">
        <v>0.101381</v>
      </c>
      <c r="AF87">
        <v>0</v>
      </c>
    </row>
    <row r="88" spans="1:32" x14ac:dyDescent="0.35">
      <c r="A88">
        <v>5</v>
      </c>
      <c r="B88">
        <v>9.8636189999999999</v>
      </c>
      <c r="C88">
        <v>1638.6480710000001</v>
      </c>
      <c r="D88">
        <v>1634.5927730000001</v>
      </c>
      <c r="E88">
        <v>1631.5512699999999</v>
      </c>
      <c r="F88">
        <v>1629.7264399999999</v>
      </c>
      <c r="G88">
        <v>1628.915283</v>
      </c>
      <c r="H88">
        <v>1628.0029300000001</v>
      </c>
      <c r="I88">
        <v>1626.989014</v>
      </c>
      <c r="J88">
        <v>1605.8000489999999</v>
      </c>
      <c r="K88">
        <v>1254.813232</v>
      </c>
      <c r="L88">
        <v>429.86251800000002</v>
      </c>
      <c r="M88">
        <v>111.52093499999999</v>
      </c>
      <c r="N88">
        <v>76.442535000000007</v>
      </c>
      <c r="O88">
        <v>70.055428000000006</v>
      </c>
      <c r="P88">
        <v>60.221305999999998</v>
      </c>
      <c r="Q88">
        <v>42.479340000000001</v>
      </c>
      <c r="R88">
        <v>30.414801000000001</v>
      </c>
      <c r="S88">
        <v>23.318014000000002</v>
      </c>
      <c r="T88">
        <v>20.580680999999998</v>
      </c>
      <c r="U88">
        <v>18.654411</v>
      </c>
      <c r="V88">
        <v>16.423991999999998</v>
      </c>
      <c r="W88">
        <v>14.193574</v>
      </c>
      <c r="X88">
        <v>12.571451</v>
      </c>
      <c r="Y88">
        <v>11.354858</v>
      </c>
      <c r="Z88">
        <v>9.6313530000000007</v>
      </c>
      <c r="AA88">
        <v>8.4147619999999996</v>
      </c>
      <c r="AB88">
        <v>7.6036999999999999</v>
      </c>
      <c r="AC88">
        <v>6.6912560000000001</v>
      </c>
      <c r="AD88">
        <v>1.1152089999999999</v>
      </c>
      <c r="AE88">
        <v>0.101383</v>
      </c>
      <c r="AF88">
        <v>0</v>
      </c>
    </row>
  </sheetData>
  <mergeCells count="1">
    <mergeCell ref="A2:E2"/>
  </mergeCells>
  <conditionalFormatting sqref="H9:H40">
    <cfRule type="cellIs" dxfId="13" priority="1" operator="greaterThan">
      <formula>1000</formula>
    </cfRule>
  </conditionalFormatting>
  <conditionalFormatting sqref="K9:K40">
    <cfRule type="cellIs" dxfId="12" priority="2" operator="lessThan">
      <formula>J11</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5CC58-3817-43FA-99FC-D74D65D322D7}">
  <dimension ref="A1:AMJ1002"/>
  <sheetViews>
    <sheetView zoomScale="85" zoomScaleNormal="85" workbookViewId="0">
      <selection activeCell="B63" sqref="B63"/>
    </sheetView>
  </sheetViews>
  <sheetFormatPr defaultColWidth="11.19921875" defaultRowHeight="13.5" x14ac:dyDescent="0.35"/>
  <cols>
    <col min="1" max="1" width="22.3984375" style="140" customWidth="1"/>
    <col min="2" max="2" width="15.265625" style="140" customWidth="1"/>
    <col min="3" max="11" width="11.19921875" style="140"/>
    <col min="12" max="12" width="5.265625" style="140" customWidth="1"/>
    <col min="13" max="13" width="9.53125" style="140" customWidth="1"/>
    <col min="14" max="16384" width="11.19921875" style="140"/>
  </cols>
  <sheetData>
    <row r="1" spans="1:1024" ht="101.25" customHeight="1" x14ac:dyDescent="0.35">
      <c r="A1" s="138" t="s">
        <v>310</v>
      </c>
      <c r="B1" s="139" t="s">
        <v>15</v>
      </c>
      <c r="C1" s="267" t="s">
        <v>294</v>
      </c>
      <c r="D1" s="267"/>
      <c r="E1" s="267"/>
      <c r="F1" s="267"/>
      <c r="G1" s="267"/>
      <c r="H1" s="267"/>
      <c r="I1" s="139"/>
      <c r="J1" s="139"/>
      <c r="K1" s="139"/>
      <c r="L1" s="140" t="s">
        <v>252</v>
      </c>
      <c r="M1" s="142" t="s">
        <v>342</v>
      </c>
      <c r="N1" s="139" t="s">
        <v>253</v>
      </c>
      <c r="O1" s="139" t="s">
        <v>300</v>
      </c>
      <c r="P1" s="139"/>
      <c r="Q1" s="139"/>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39"/>
      <c r="AR1" s="139"/>
      <c r="AS1" s="139"/>
      <c r="AT1" s="139"/>
      <c r="AU1" s="139"/>
      <c r="AV1" s="139"/>
      <c r="AW1" s="139"/>
      <c r="AX1" s="139"/>
      <c r="AY1" s="139"/>
      <c r="AZ1" s="139"/>
      <c r="BA1" s="139"/>
      <c r="BB1" s="139"/>
      <c r="BC1" s="139"/>
      <c r="BD1" s="139"/>
      <c r="BE1" s="139"/>
      <c r="BF1" s="139"/>
      <c r="BG1" s="139"/>
      <c r="BH1" s="139"/>
      <c r="BI1" s="139"/>
      <c r="BJ1" s="139"/>
      <c r="BK1" s="139"/>
      <c r="BL1" s="139"/>
      <c r="BM1" s="139"/>
      <c r="BN1" s="139"/>
      <c r="BO1" s="139"/>
      <c r="BP1" s="139"/>
      <c r="BQ1" s="139"/>
      <c r="BR1" s="139"/>
      <c r="BS1" s="139"/>
      <c r="BT1" s="139"/>
      <c r="BU1" s="139"/>
      <c r="BV1" s="139"/>
      <c r="BW1" s="139"/>
      <c r="BX1" s="139"/>
      <c r="BY1" s="139"/>
      <c r="BZ1" s="139"/>
      <c r="CA1" s="139"/>
      <c r="CB1" s="139"/>
      <c r="CC1" s="139"/>
      <c r="CD1" s="139"/>
      <c r="CE1" s="139"/>
      <c r="CF1" s="139"/>
      <c r="CG1" s="139"/>
      <c r="CH1" s="139"/>
      <c r="CI1" s="139"/>
      <c r="CJ1" s="139"/>
      <c r="CK1" s="139"/>
      <c r="CL1" s="139"/>
      <c r="CM1" s="139"/>
      <c r="CN1" s="139"/>
      <c r="CO1" s="139"/>
      <c r="CP1" s="139"/>
      <c r="CQ1" s="139"/>
      <c r="CR1" s="139"/>
      <c r="CS1" s="139"/>
      <c r="CT1" s="139"/>
      <c r="CU1" s="139"/>
      <c r="CV1" s="139"/>
      <c r="CW1" s="139"/>
      <c r="CX1" s="139"/>
      <c r="CY1" s="139"/>
      <c r="CZ1" s="139"/>
      <c r="DA1" s="139"/>
      <c r="DB1" s="139"/>
      <c r="DC1" s="139"/>
      <c r="DD1" s="139"/>
      <c r="DE1" s="139"/>
      <c r="DF1" s="139"/>
      <c r="DG1" s="139"/>
      <c r="DH1" s="139"/>
      <c r="DI1" s="139"/>
      <c r="DJ1" s="139"/>
      <c r="DK1" s="139"/>
      <c r="DL1" s="139"/>
      <c r="DM1" s="139"/>
      <c r="DN1" s="139"/>
      <c r="DO1" s="139"/>
      <c r="DP1" s="139"/>
      <c r="DQ1" s="139"/>
      <c r="DR1" s="139"/>
      <c r="DS1" s="139"/>
      <c r="DT1" s="139"/>
      <c r="DU1" s="139"/>
      <c r="DV1" s="139"/>
      <c r="DW1" s="139"/>
      <c r="DX1" s="139"/>
      <c r="DY1" s="139"/>
      <c r="DZ1" s="139"/>
      <c r="EA1" s="139"/>
      <c r="EB1" s="139"/>
      <c r="EC1" s="139"/>
      <c r="ED1" s="139"/>
      <c r="EE1" s="139"/>
      <c r="EF1" s="139"/>
      <c r="EG1" s="139"/>
      <c r="EH1" s="139"/>
      <c r="EI1" s="139"/>
      <c r="EJ1" s="139"/>
      <c r="EK1" s="139"/>
      <c r="EL1" s="139"/>
      <c r="EM1" s="139"/>
      <c r="EN1" s="139"/>
      <c r="EO1" s="139"/>
      <c r="EP1" s="139"/>
      <c r="EQ1" s="139"/>
      <c r="ER1" s="139"/>
      <c r="ES1" s="139"/>
      <c r="ET1" s="139"/>
      <c r="EU1" s="139"/>
      <c r="EV1" s="139"/>
      <c r="EW1" s="139"/>
      <c r="EX1" s="139"/>
      <c r="EY1" s="139"/>
      <c r="EZ1" s="139"/>
      <c r="FA1" s="139"/>
      <c r="FB1" s="139"/>
      <c r="FC1" s="139"/>
      <c r="FD1" s="139"/>
      <c r="FE1" s="139"/>
      <c r="FF1" s="139"/>
      <c r="FG1" s="139"/>
      <c r="FH1" s="139"/>
      <c r="FI1" s="139"/>
      <c r="FJ1" s="139"/>
      <c r="FK1" s="139"/>
      <c r="FL1" s="139"/>
      <c r="FM1" s="139"/>
      <c r="FN1" s="139"/>
      <c r="FO1" s="139"/>
      <c r="FP1" s="139"/>
      <c r="FQ1" s="139"/>
      <c r="FR1" s="139"/>
      <c r="FS1" s="139"/>
      <c r="FT1" s="139"/>
      <c r="FU1" s="139"/>
      <c r="FV1" s="139"/>
      <c r="FW1" s="139"/>
      <c r="FX1" s="139"/>
      <c r="FY1" s="139"/>
      <c r="FZ1" s="139"/>
      <c r="GA1" s="139"/>
      <c r="GB1" s="139"/>
      <c r="GC1" s="139"/>
      <c r="GD1" s="139"/>
      <c r="GE1" s="139"/>
      <c r="GF1" s="139"/>
      <c r="GG1" s="139"/>
      <c r="GH1" s="139"/>
      <c r="GI1" s="139"/>
      <c r="GJ1" s="139"/>
      <c r="GK1" s="139"/>
      <c r="GL1" s="139"/>
      <c r="GM1" s="139"/>
      <c r="GN1" s="139"/>
      <c r="GO1" s="139"/>
      <c r="GP1" s="139"/>
      <c r="GQ1" s="139"/>
      <c r="GR1" s="139"/>
      <c r="GS1" s="139"/>
      <c r="GT1" s="139"/>
      <c r="GU1" s="139"/>
      <c r="GV1" s="139"/>
      <c r="GW1" s="139"/>
      <c r="GX1" s="139"/>
      <c r="GY1" s="139"/>
      <c r="GZ1" s="139"/>
      <c r="HA1" s="139"/>
      <c r="HB1" s="139"/>
      <c r="HC1" s="139"/>
      <c r="HD1" s="139"/>
      <c r="HE1" s="139"/>
      <c r="HF1" s="139"/>
      <c r="HG1" s="139"/>
      <c r="HH1" s="139"/>
      <c r="HI1" s="139"/>
      <c r="HJ1" s="139"/>
      <c r="HK1" s="139"/>
      <c r="HL1" s="139"/>
      <c r="HM1" s="139"/>
      <c r="HN1" s="139"/>
      <c r="HO1" s="139"/>
      <c r="HP1" s="139"/>
      <c r="HQ1" s="139"/>
      <c r="HR1" s="139"/>
      <c r="HS1" s="139"/>
      <c r="HT1" s="139"/>
      <c r="HU1" s="139"/>
      <c r="HV1" s="139"/>
      <c r="HW1" s="139"/>
      <c r="HX1" s="139"/>
      <c r="HY1" s="139"/>
      <c r="HZ1" s="139"/>
      <c r="IA1" s="139"/>
      <c r="IB1" s="139"/>
      <c r="IC1" s="139"/>
      <c r="ID1" s="139"/>
      <c r="IE1" s="139"/>
      <c r="IF1" s="139"/>
      <c r="IG1" s="139"/>
      <c r="IH1" s="139"/>
      <c r="II1" s="139"/>
      <c r="IJ1" s="139"/>
      <c r="IK1" s="139"/>
      <c r="IL1" s="139"/>
      <c r="IM1" s="139"/>
      <c r="IN1" s="139"/>
      <c r="IO1" s="139"/>
      <c r="IP1" s="139"/>
      <c r="IQ1" s="139"/>
      <c r="IR1" s="139"/>
      <c r="IS1" s="139"/>
      <c r="IT1" s="139"/>
      <c r="IU1" s="139"/>
      <c r="IV1" s="139"/>
      <c r="IW1" s="139"/>
      <c r="IX1" s="139"/>
      <c r="IY1" s="139"/>
      <c r="IZ1" s="139"/>
      <c r="JA1" s="139"/>
      <c r="JB1" s="139"/>
      <c r="JC1" s="139"/>
      <c r="JD1" s="139"/>
      <c r="JE1" s="139"/>
      <c r="JF1" s="139"/>
      <c r="JG1" s="139"/>
      <c r="JH1" s="139"/>
      <c r="JI1" s="139"/>
      <c r="JJ1" s="139"/>
      <c r="JK1" s="139"/>
      <c r="JL1" s="139"/>
      <c r="JM1" s="139"/>
      <c r="JN1" s="139"/>
      <c r="JO1" s="139"/>
      <c r="JP1" s="139"/>
      <c r="JQ1" s="139"/>
      <c r="JR1" s="139"/>
      <c r="JS1" s="139"/>
      <c r="JT1" s="139"/>
      <c r="JU1" s="139"/>
      <c r="JV1" s="139"/>
      <c r="JW1" s="139"/>
      <c r="JX1" s="139"/>
      <c r="JY1" s="139"/>
      <c r="JZ1" s="139"/>
      <c r="KA1" s="139"/>
      <c r="KB1" s="139"/>
      <c r="KC1" s="139"/>
      <c r="KD1" s="139"/>
      <c r="KE1" s="139"/>
      <c r="KF1" s="139"/>
      <c r="KG1" s="139"/>
      <c r="KH1" s="139"/>
      <c r="KI1" s="139"/>
      <c r="KJ1" s="139"/>
      <c r="KK1" s="139"/>
      <c r="KL1" s="139"/>
      <c r="KM1" s="139"/>
      <c r="KN1" s="139"/>
      <c r="KO1" s="139"/>
      <c r="KP1" s="139"/>
      <c r="KQ1" s="139"/>
      <c r="KR1" s="139"/>
      <c r="KS1" s="139"/>
      <c r="KT1" s="139"/>
      <c r="KU1" s="139"/>
      <c r="KV1" s="139"/>
      <c r="KW1" s="139"/>
      <c r="KX1" s="139"/>
      <c r="KY1" s="139"/>
      <c r="KZ1" s="139"/>
      <c r="LA1" s="139"/>
      <c r="LB1" s="139"/>
      <c r="LC1" s="139"/>
      <c r="LD1" s="139"/>
      <c r="LE1" s="139"/>
      <c r="LF1" s="139"/>
      <c r="LG1" s="139"/>
      <c r="LH1" s="139"/>
      <c r="LI1" s="139"/>
      <c r="LJ1" s="139"/>
      <c r="LK1" s="139"/>
      <c r="LL1" s="139"/>
      <c r="LM1" s="139"/>
      <c r="LN1" s="139"/>
      <c r="LO1" s="139"/>
      <c r="LP1" s="139"/>
      <c r="LQ1" s="139"/>
      <c r="LR1" s="139"/>
      <c r="LS1" s="139"/>
      <c r="LT1" s="139"/>
      <c r="LU1" s="139"/>
      <c r="LV1" s="139"/>
      <c r="LW1" s="139"/>
      <c r="LX1" s="139"/>
      <c r="LY1" s="139"/>
      <c r="LZ1" s="139"/>
      <c r="MA1" s="139"/>
      <c r="MB1" s="139"/>
      <c r="MC1" s="139"/>
      <c r="MD1" s="139"/>
      <c r="ME1" s="139"/>
      <c r="MF1" s="139"/>
      <c r="MG1" s="139"/>
      <c r="MH1" s="139"/>
      <c r="MI1" s="139"/>
      <c r="MJ1" s="139"/>
      <c r="MK1" s="139"/>
      <c r="ML1" s="139"/>
      <c r="MM1" s="139"/>
      <c r="MN1" s="139"/>
      <c r="MO1" s="139"/>
      <c r="MP1" s="139"/>
      <c r="MQ1" s="139"/>
      <c r="MR1" s="139"/>
      <c r="MS1" s="139"/>
      <c r="MT1" s="139"/>
      <c r="MU1" s="139"/>
      <c r="MV1" s="139"/>
      <c r="MW1" s="139"/>
      <c r="MX1" s="139"/>
      <c r="MY1" s="139"/>
      <c r="MZ1" s="139"/>
      <c r="NA1" s="139"/>
      <c r="NB1" s="139"/>
      <c r="NC1" s="139"/>
      <c r="ND1" s="139"/>
      <c r="NE1" s="139"/>
      <c r="NF1" s="139"/>
      <c r="NG1" s="139"/>
      <c r="NH1" s="139"/>
      <c r="NI1" s="139"/>
      <c r="NJ1" s="139"/>
      <c r="NK1" s="139"/>
      <c r="NL1" s="139"/>
      <c r="NM1" s="139"/>
      <c r="NN1" s="139"/>
      <c r="NO1" s="139"/>
      <c r="NP1" s="139"/>
      <c r="NQ1" s="139"/>
      <c r="NR1" s="139"/>
      <c r="NS1" s="139"/>
      <c r="NT1" s="139"/>
      <c r="NU1" s="139"/>
      <c r="NV1" s="139"/>
      <c r="NW1" s="139"/>
      <c r="NX1" s="139"/>
      <c r="NY1" s="139"/>
      <c r="NZ1" s="139"/>
      <c r="OA1" s="139"/>
      <c r="OB1" s="139"/>
      <c r="OC1" s="139"/>
      <c r="OD1" s="139"/>
      <c r="OE1" s="139"/>
      <c r="OF1" s="139"/>
      <c r="OG1" s="139"/>
      <c r="OH1" s="139"/>
      <c r="OI1" s="139"/>
      <c r="OJ1" s="139"/>
      <c r="OK1" s="139"/>
      <c r="OL1" s="139"/>
      <c r="OM1" s="139"/>
      <c r="ON1" s="139"/>
      <c r="OO1" s="139"/>
      <c r="OP1" s="139"/>
      <c r="OQ1" s="139"/>
      <c r="OR1" s="139"/>
      <c r="OS1" s="139"/>
      <c r="OT1" s="139"/>
      <c r="OU1" s="139"/>
      <c r="OV1" s="139"/>
      <c r="OW1" s="139"/>
      <c r="OX1" s="139"/>
      <c r="OY1" s="139"/>
      <c r="OZ1" s="139"/>
      <c r="PA1" s="139"/>
      <c r="PB1" s="139"/>
      <c r="PC1" s="139"/>
      <c r="PD1" s="139"/>
      <c r="PE1" s="139"/>
      <c r="PF1" s="139"/>
      <c r="PG1" s="139"/>
      <c r="PH1" s="139"/>
      <c r="PI1" s="139"/>
      <c r="PJ1" s="139"/>
      <c r="PK1" s="139"/>
      <c r="PL1" s="139"/>
      <c r="PM1" s="139"/>
      <c r="PN1" s="139"/>
      <c r="PO1" s="139"/>
      <c r="PP1" s="139"/>
      <c r="PQ1" s="139"/>
      <c r="PR1" s="139"/>
      <c r="PS1" s="139"/>
      <c r="PT1" s="139"/>
      <c r="PU1" s="139"/>
      <c r="PV1" s="139"/>
      <c r="PW1" s="139"/>
      <c r="PX1" s="139"/>
      <c r="PY1" s="139"/>
      <c r="PZ1" s="139"/>
      <c r="QA1" s="139"/>
      <c r="QB1" s="139"/>
      <c r="QC1" s="139"/>
      <c r="QD1" s="139"/>
      <c r="QE1" s="139"/>
      <c r="QF1" s="139"/>
      <c r="QG1" s="139"/>
      <c r="QH1" s="139"/>
      <c r="QI1" s="139"/>
      <c r="QJ1" s="139"/>
      <c r="QK1" s="139"/>
      <c r="QL1" s="139"/>
      <c r="QM1" s="139"/>
      <c r="QN1" s="139"/>
      <c r="QO1" s="139"/>
      <c r="QP1" s="139"/>
      <c r="QQ1" s="139"/>
      <c r="QR1" s="139"/>
      <c r="QS1" s="139"/>
      <c r="QT1" s="139"/>
      <c r="QU1" s="139"/>
      <c r="QV1" s="139"/>
      <c r="QW1" s="139"/>
      <c r="QX1" s="139"/>
      <c r="QY1" s="139"/>
      <c r="QZ1" s="139"/>
      <c r="RA1" s="139"/>
      <c r="RB1" s="139"/>
      <c r="RC1" s="139"/>
      <c r="RD1" s="139"/>
      <c r="RE1" s="139"/>
      <c r="RF1" s="139"/>
      <c r="RG1" s="139"/>
      <c r="RH1" s="139"/>
      <c r="RI1" s="139"/>
      <c r="RJ1" s="139"/>
      <c r="RK1" s="139"/>
      <c r="RL1" s="139"/>
      <c r="RM1" s="139"/>
      <c r="RN1" s="139"/>
      <c r="RO1" s="139"/>
      <c r="RP1" s="139"/>
      <c r="RQ1" s="139"/>
      <c r="RR1" s="139"/>
      <c r="RS1" s="139"/>
      <c r="RT1" s="139"/>
      <c r="RU1" s="139"/>
      <c r="RV1" s="139"/>
      <c r="RW1" s="139"/>
      <c r="RX1" s="139"/>
      <c r="RY1" s="139"/>
      <c r="RZ1" s="139"/>
      <c r="SA1" s="139"/>
      <c r="SB1" s="139"/>
      <c r="SC1" s="139"/>
      <c r="SD1" s="139"/>
      <c r="SE1" s="139"/>
      <c r="SF1" s="139"/>
      <c r="SG1" s="139"/>
      <c r="SH1" s="139"/>
      <c r="SI1" s="139"/>
      <c r="SJ1" s="139"/>
      <c r="SK1" s="139"/>
      <c r="SL1" s="139"/>
      <c r="SM1" s="139"/>
      <c r="SN1" s="139"/>
      <c r="SO1" s="139"/>
      <c r="SP1" s="139"/>
      <c r="SQ1" s="139"/>
      <c r="SR1" s="139"/>
      <c r="SS1" s="139"/>
      <c r="ST1" s="139"/>
      <c r="SU1" s="139"/>
      <c r="SV1" s="139"/>
      <c r="SW1" s="139"/>
      <c r="SX1" s="139"/>
      <c r="SY1" s="139"/>
      <c r="SZ1" s="139"/>
      <c r="TA1" s="139"/>
      <c r="TB1" s="139"/>
      <c r="TC1" s="139"/>
      <c r="TD1" s="139"/>
      <c r="TE1" s="139"/>
      <c r="TF1" s="139"/>
      <c r="TG1" s="139"/>
      <c r="TH1" s="139"/>
      <c r="TI1" s="139"/>
      <c r="TJ1" s="139"/>
      <c r="TK1" s="139"/>
      <c r="TL1" s="139"/>
      <c r="TM1" s="139"/>
      <c r="TN1" s="139"/>
      <c r="TO1" s="139"/>
      <c r="TP1" s="139"/>
      <c r="TQ1" s="139"/>
      <c r="TR1" s="139"/>
      <c r="TS1" s="139"/>
      <c r="TT1" s="139"/>
      <c r="TU1" s="139"/>
      <c r="TV1" s="139"/>
      <c r="TW1" s="139"/>
      <c r="TX1" s="139"/>
      <c r="TY1" s="139"/>
      <c r="TZ1" s="139"/>
      <c r="UA1" s="139"/>
      <c r="UB1" s="139"/>
      <c r="UC1" s="139"/>
      <c r="UD1" s="139"/>
      <c r="UE1" s="139"/>
      <c r="UF1" s="139"/>
      <c r="UG1" s="139"/>
      <c r="UH1" s="139"/>
      <c r="UI1" s="139"/>
      <c r="UJ1" s="139"/>
      <c r="UK1" s="139"/>
      <c r="UL1" s="139"/>
      <c r="UM1" s="139"/>
      <c r="UN1" s="139"/>
      <c r="UO1" s="139"/>
      <c r="UP1" s="139"/>
      <c r="UQ1" s="139"/>
      <c r="UR1" s="139"/>
      <c r="US1" s="139"/>
      <c r="UT1" s="139"/>
      <c r="UU1" s="139"/>
      <c r="UV1" s="139"/>
      <c r="UW1" s="139"/>
      <c r="UX1" s="139"/>
      <c r="UY1" s="139"/>
      <c r="UZ1" s="139"/>
      <c r="VA1" s="139"/>
      <c r="VB1" s="139"/>
      <c r="VC1" s="139"/>
      <c r="VD1" s="139"/>
      <c r="VE1" s="139"/>
      <c r="VF1" s="139"/>
      <c r="VG1" s="139"/>
      <c r="VH1" s="139"/>
      <c r="VI1" s="139"/>
      <c r="VJ1" s="139"/>
      <c r="VK1" s="139"/>
      <c r="VL1" s="139"/>
      <c r="VM1" s="139"/>
      <c r="VN1" s="139"/>
      <c r="VO1" s="139"/>
      <c r="VP1" s="139"/>
      <c r="VQ1" s="139"/>
      <c r="VR1" s="139"/>
      <c r="VS1" s="139"/>
      <c r="VT1" s="139"/>
      <c r="VU1" s="139"/>
      <c r="VV1" s="139"/>
      <c r="VW1" s="139"/>
      <c r="VX1" s="139"/>
      <c r="VY1" s="139"/>
      <c r="VZ1" s="139"/>
      <c r="WA1" s="139"/>
      <c r="WB1" s="139"/>
      <c r="WC1" s="139"/>
      <c r="WD1" s="139"/>
      <c r="WE1" s="139"/>
      <c r="WF1" s="139"/>
      <c r="WG1" s="139"/>
      <c r="WH1" s="139"/>
      <c r="WI1" s="139"/>
      <c r="WJ1" s="139"/>
      <c r="WK1" s="139"/>
      <c r="WL1" s="139"/>
      <c r="WM1" s="139"/>
      <c r="WN1" s="139"/>
      <c r="WO1" s="139"/>
      <c r="WP1" s="139"/>
      <c r="WQ1" s="139"/>
      <c r="WR1" s="139"/>
      <c r="WS1" s="139"/>
      <c r="WT1" s="139"/>
      <c r="WU1" s="139"/>
      <c r="WV1" s="139"/>
      <c r="WW1" s="139"/>
      <c r="WX1" s="139"/>
      <c r="WY1" s="139"/>
      <c r="WZ1" s="139"/>
      <c r="XA1" s="139"/>
      <c r="XB1" s="139"/>
      <c r="XC1" s="139"/>
      <c r="XD1" s="139"/>
      <c r="XE1" s="139"/>
      <c r="XF1" s="139"/>
      <c r="XG1" s="139"/>
      <c r="XH1" s="139"/>
      <c r="XI1" s="139"/>
      <c r="XJ1" s="139"/>
      <c r="XK1" s="139"/>
      <c r="XL1" s="139"/>
      <c r="XM1" s="139"/>
      <c r="XN1" s="139"/>
      <c r="XO1" s="139"/>
      <c r="XP1" s="139"/>
      <c r="XQ1" s="139"/>
      <c r="XR1" s="139"/>
      <c r="XS1" s="139"/>
      <c r="XT1" s="139"/>
      <c r="XU1" s="139"/>
      <c r="XV1" s="139"/>
      <c r="XW1" s="139"/>
      <c r="XX1" s="139"/>
      <c r="XY1" s="139"/>
      <c r="XZ1" s="139"/>
      <c r="YA1" s="139"/>
      <c r="YB1" s="139"/>
      <c r="YC1" s="139"/>
      <c r="YD1" s="139"/>
      <c r="YE1" s="139"/>
      <c r="YF1" s="139"/>
      <c r="YG1" s="139"/>
      <c r="YH1" s="139"/>
      <c r="YI1" s="139"/>
      <c r="YJ1" s="139"/>
      <c r="YK1" s="139"/>
      <c r="YL1" s="139"/>
      <c r="YM1" s="139"/>
      <c r="YN1" s="139"/>
      <c r="YO1" s="139"/>
      <c r="YP1" s="139"/>
      <c r="YQ1" s="139"/>
      <c r="YR1" s="139"/>
      <c r="YS1" s="139"/>
      <c r="YT1" s="139"/>
      <c r="YU1" s="139"/>
      <c r="YV1" s="139"/>
      <c r="YW1" s="139"/>
      <c r="YX1" s="139"/>
      <c r="YY1" s="139"/>
      <c r="YZ1" s="139"/>
      <c r="ZA1" s="139"/>
      <c r="ZB1" s="139"/>
      <c r="ZC1" s="139"/>
      <c r="ZD1" s="139"/>
      <c r="ZE1" s="139"/>
      <c r="ZF1" s="139"/>
      <c r="ZG1" s="139"/>
      <c r="ZH1" s="139"/>
      <c r="ZI1" s="139"/>
      <c r="ZJ1" s="139"/>
      <c r="ZK1" s="139"/>
      <c r="ZL1" s="139"/>
      <c r="ZM1" s="139"/>
      <c r="ZN1" s="139"/>
      <c r="ZO1" s="139"/>
      <c r="ZP1" s="139"/>
      <c r="ZQ1" s="139"/>
      <c r="ZR1" s="139"/>
      <c r="ZS1" s="139"/>
      <c r="ZT1" s="139"/>
      <c r="ZU1" s="139"/>
      <c r="ZV1" s="139"/>
      <c r="ZW1" s="139"/>
      <c r="ZX1" s="139"/>
      <c r="ZY1" s="139"/>
      <c r="ZZ1" s="139"/>
      <c r="AAA1" s="139"/>
      <c r="AAB1" s="139"/>
      <c r="AAC1" s="139"/>
      <c r="AAD1" s="139"/>
      <c r="AAE1" s="139"/>
      <c r="AAF1" s="139"/>
      <c r="AAG1" s="139"/>
      <c r="AAH1" s="139"/>
      <c r="AAI1" s="139"/>
      <c r="AAJ1" s="139"/>
      <c r="AAK1" s="139"/>
      <c r="AAL1" s="139"/>
      <c r="AAM1" s="139"/>
      <c r="AAN1" s="139"/>
      <c r="AAO1" s="139"/>
      <c r="AAP1" s="139"/>
      <c r="AAQ1" s="139"/>
      <c r="AAR1" s="139"/>
      <c r="AAS1" s="139"/>
      <c r="AAT1" s="139"/>
      <c r="AAU1" s="139"/>
      <c r="AAV1" s="139"/>
      <c r="AAW1" s="139"/>
      <c r="AAX1" s="139"/>
      <c r="AAY1" s="139"/>
      <c r="AAZ1" s="139"/>
      <c r="ABA1" s="139"/>
      <c r="ABB1" s="139"/>
      <c r="ABC1" s="139"/>
      <c r="ABD1" s="139"/>
      <c r="ABE1" s="139"/>
      <c r="ABF1" s="139"/>
      <c r="ABG1" s="139"/>
      <c r="ABH1" s="139"/>
      <c r="ABI1" s="139"/>
      <c r="ABJ1" s="139"/>
      <c r="ABK1" s="139"/>
      <c r="ABL1" s="139"/>
      <c r="ABM1" s="139"/>
      <c r="ABN1" s="139"/>
      <c r="ABO1" s="139"/>
      <c r="ABP1" s="139"/>
      <c r="ABQ1" s="139"/>
      <c r="ABR1" s="139"/>
      <c r="ABS1" s="139"/>
      <c r="ABT1" s="139"/>
      <c r="ABU1" s="139"/>
      <c r="ABV1" s="139"/>
      <c r="ABW1" s="139"/>
      <c r="ABX1" s="139"/>
      <c r="ABY1" s="139"/>
      <c r="ABZ1" s="139"/>
      <c r="ACA1" s="139"/>
      <c r="ACB1" s="139"/>
      <c r="ACC1" s="139"/>
      <c r="ACD1" s="139"/>
      <c r="ACE1" s="139"/>
      <c r="ACF1" s="139"/>
      <c r="ACG1" s="139"/>
      <c r="ACH1" s="139"/>
      <c r="ACI1" s="139"/>
      <c r="ACJ1" s="139"/>
      <c r="ACK1" s="139"/>
      <c r="ACL1" s="139"/>
      <c r="ACM1" s="139"/>
      <c r="ACN1" s="139"/>
      <c r="ACO1" s="139"/>
      <c r="ACP1" s="139"/>
      <c r="ACQ1" s="139"/>
      <c r="ACR1" s="139"/>
      <c r="ACS1" s="139"/>
      <c r="ACT1" s="139"/>
      <c r="ACU1" s="139"/>
      <c r="ACV1" s="139"/>
      <c r="ACW1" s="139"/>
      <c r="ACX1" s="139"/>
      <c r="ACY1" s="139"/>
      <c r="ACZ1" s="139"/>
      <c r="ADA1" s="139"/>
      <c r="ADB1" s="139"/>
      <c r="ADC1" s="139"/>
      <c r="ADD1" s="139"/>
      <c r="ADE1" s="139"/>
      <c r="ADF1" s="139"/>
      <c r="ADG1" s="139"/>
      <c r="ADH1" s="139"/>
      <c r="ADI1" s="139"/>
      <c r="ADJ1" s="139"/>
      <c r="ADK1" s="139"/>
      <c r="ADL1" s="139"/>
      <c r="ADM1" s="139"/>
      <c r="ADN1" s="139"/>
      <c r="ADO1" s="139"/>
      <c r="ADP1" s="139"/>
      <c r="ADQ1" s="139"/>
      <c r="ADR1" s="139"/>
      <c r="ADS1" s="139"/>
      <c r="ADT1" s="139"/>
      <c r="ADU1" s="139"/>
      <c r="ADV1" s="139"/>
      <c r="ADW1" s="139"/>
      <c r="ADX1" s="139"/>
      <c r="ADY1" s="139"/>
      <c r="ADZ1" s="139"/>
      <c r="AEA1" s="139"/>
      <c r="AEB1" s="139"/>
      <c r="AEC1" s="139"/>
      <c r="AED1" s="139"/>
      <c r="AEE1" s="139"/>
      <c r="AEF1" s="139"/>
      <c r="AEG1" s="139"/>
      <c r="AEH1" s="139"/>
      <c r="AEI1" s="139"/>
      <c r="AEJ1" s="139"/>
      <c r="AEK1" s="139"/>
      <c r="AEL1" s="139"/>
      <c r="AEM1" s="139"/>
      <c r="AEN1" s="139"/>
      <c r="AEO1" s="139"/>
      <c r="AEP1" s="139"/>
      <c r="AEQ1" s="139"/>
      <c r="AER1" s="139"/>
      <c r="AES1" s="139"/>
      <c r="AET1" s="139"/>
      <c r="AEU1" s="139"/>
      <c r="AEV1" s="139"/>
      <c r="AEW1" s="139"/>
      <c r="AEX1" s="139"/>
      <c r="AEY1" s="139"/>
      <c r="AEZ1" s="139"/>
      <c r="AFA1" s="139"/>
      <c r="AFB1" s="139"/>
      <c r="AFC1" s="139"/>
      <c r="AFD1" s="139"/>
      <c r="AFE1" s="139"/>
      <c r="AFF1" s="139"/>
      <c r="AFG1" s="139"/>
      <c r="AFH1" s="139"/>
      <c r="AFI1" s="139"/>
      <c r="AFJ1" s="139"/>
      <c r="AFK1" s="139"/>
      <c r="AFL1" s="139"/>
      <c r="AFM1" s="139"/>
      <c r="AFN1" s="139"/>
      <c r="AFO1" s="139"/>
      <c r="AFP1" s="139"/>
      <c r="AFQ1" s="139"/>
      <c r="AFR1" s="139"/>
      <c r="AFS1" s="139"/>
      <c r="AFT1" s="139"/>
      <c r="AFU1" s="139"/>
      <c r="AFV1" s="139"/>
      <c r="AFW1" s="139"/>
      <c r="AFX1" s="139"/>
      <c r="AFY1" s="139"/>
      <c r="AFZ1" s="139"/>
      <c r="AGA1" s="139"/>
      <c r="AGB1" s="139"/>
      <c r="AGC1" s="139"/>
      <c r="AGD1" s="139"/>
      <c r="AGE1" s="139"/>
      <c r="AGF1" s="139"/>
      <c r="AGG1" s="139"/>
      <c r="AGH1" s="139"/>
      <c r="AGI1" s="139"/>
      <c r="AGJ1" s="139"/>
      <c r="AGK1" s="139"/>
      <c r="AGL1" s="139"/>
      <c r="AGM1" s="139"/>
      <c r="AGN1" s="139"/>
      <c r="AGO1" s="139"/>
      <c r="AGP1" s="139"/>
      <c r="AGQ1" s="139"/>
      <c r="AGR1" s="139"/>
      <c r="AGS1" s="139"/>
      <c r="AGT1" s="139"/>
      <c r="AGU1" s="139"/>
      <c r="AGV1" s="139"/>
      <c r="AGW1" s="139"/>
      <c r="AGX1" s="139"/>
      <c r="AGY1" s="139"/>
      <c r="AGZ1" s="139"/>
      <c r="AHA1" s="139"/>
      <c r="AHB1" s="139"/>
      <c r="AHC1" s="139"/>
      <c r="AHD1" s="139"/>
      <c r="AHE1" s="139"/>
      <c r="AHF1" s="139"/>
      <c r="AHG1" s="139"/>
      <c r="AHH1" s="139"/>
      <c r="AHI1" s="139"/>
      <c r="AHJ1" s="139"/>
      <c r="AHK1" s="139"/>
      <c r="AHL1" s="139"/>
      <c r="AHM1" s="139"/>
      <c r="AHN1" s="139"/>
      <c r="AHO1" s="139"/>
      <c r="AHP1" s="139"/>
      <c r="AHQ1" s="139"/>
      <c r="AHR1" s="139"/>
      <c r="AHS1" s="139"/>
      <c r="AHT1" s="139"/>
      <c r="AHU1" s="139"/>
      <c r="AHV1" s="139"/>
      <c r="AHW1" s="139"/>
      <c r="AHX1" s="139"/>
      <c r="AHY1" s="139"/>
      <c r="AHZ1" s="139"/>
      <c r="AIA1" s="139"/>
      <c r="AIB1" s="139"/>
      <c r="AIC1" s="139"/>
      <c r="AID1" s="139"/>
      <c r="AIE1" s="139"/>
      <c r="AIF1" s="139"/>
      <c r="AIG1" s="139"/>
      <c r="AIH1" s="139"/>
      <c r="AII1" s="139"/>
      <c r="AIJ1" s="139"/>
      <c r="AIK1" s="139"/>
      <c r="AIL1" s="139"/>
      <c r="AIM1" s="139"/>
      <c r="AIN1" s="139"/>
      <c r="AIO1" s="139"/>
      <c r="AIP1" s="139"/>
      <c r="AIQ1" s="139"/>
      <c r="AIR1" s="139"/>
      <c r="AIS1" s="139"/>
      <c r="AIT1" s="139"/>
      <c r="AIU1" s="139"/>
      <c r="AIV1" s="139"/>
      <c r="AIW1" s="139"/>
      <c r="AIX1" s="139"/>
      <c r="AIY1" s="139"/>
      <c r="AIZ1" s="139"/>
      <c r="AJA1" s="139"/>
      <c r="AJB1" s="139"/>
      <c r="AJC1" s="139"/>
      <c r="AJD1" s="139"/>
      <c r="AJE1" s="139"/>
      <c r="AJF1" s="139"/>
      <c r="AJG1" s="139"/>
      <c r="AJH1" s="139"/>
      <c r="AJI1" s="139"/>
      <c r="AJJ1" s="139"/>
      <c r="AJK1" s="139"/>
      <c r="AJL1" s="139"/>
      <c r="AJM1" s="139"/>
      <c r="AJN1" s="139"/>
      <c r="AJO1" s="139"/>
      <c r="AJP1" s="139"/>
      <c r="AJQ1" s="139"/>
      <c r="AJR1" s="139"/>
      <c r="AJS1" s="139"/>
      <c r="AJT1" s="139"/>
      <c r="AJU1" s="139"/>
      <c r="AJV1" s="139"/>
      <c r="AJW1" s="139"/>
      <c r="AJX1" s="139"/>
      <c r="AJY1" s="139"/>
      <c r="AJZ1" s="139"/>
      <c r="AKA1" s="139"/>
      <c r="AKB1" s="139"/>
      <c r="AKC1" s="139"/>
      <c r="AKD1" s="139"/>
      <c r="AKE1" s="139"/>
      <c r="AKF1" s="139"/>
      <c r="AKG1" s="139"/>
      <c r="AKH1" s="139"/>
      <c r="AKI1" s="139"/>
      <c r="AKJ1" s="139"/>
      <c r="AKK1" s="139"/>
      <c r="AKL1" s="139"/>
      <c r="AKM1" s="139"/>
      <c r="AKN1" s="139"/>
      <c r="AKO1" s="139"/>
      <c r="AKP1" s="139"/>
      <c r="AKQ1" s="139"/>
      <c r="AKR1" s="139"/>
      <c r="AKS1" s="139"/>
      <c r="AKT1" s="139"/>
      <c r="AKU1" s="139"/>
      <c r="AKV1" s="139"/>
      <c r="AKW1" s="139"/>
      <c r="AKX1" s="139"/>
      <c r="AKY1" s="139"/>
      <c r="AKZ1" s="139"/>
      <c r="ALA1" s="139"/>
      <c r="ALB1" s="139"/>
      <c r="ALC1" s="139"/>
      <c r="ALD1" s="139"/>
      <c r="ALE1" s="139"/>
      <c r="ALF1" s="139"/>
      <c r="ALG1" s="139"/>
      <c r="ALH1" s="139"/>
      <c r="ALI1" s="139"/>
      <c r="ALJ1" s="139"/>
      <c r="ALK1" s="139"/>
      <c r="ALL1" s="139"/>
      <c r="ALM1" s="139"/>
      <c r="ALN1" s="139"/>
      <c r="ALO1" s="139"/>
      <c r="ALP1" s="139"/>
      <c r="ALQ1" s="139"/>
      <c r="ALR1" s="139"/>
      <c r="ALS1" s="139"/>
      <c r="ALT1" s="139"/>
      <c r="ALU1" s="139"/>
      <c r="ALV1" s="139"/>
      <c r="ALW1" s="139"/>
      <c r="ALX1" s="139"/>
      <c r="ALY1" s="139"/>
      <c r="ALZ1" s="139"/>
      <c r="AMA1" s="139"/>
      <c r="AMB1" s="139"/>
      <c r="AMC1" s="139"/>
      <c r="AMD1" s="139"/>
      <c r="AME1" s="139"/>
      <c r="AMF1" s="139"/>
      <c r="AMG1" s="139"/>
      <c r="AMH1" s="139"/>
      <c r="AMI1" s="139"/>
      <c r="AMJ1" s="139"/>
    </row>
    <row r="2" spans="1:1024" ht="13.5" customHeight="1" x14ac:dyDescent="0.35">
      <c r="A2" s="140" t="s">
        <v>28</v>
      </c>
      <c r="B2" s="141">
        <v>45987</v>
      </c>
      <c r="L2" s="140">
        <v>0</v>
      </c>
      <c r="M2" s="140">
        <v>0</v>
      </c>
      <c r="N2" s="140">
        <v>0</v>
      </c>
      <c r="O2" s="140">
        <f t="shared" ref="O2:O65" si="0">MAX($A$35)/2</f>
        <v>383.875</v>
      </c>
    </row>
    <row r="3" spans="1:1024" x14ac:dyDescent="0.35">
      <c r="A3" s="140" t="s">
        <v>29</v>
      </c>
      <c r="B3" s="142" t="s">
        <v>30</v>
      </c>
      <c r="H3" s="140" t="s">
        <v>254</v>
      </c>
      <c r="L3" s="140">
        <v>1</v>
      </c>
      <c r="M3" s="140">
        <v>0</v>
      </c>
      <c r="N3" s="140">
        <v>0</v>
      </c>
      <c r="O3" s="140">
        <f t="shared" si="0"/>
        <v>383.875</v>
      </c>
    </row>
    <row r="4" spans="1:1024" x14ac:dyDescent="0.35">
      <c r="A4" s="140" t="s">
        <v>42</v>
      </c>
      <c r="B4" s="142" t="s">
        <v>349</v>
      </c>
      <c r="H4" s="142" t="s">
        <v>255</v>
      </c>
      <c r="I4" s="140" t="s">
        <v>311</v>
      </c>
      <c r="L4" s="140">
        <v>2</v>
      </c>
      <c r="M4" s="140">
        <v>0</v>
      </c>
      <c r="N4" s="140">
        <v>0</v>
      </c>
      <c r="O4" s="140">
        <f t="shared" si="0"/>
        <v>383.875</v>
      </c>
    </row>
    <row r="5" spans="1:1024" x14ac:dyDescent="0.35">
      <c r="A5" s="140" t="s">
        <v>301</v>
      </c>
      <c r="B5" s="140">
        <v>5.12</v>
      </c>
      <c r="H5" s="145">
        <v>6.9000000000000006E-2</v>
      </c>
      <c r="I5" s="140" t="s">
        <v>135</v>
      </c>
      <c r="L5" s="140">
        <v>3</v>
      </c>
      <c r="M5" s="140">
        <v>0</v>
      </c>
      <c r="N5" s="140">
        <f t="shared" ref="N5:N68" si="1">AVERAGE(M2:M9)</f>
        <v>0</v>
      </c>
      <c r="O5" s="140">
        <f t="shared" si="0"/>
        <v>383.875</v>
      </c>
    </row>
    <row r="6" spans="1:1024" x14ac:dyDescent="0.35">
      <c r="A6" s="143" t="s">
        <v>302</v>
      </c>
      <c r="B6" s="144">
        <v>2000</v>
      </c>
      <c r="C6" s="143"/>
      <c r="H6" s="140" t="s">
        <v>256</v>
      </c>
      <c r="L6" s="140">
        <v>4</v>
      </c>
      <c r="M6" s="140">
        <v>0</v>
      </c>
      <c r="N6" s="140">
        <f t="shared" si="1"/>
        <v>0</v>
      </c>
      <c r="O6" s="140">
        <f t="shared" si="0"/>
        <v>383.875</v>
      </c>
    </row>
    <row r="7" spans="1:1024" x14ac:dyDescent="0.35">
      <c r="A7" s="143"/>
      <c r="B7" s="143"/>
      <c r="C7" s="143"/>
      <c r="L7" s="140">
        <v>5</v>
      </c>
      <c r="M7" s="140">
        <v>0</v>
      </c>
      <c r="N7" s="140">
        <f t="shared" si="1"/>
        <v>0</v>
      </c>
      <c r="O7" s="140">
        <f t="shared" si="0"/>
        <v>383.875</v>
      </c>
      <c r="Q7" s="140" t="s">
        <v>347</v>
      </c>
    </row>
    <row r="8" spans="1:1024" ht="13.9" x14ac:dyDescent="0.4">
      <c r="A8" s="100">
        <v>10.199999999999999</v>
      </c>
      <c r="B8" s="98" t="s">
        <v>197</v>
      </c>
      <c r="C8" s="98" t="s">
        <v>198</v>
      </c>
      <c r="D8" s="36"/>
      <c r="E8" s="85"/>
      <c r="G8" s="158"/>
      <c r="H8" s="159"/>
      <c r="I8" s="160" t="s">
        <v>336</v>
      </c>
      <c r="L8" s="140">
        <v>6</v>
      </c>
      <c r="M8" s="140">
        <v>0</v>
      </c>
      <c r="N8" s="140">
        <f t="shared" si="1"/>
        <v>0</v>
      </c>
      <c r="O8" s="140">
        <f t="shared" si="0"/>
        <v>383.875</v>
      </c>
    </row>
    <row r="9" spans="1:1024" x14ac:dyDescent="0.35">
      <c r="A9" s="101">
        <f>(4/3)*(3.1415936)*((A8*0.000001/2)^3)</f>
        <v>5.5564737684479979E-16</v>
      </c>
      <c r="B9" s="26" t="s">
        <v>199</v>
      </c>
      <c r="C9" s="26" t="s">
        <v>200</v>
      </c>
      <c r="D9"/>
      <c r="E9" s="45"/>
      <c r="G9" s="163"/>
      <c r="H9" s="164" t="s">
        <v>331</v>
      </c>
      <c r="I9" s="161">
        <v>2000</v>
      </c>
      <c r="L9" s="140">
        <v>7</v>
      </c>
      <c r="M9" s="140">
        <v>0</v>
      </c>
      <c r="N9" s="140">
        <f t="shared" si="1"/>
        <v>0</v>
      </c>
      <c r="O9" s="140">
        <f t="shared" si="0"/>
        <v>383.875</v>
      </c>
      <c r="Q9" s="140" t="s">
        <v>344</v>
      </c>
      <c r="R9" s="140">
        <v>10</v>
      </c>
      <c r="S9" s="140">
        <v>20</v>
      </c>
      <c r="T9" s="140">
        <v>30</v>
      </c>
      <c r="U9" s="140">
        <v>40</v>
      </c>
    </row>
    <row r="10" spans="1:1024" x14ac:dyDescent="0.35">
      <c r="A10" s="101">
        <f>A9*1.05*1000</f>
        <v>5.8342974568703982E-13</v>
      </c>
      <c r="B10" s="26" t="s">
        <v>201</v>
      </c>
      <c r="C10" s="26" t="s">
        <v>202</v>
      </c>
      <c r="D10"/>
      <c r="E10" s="45"/>
      <c r="G10" s="163"/>
      <c r="H10" s="174" t="s">
        <v>326</v>
      </c>
      <c r="I10" s="175">
        <v>0.86799999999999999</v>
      </c>
      <c r="L10" s="140">
        <v>8</v>
      </c>
      <c r="M10" s="140">
        <v>0</v>
      </c>
      <c r="N10" s="140">
        <f t="shared" si="1"/>
        <v>0</v>
      </c>
      <c r="O10" s="140">
        <f t="shared" si="0"/>
        <v>383.875</v>
      </c>
      <c r="Q10" s="140" t="s">
        <v>346</v>
      </c>
    </row>
    <row r="11" spans="1:1024" x14ac:dyDescent="0.35">
      <c r="A11" s="101">
        <f>0.000001/A10</f>
        <v>1714002.4268430332</v>
      </c>
      <c r="B11" s="26" t="s">
        <v>203</v>
      </c>
      <c r="C11" s="26" t="s">
        <v>204</v>
      </c>
      <c r="D11"/>
      <c r="E11" s="45"/>
      <c r="G11" s="163"/>
      <c r="H11" s="165" t="s">
        <v>329</v>
      </c>
      <c r="I11" s="162">
        <v>20000</v>
      </c>
      <c r="L11" s="140">
        <v>9</v>
      </c>
      <c r="M11" s="140">
        <v>0</v>
      </c>
      <c r="N11" s="140">
        <f t="shared" si="1"/>
        <v>0</v>
      </c>
      <c r="O11" s="140">
        <f t="shared" si="0"/>
        <v>383.875</v>
      </c>
      <c r="Q11" s="140" t="s">
        <v>345</v>
      </c>
      <c r="R11" s="182"/>
      <c r="S11" s="182"/>
      <c r="T11" s="182"/>
      <c r="U11" s="182"/>
    </row>
    <row r="12" spans="1:1024" ht="13.9" x14ac:dyDescent="0.4">
      <c r="A12" s="103">
        <v>2000</v>
      </c>
      <c r="B12" s="26"/>
      <c r="C12" s="26" t="s">
        <v>205</v>
      </c>
      <c r="D12"/>
      <c r="E12" s="45"/>
      <c r="G12" s="163"/>
      <c r="H12" s="176" t="s">
        <v>191</v>
      </c>
      <c r="I12" s="177">
        <f>I9/I11</f>
        <v>0.1</v>
      </c>
      <c r="L12" s="140">
        <v>10</v>
      </c>
      <c r="M12" s="140">
        <v>0</v>
      </c>
      <c r="N12" s="140">
        <f t="shared" si="1"/>
        <v>0</v>
      </c>
      <c r="O12" s="140">
        <f t="shared" si="0"/>
        <v>383.875</v>
      </c>
      <c r="R12" s="266"/>
      <c r="S12" s="266"/>
      <c r="T12" s="266"/>
      <c r="U12" s="266"/>
      <c r="V12" s="266"/>
      <c r="W12" s="266"/>
    </row>
    <row r="13" spans="1:1024" ht="13.5" customHeight="1" x14ac:dyDescent="0.35">
      <c r="A13" s="104">
        <f>A12/A11*1000</f>
        <v>1.1668594913740797</v>
      </c>
      <c r="B13" s="26" t="s">
        <v>71</v>
      </c>
      <c r="C13" s="26" t="s">
        <v>206</v>
      </c>
      <c r="D13"/>
      <c r="E13" s="45"/>
      <c r="G13" s="163"/>
      <c r="H13" s="176" t="s">
        <v>338</v>
      </c>
      <c r="I13" s="177">
        <f>(1-I12)/I12</f>
        <v>9</v>
      </c>
      <c r="L13" s="140">
        <v>11</v>
      </c>
      <c r="M13" s="140">
        <v>0</v>
      </c>
      <c r="N13" s="140">
        <f t="shared" si="1"/>
        <v>0</v>
      </c>
      <c r="O13" s="140">
        <f t="shared" si="0"/>
        <v>383.875</v>
      </c>
    </row>
    <row r="14" spans="1:1024" ht="13.9" customHeight="1" x14ac:dyDescent="0.4">
      <c r="A14" s="103">
        <v>0.5</v>
      </c>
      <c r="B14" s="26" t="s">
        <v>207</v>
      </c>
      <c r="C14" s="26" t="s">
        <v>208</v>
      </c>
      <c r="D14"/>
      <c r="E14" s="45"/>
      <c r="G14" s="163"/>
      <c r="H14" s="165" t="s">
        <v>325</v>
      </c>
      <c r="I14" s="44" t="s">
        <v>328</v>
      </c>
      <c r="L14" s="140">
        <v>12</v>
      </c>
      <c r="M14" s="140">
        <v>0</v>
      </c>
      <c r="N14" s="140">
        <f t="shared" si="1"/>
        <v>0</v>
      </c>
      <c r="O14" s="140">
        <f t="shared" si="0"/>
        <v>383.875</v>
      </c>
    </row>
    <row r="15" spans="1:1024" ht="13.5" customHeight="1" x14ac:dyDescent="0.35">
      <c r="A15" s="183">
        <f>A14*A13</f>
        <v>0.58342974568703987</v>
      </c>
      <c r="B15" s="26" t="s">
        <v>68</v>
      </c>
      <c r="C15" s="26" t="s">
        <v>209</v>
      </c>
      <c r="D15"/>
      <c r="E15" s="45"/>
      <c r="G15" s="163"/>
      <c r="H15" s="176" t="s">
        <v>330</v>
      </c>
      <c r="I15" s="178">
        <v>100</v>
      </c>
      <c r="L15" s="140">
        <v>13</v>
      </c>
      <c r="M15" s="140">
        <v>0</v>
      </c>
      <c r="N15" s="140">
        <f t="shared" si="1"/>
        <v>0</v>
      </c>
      <c r="O15" s="140">
        <f t="shared" si="0"/>
        <v>383.875</v>
      </c>
    </row>
    <row r="16" spans="1:1024" ht="13.9" customHeight="1" x14ac:dyDescent="0.4">
      <c r="A16" s="184">
        <v>0.58340000000000003</v>
      </c>
      <c r="B16" s="26" t="s">
        <v>68</v>
      </c>
      <c r="C16" s="26" t="s">
        <v>210</v>
      </c>
      <c r="D16"/>
      <c r="E16" s="45"/>
      <c r="G16" s="163"/>
      <c r="H16" s="176" t="s">
        <v>339</v>
      </c>
      <c r="I16" s="179">
        <f>I15*I10</f>
        <v>86.8</v>
      </c>
      <c r="L16" s="140">
        <v>14</v>
      </c>
      <c r="M16" s="140">
        <v>0</v>
      </c>
      <c r="N16" s="140">
        <f t="shared" si="1"/>
        <v>0</v>
      </c>
      <c r="O16" s="140">
        <f t="shared" si="0"/>
        <v>383.875</v>
      </c>
    </row>
    <row r="17" spans="1:15" ht="13.9" customHeight="1" x14ac:dyDescent="0.4">
      <c r="A17" s="105">
        <f>A16/A15*A12</f>
        <v>1999.8980316404511</v>
      </c>
      <c r="B17" s="26" t="s">
        <v>211</v>
      </c>
      <c r="C17" s="26" t="s">
        <v>314</v>
      </c>
      <c r="D17"/>
      <c r="E17" s="45"/>
      <c r="G17" s="163"/>
      <c r="H17" s="164" t="s">
        <v>332</v>
      </c>
      <c r="I17" s="172">
        <f>I9/I11*I16</f>
        <v>8.68</v>
      </c>
      <c r="L17" s="140">
        <v>15</v>
      </c>
      <c r="M17" s="140">
        <v>0</v>
      </c>
      <c r="N17" s="140">
        <f t="shared" si="1"/>
        <v>0</v>
      </c>
      <c r="O17" s="140">
        <f t="shared" si="0"/>
        <v>383.875</v>
      </c>
    </row>
    <row r="18" spans="1:15" ht="13.5" customHeight="1" x14ac:dyDescent="0.35">
      <c r="A18" s="106">
        <f>A16*A11</f>
        <v>999949.01582022558</v>
      </c>
      <c r="B18"/>
      <c r="C18" t="s">
        <v>213</v>
      </c>
      <c r="D18"/>
      <c r="E18" s="45"/>
      <c r="G18" s="167"/>
      <c r="H18" s="164" t="s">
        <v>337</v>
      </c>
      <c r="I18" s="173">
        <v>8.76</v>
      </c>
      <c r="L18" s="140">
        <v>16</v>
      </c>
      <c r="M18" s="140">
        <v>0</v>
      </c>
      <c r="N18" s="140">
        <f t="shared" si="1"/>
        <v>0</v>
      </c>
      <c r="O18" s="140">
        <f t="shared" si="0"/>
        <v>383.875</v>
      </c>
    </row>
    <row r="19" spans="1:15" ht="13.9" customHeight="1" x14ac:dyDescent="0.4">
      <c r="A19" s="106">
        <f>A17/A12*A14*1000</f>
        <v>499.97450791011278</v>
      </c>
      <c r="B19" t="s">
        <v>53</v>
      </c>
      <c r="C19" t="s">
        <v>214</v>
      </c>
      <c r="D19"/>
      <c r="E19" s="45"/>
      <c r="G19" s="168"/>
      <c r="H19" s="166" t="s">
        <v>333</v>
      </c>
      <c r="I19" s="171">
        <f>I18*I13</f>
        <v>78.84</v>
      </c>
      <c r="L19" s="140">
        <v>17</v>
      </c>
      <c r="M19" s="140">
        <v>0</v>
      </c>
      <c r="N19" s="140">
        <f t="shared" si="1"/>
        <v>0</v>
      </c>
      <c r="O19" s="140">
        <f t="shared" si="0"/>
        <v>383.875</v>
      </c>
    </row>
    <row r="20" spans="1:15" ht="13.5" customHeight="1" x14ac:dyDescent="0.35">
      <c r="A20" s="106">
        <f>A19-A14*1000</f>
        <v>-2.5492089887222846E-2</v>
      </c>
      <c r="B20" t="s">
        <v>53</v>
      </c>
      <c r="C20" t="s">
        <v>215</v>
      </c>
      <c r="D20"/>
      <c r="E20" s="45"/>
      <c r="G20" s="167"/>
      <c r="L20" s="140">
        <v>18</v>
      </c>
      <c r="M20" s="140">
        <v>0</v>
      </c>
      <c r="N20" s="140">
        <f t="shared" si="1"/>
        <v>0</v>
      </c>
      <c r="O20" s="140">
        <f t="shared" si="0"/>
        <v>383.875</v>
      </c>
    </row>
    <row r="21" spans="1:15" ht="13.9" customHeight="1" x14ac:dyDescent="0.4">
      <c r="A21" s="181">
        <f>A17</f>
        <v>1999.8980316404511</v>
      </c>
      <c r="B21" t="s">
        <v>38</v>
      </c>
      <c r="C21" t="s">
        <v>315</v>
      </c>
      <c r="D21"/>
      <c r="E21" s="45"/>
      <c r="G21" s="167"/>
      <c r="H21" s="176" t="s">
        <v>340</v>
      </c>
      <c r="I21" s="180">
        <f>(I18+I19)/I10</f>
        <v>100.92165898617513</v>
      </c>
      <c r="L21" s="140">
        <v>19</v>
      </c>
      <c r="M21" s="140">
        <v>0</v>
      </c>
      <c r="N21" s="140">
        <f t="shared" si="1"/>
        <v>0</v>
      </c>
      <c r="O21" s="140">
        <f t="shared" si="0"/>
        <v>383.875</v>
      </c>
    </row>
    <row r="22" spans="1:15" ht="13.5" customHeight="1" x14ac:dyDescent="0.35">
      <c r="A22" s="38"/>
      <c r="B22"/>
      <c r="C22"/>
      <c r="D22"/>
      <c r="E22" s="45"/>
      <c r="G22" s="167"/>
      <c r="H22" s="164" t="s">
        <v>334</v>
      </c>
      <c r="I22" s="161">
        <v>78.84</v>
      </c>
      <c r="L22" s="140">
        <v>20</v>
      </c>
      <c r="M22" s="140">
        <v>0</v>
      </c>
      <c r="N22" s="140">
        <f t="shared" si="1"/>
        <v>0</v>
      </c>
      <c r="O22" s="140">
        <f t="shared" si="0"/>
        <v>383.875</v>
      </c>
    </row>
    <row r="23" spans="1:15" ht="13.5" customHeight="1" x14ac:dyDescent="0.35">
      <c r="A23" s="38" t="s">
        <v>191</v>
      </c>
      <c r="B23"/>
      <c r="C23"/>
      <c r="D23"/>
      <c r="E23" s="45"/>
      <c r="H23" s="169" t="s">
        <v>335</v>
      </c>
      <c r="I23" s="170">
        <f>I11*I18/(I18+I22)</f>
        <v>1999.9999999999998</v>
      </c>
      <c r="L23" s="140">
        <v>21</v>
      </c>
      <c r="M23" s="140">
        <v>0</v>
      </c>
      <c r="N23" s="140">
        <f t="shared" si="1"/>
        <v>0</v>
      </c>
      <c r="O23" s="140">
        <f t="shared" si="0"/>
        <v>383.875</v>
      </c>
    </row>
    <row r="24" spans="1:15" ht="13.5" customHeight="1" x14ac:dyDescent="0.35">
      <c r="A24" s="38">
        <v>100</v>
      </c>
      <c r="B24" t="s">
        <v>53</v>
      </c>
      <c r="C24" t="s">
        <v>216</v>
      </c>
      <c r="D24"/>
      <c r="E24" s="45"/>
      <c r="L24" s="140">
        <v>22</v>
      </c>
      <c r="M24" s="140">
        <v>0</v>
      </c>
      <c r="N24" s="140">
        <f t="shared" si="1"/>
        <v>0</v>
      </c>
      <c r="O24" s="140">
        <f t="shared" si="0"/>
        <v>383.875</v>
      </c>
    </row>
    <row r="25" spans="1:15" ht="13.5" customHeight="1" x14ac:dyDescent="0.35">
      <c r="A25" s="38">
        <v>2000</v>
      </c>
      <c r="B25" t="s">
        <v>38</v>
      </c>
      <c r="C25" t="s">
        <v>218</v>
      </c>
      <c r="D25"/>
      <c r="E25" s="45"/>
      <c r="L25" s="140">
        <v>23</v>
      </c>
      <c r="M25" s="140">
        <v>0</v>
      </c>
      <c r="N25" s="140">
        <f t="shared" si="1"/>
        <v>0</v>
      </c>
      <c r="O25" s="140">
        <f t="shared" si="0"/>
        <v>383.875</v>
      </c>
    </row>
    <row r="26" spans="1:15" x14ac:dyDescent="0.35">
      <c r="A26" s="38">
        <f>A24*A25</f>
        <v>200000</v>
      </c>
      <c r="B26" t="s">
        <v>219</v>
      </c>
      <c r="C26" t="s">
        <v>220</v>
      </c>
      <c r="D26"/>
      <c r="E26" s="45"/>
      <c r="L26" s="140">
        <v>24</v>
      </c>
      <c r="M26" s="140">
        <v>0</v>
      </c>
      <c r="N26" s="140">
        <f t="shared" si="1"/>
        <v>0</v>
      </c>
      <c r="O26" s="140">
        <f t="shared" si="0"/>
        <v>383.875</v>
      </c>
    </row>
    <row r="27" spans="1:15" x14ac:dyDescent="0.35">
      <c r="A27" s="106">
        <f>A26/A21</f>
        <v>100.00509867792935</v>
      </c>
      <c r="B27" t="s">
        <v>53</v>
      </c>
      <c r="C27" t="s">
        <v>221</v>
      </c>
      <c r="D27"/>
      <c r="E27" s="45"/>
      <c r="L27" s="140">
        <v>25</v>
      </c>
      <c r="M27" s="140">
        <v>0</v>
      </c>
      <c r="N27" s="140">
        <f t="shared" si="1"/>
        <v>0</v>
      </c>
      <c r="O27" s="140">
        <f t="shared" si="0"/>
        <v>383.875</v>
      </c>
    </row>
    <row r="28" spans="1:15" x14ac:dyDescent="0.35">
      <c r="A28" s="106">
        <f>A24-A27</f>
        <v>-5.098677929353812E-3</v>
      </c>
      <c r="B28" t="s">
        <v>53</v>
      </c>
      <c r="C28" t="s">
        <v>222</v>
      </c>
      <c r="D28"/>
      <c r="E28" s="45"/>
      <c r="L28" s="140">
        <v>26</v>
      </c>
      <c r="M28" s="140">
        <v>0</v>
      </c>
      <c r="N28" s="140">
        <f t="shared" si="1"/>
        <v>0</v>
      </c>
      <c r="O28" s="140">
        <f t="shared" si="0"/>
        <v>383.875</v>
      </c>
    </row>
    <row r="29" spans="1:15" x14ac:dyDescent="0.35">
      <c r="A29" s="38"/>
      <c r="B29"/>
      <c r="C29"/>
      <c r="D29"/>
      <c r="E29" s="45"/>
      <c r="L29" s="140">
        <v>27</v>
      </c>
      <c r="M29" s="140">
        <v>0</v>
      </c>
      <c r="N29" s="140">
        <f t="shared" si="1"/>
        <v>0</v>
      </c>
      <c r="O29" s="140">
        <f t="shared" si="0"/>
        <v>383.875</v>
      </c>
    </row>
    <row r="30" spans="1:15" x14ac:dyDescent="0.35">
      <c r="A30" s="47"/>
      <c r="B30" s="48"/>
      <c r="C30" s="48"/>
      <c r="D30" s="48"/>
      <c r="E30" s="89"/>
      <c r="L30" s="140">
        <v>28</v>
      </c>
      <c r="M30" s="140">
        <v>0</v>
      </c>
      <c r="N30" s="140">
        <f t="shared" si="1"/>
        <v>0</v>
      </c>
      <c r="O30" s="140">
        <f t="shared" si="0"/>
        <v>383.875</v>
      </c>
    </row>
    <row r="31" spans="1:15" x14ac:dyDescent="0.35">
      <c r="L31" s="140">
        <v>29</v>
      </c>
      <c r="M31" s="140">
        <v>0</v>
      </c>
      <c r="N31" s="140">
        <f t="shared" si="1"/>
        <v>0</v>
      </c>
      <c r="O31" s="140">
        <f t="shared" si="0"/>
        <v>383.875</v>
      </c>
    </row>
    <row r="32" spans="1:15" x14ac:dyDescent="0.35">
      <c r="L32" s="140">
        <v>30</v>
      </c>
      <c r="M32" s="140">
        <v>0</v>
      </c>
      <c r="N32" s="140">
        <f t="shared" si="1"/>
        <v>0</v>
      </c>
      <c r="O32" s="140">
        <f t="shared" si="0"/>
        <v>383.875</v>
      </c>
    </row>
    <row r="33" spans="1:15" x14ac:dyDescent="0.35">
      <c r="L33" s="140">
        <v>31</v>
      </c>
      <c r="M33" s="140">
        <v>0</v>
      </c>
      <c r="N33" s="140">
        <f t="shared" si="1"/>
        <v>0</v>
      </c>
      <c r="O33" s="140">
        <f t="shared" si="0"/>
        <v>383.875</v>
      </c>
    </row>
    <row r="34" spans="1:15" x14ac:dyDescent="0.35">
      <c r="L34" s="140">
        <v>32</v>
      </c>
      <c r="M34" s="140">
        <v>0</v>
      </c>
      <c r="N34" s="140">
        <f t="shared" si="1"/>
        <v>0</v>
      </c>
      <c r="O34" s="140">
        <f t="shared" si="0"/>
        <v>383.875</v>
      </c>
    </row>
    <row r="35" spans="1:15" x14ac:dyDescent="0.35">
      <c r="A35" s="50">
        <f>MAX($N$2:$N$1000)</f>
        <v>767.75</v>
      </c>
      <c r="B35" s="140" t="s">
        <v>257</v>
      </c>
      <c r="L35" s="140">
        <v>33</v>
      </c>
      <c r="M35" s="140">
        <v>0</v>
      </c>
      <c r="N35" s="140">
        <f t="shared" si="1"/>
        <v>0</v>
      </c>
      <c r="O35" s="140">
        <f t="shared" si="0"/>
        <v>383.875</v>
      </c>
    </row>
    <row r="36" spans="1:15" x14ac:dyDescent="0.35">
      <c r="A36" s="50">
        <f>MATCH(A35, N2:N1000, 0)</f>
        <v>218</v>
      </c>
      <c r="B36" s="140" t="s">
        <v>258</v>
      </c>
      <c r="L36" s="140">
        <v>34</v>
      </c>
      <c r="M36" s="140">
        <v>0</v>
      </c>
      <c r="N36" s="140">
        <f t="shared" si="1"/>
        <v>0</v>
      </c>
      <c r="O36" s="140">
        <f t="shared" si="0"/>
        <v>383.875</v>
      </c>
    </row>
    <row r="37" spans="1:15" x14ac:dyDescent="0.35">
      <c r="A37" s="50">
        <f>A35/2</f>
        <v>383.875</v>
      </c>
      <c r="B37" s="140" t="s">
        <v>259</v>
      </c>
      <c r="L37" s="140">
        <v>35</v>
      </c>
      <c r="M37" s="140">
        <v>0</v>
      </c>
      <c r="N37" s="140">
        <f t="shared" si="1"/>
        <v>0</v>
      </c>
      <c r="O37" s="140">
        <f t="shared" si="0"/>
        <v>383.875</v>
      </c>
    </row>
    <row r="38" spans="1:15" x14ac:dyDescent="0.35">
      <c r="A38" s="50">
        <f t="array" ref="A38">MATCH(TRUE, IF(N2:N1000 &gt; A37, TRUE), 0)</f>
        <v>195</v>
      </c>
      <c r="B38" s="140" t="s">
        <v>260</v>
      </c>
      <c r="L38" s="140">
        <v>36</v>
      </c>
      <c r="M38" s="140">
        <v>0</v>
      </c>
      <c r="N38" s="140">
        <f t="shared" si="1"/>
        <v>0</v>
      </c>
      <c r="O38" s="140">
        <f t="shared" si="0"/>
        <v>383.875</v>
      </c>
    </row>
    <row r="39" spans="1:15" x14ac:dyDescent="0.35">
      <c r="A39" s="50">
        <f>INDEX(L2:L1000,A38)</f>
        <v>194</v>
      </c>
      <c r="B39" s="140" t="s">
        <v>261</v>
      </c>
      <c r="L39" s="140">
        <v>37</v>
      </c>
      <c r="M39" s="140">
        <v>0</v>
      </c>
      <c r="N39" s="140">
        <f t="shared" si="1"/>
        <v>0</v>
      </c>
      <c r="O39" s="140">
        <f t="shared" si="0"/>
        <v>383.875</v>
      </c>
    </row>
    <row r="40" spans="1:15" x14ac:dyDescent="0.35">
      <c r="A40" s="50">
        <f>A36-A39</f>
        <v>24</v>
      </c>
      <c r="B40" s="140" t="s">
        <v>262</v>
      </c>
      <c r="L40" s="140">
        <v>38</v>
      </c>
      <c r="M40" s="140">
        <v>0</v>
      </c>
      <c r="N40" s="140">
        <f t="shared" si="1"/>
        <v>0</v>
      </c>
      <c r="O40" s="140">
        <f t="shared" si="0"/>
        <v>383.875</v>
      </c>
    </row>
    <row r="41" spans="1:15" x14ac:dyDescent="0.35">
      <c r="A41" s="50">
        <f>A40*2</f>
        <v>48</v>
      </c>
      <c r="B41" s="140" t="s">
        <v>263</v>
      </c>
      <c r="L41" s="140">
        <v>39</v>
      </c>
      <c r="M41" s="140">
        <v>0</v>
      </c>
      <c r="N41" s="140">
        <f t="shared" si="1"/>
        <v>0</v>
      </c>
      <c r="O41" s="140">
        <f t="shared" si="0"/>
        <v>383.875</v>
      </c>
    </row>
    <row r="42" spans="1:15" x14ac:dyDescent="0.35">
      <c r="A42" s="50">
        <f>A41 / (2 * SQRT(2 * LN(2)))</f>
        <v>20.383723206912457</v>
      </c>
      <c r="B42" s="140" t="s">
        <v>264</v>
      </c>
      <c r="L42" s="140">
        <v>40</v>
      </c>
      <c r="M42" s="140">
        <v>0</v>
      </c>
      <c r="N42" s="140">
        <f t="shared" si="1"/>
        <v>0</v>
      </c>
      <c r="O42" s="140">
        <f t="shared" si="0"/>
        <v>383.875</v>
      </c>
    </row>
    <row r="43" spans="1:15" ht="15" x14ac:dyDescent="0.5">
      <c r="A43" s="145">
        <f>A42/A36</f>
        <v>9.3503317462901178E-2</v>
      </c>
      <c r="B43" s="147" t="s">
        <v>312</v>
      </c>
      <c r="L43" s="140">
        <v>41</v>
      </c>
      <c r="M43" s="140">
        <v>0</v>
      </c>
      <c r="N43" s="140">
        <f t="shared" si="1"/>
        <v>0</v>
      </c>
      <c r="O43" s="140">
        <f t="shared" si="0"/>
        <v>383.875</v>
      </c>
    </row>
    <row r="44" spans="1:15" x14ac:dyDescent="0.35">
      <c r="A44" s="146"/>
      <c r="L44" s="140">
        <v>42</v>
      </c>
      <c r="M44" s="140">
        <v>0</v>
      </c>
      <c r="N44" s="140">
        <f t="shared" si="1"/>
        <v>0</v>
      </c>
      <c r="O44" s="140">
        <f t="shared" si="0"/>
        <v>383.875</v>
      </c>
    </row>
    <row r="45" spans="1:15" ht="15" x14ac:dyDescent="0.5">
      <c r="A45" s="145">
        <f>A43/2</f>
        <v>4.6751658731450589E-2</v>
      </c>
      <c r="B45" s="147" t="s">
        <v>313</v>
      </c>
      <c r="L45" s="140">
        <v>43</v>
      </c>
      <c r="M45" s="140">
        <v>0</v>
      </c>
      <c r="N45" s="140">
        <f t="shared" si="1"/>
        <v>0</v>
      </c>
      <c r="O45" s="140">
        <f t="shared" si="0"/>
        <v>383.875</v>
      </c>
    </row>
    <row r="46" spans="1:15" x14ac:dyDescent="0.35">
      <c r="L46" s="140">
        <v>44</v>
      </c>
      <c r="M46" s="140">
        <v>0</v>
      </c>
      <c r="N46" s="140">
        <f t="shared" si="1"/>
        <v>0</v>
      </c>
      <c r="O46" s="140">
        <f t="shared" si="0"/>
        <v>383.875</v>
      </c>
    </row>
    <row r="47" spans="1:15" x14ac:dyDescent="0.35">
      <c r="L47" s="140">
        <v>45</v>
      </c>
      <c r="M47" s="140">
        <v>0</v>
      </c>
      <c r="N47" s="140">
        <f t="shared" si="1"/>
        <v>0</v>
      </c>
      <c r="O47" s="140">
        <f t="shared" si="0"/>
        <v>383.875</v>
      </c>
    </row>
    <row r="48" spans="1:15" x14ac:dyDescent="0.35">
      <c r="L48" s="140">
        <v>46</v>
      </c>
      <c r="M48" s="140">
        <v>0</v>
      </c>
      <c r="N48" s="140">
        <f t="shared" si="1"/>
        <v>0</v>
      </c>
      <c r="O48" s="140">
        <f t="shared" si="0"/>
        <v>383.875</v>
      </c>
    </row>
    <row r="49" spans="1:15" x14ac:dyDescent="0.35">
      <c r="L49" s="140">
        <v>47</v>
      </c>
      <c r="M49" s="140">
        <v>0</v>
      </c>
      <c r="N49" s="140">
        <f t="shared" si="1"/>
        <v>0</v>
      </c>
      <c r="O49" s="140">
        <f t="shared" si="0"/>
        <v>383.875</v>
      </c>
    </row>
    <row r="50" spans="1:15" x14ac:dyDescent="0.35">
      <c r="L50" s="140">
        <v>48</v>
      </c>
      <c r="M50" s="140">
        <v>0</v>
      </c>
      <c r="N50" s="140">
        <f t="shared" si="1"/>
        <v>0</v>
      </c>
      <c r="O50" s="140">
        <f t="shared" si="0"/>
        <v>383.875</v>
      </c>
    </row>
    <row r="51" spans="1:15" x14ac:dyDescent="0.35">
      <c r="L51" s="140">
        <v>49</v>
      </c>
      <c r="M51" s="140">
        <v>0</v>
      </c>
      <c r="N51" s="140">
        <f t="shared" si="1"/>
        <v>0</v>
      </c>
      <c r="O51" s="140">
        <f t="shared" si="0"/>
        <v>383.875</v>
      </c>
    </row>
    <row r="52" spans="1:15" x14ac:dyDescent="0.35">
      <c r="L52" s="140">
        <v>50</v>
      </c>
      <c r="M52" s="140">
        <v>0</v>
      </c>
      <c r="N52" s="140">
        <f t="shared" si="1"/>
        <v>0</v>
      </c>
      <c r="O52" s="140">
        <f t="shared" si="0"/>
        <v>383.875</v>
      </c>
    </row>
    <row r="53" spans="1:15" x14ac:dyDescent="0.35">
      <c r="L53" s="140">
        <v>51</v>
      </c>
      <c r="M53" s="140">
        <v>0</v>
      </c>
      <c r="N53" s="140">
        <f t="shared" si="1"/>
        <v>0</v>
      </c>
      <c r="O53" s="140">
        <f t="shared" si="0"/>
        <v>383.875</v>
      </c>
    </row>
    <row r="54" spans="1:15" x14ac:dyDescent="0.35">
      <c r="L54" s="140">
        <v>52</v>
      </c>
      <c r="M54" s="140">
        <v>0</v>
      </c>
      <c r="N54" s="140">
        <f t="shared" si="1"/>
        <v>0</v>
      </c>
      <c r="O54" s="140">
        <f t="shared" si="0"/>
        <v>383.875</v>
      </c>
    </row>
    <row r="55" spans="1:15" x14ac:dyDescent="0.35">
      <c r="A55" s="140" t="s">
        <v>303</v>
      </c>
      <c r="D55" s="140">
        <v>16</v>
      </c>
      <c r="L55" s="140">
        <v>53</v>
      </c>
      <c r="M55" s="140">
        <v>0</v>
      </c>
      <c r="N55" s="140">
        <f t="shared" si="1"/>
        <v>0</v>
      </c>
      <c r="O55" s="140">
        <f t="shared" si="0"/>
        <v>383.875</v>
      </c>
    </row>
    <row r="56" spans="1:15" x14ac:dyDescent="0.35">
      <c r="A56" s="140" t="s">
        <v>304</v>
      </c>
      <c r="D56" s="140">
        <v>20</v>
      </c>
      <c r="E56" s="140" t="s">
        <v>305</v>
      </c>
      <c r="L56" s="140">
        <v>54</v>
      </c>
      <c r="M56" s="140">
        <v>0</v>
      </c>
      <c r="N56" s="140">
        <f t="shared" si="1"/>
        <v>0</v>
      </c>
      <c r="O56" s="140">
        <f t="shared" si="0"/>
        <v>383.875</v>
      </c>
    </row>
    <row r="57" spans="1:15" x14ac:dyDescent="0.35">
      <c r="A57" s="140" t="s">
        <v>306</v>
      </c>
      <c r="D57" s="140">
        <v>10</v>
      </c>
      <c r="E57" s="140" t="s">
        <v>307</v>
      </c>
      <c r="L57" s="140">
        <v>55</v>
      </c>
      <c r="M57" s="140">
        <v>0</v>
      </c>
      <c r="N57" s="140">
        <f t="shared" si="1"/>
        <v>0</v>
      </c>
      <c r="O57" s="140">
        <f t="shared" si="0"/>
        <v>383.875</v>
      </c>
    </row>
    <row r="58" spans="1:15" x14ac:dyDescent="0.35">
      <c r="L58" s="140">
        <v>56</v>
      </c>
      <c r="M58" s="140">
        <v>0</v>
      </c>
      <c r="N58" s="140">
        <f t="shared" si="1"/>
        <v>0</v>
      </c>
      <c r="O58" s="140">
        <f t="shared" si="0"/>
        <v>383.875</v>
      </c>
    </row>
    <row r="59" spans="1:15" x14ac:dyDescent="0.35">
      <c r="A59" s="140" t="s">
        <v>308</v>
      </c>
      <c r="B59" s="140">
        <v>23.265999999999998</v>
      </c>
      <c r="C59" s="140" t="s">
        <v>53</v>
      </c>
      <c r="L59" s="140">
        <v>57</v>
      </c>
      <c r="M59" s="140">
        <v>0</v>
      </c>
      <c r="N59" s="140">
        <f t="shared" si="1"/>
        <v>0</v>
      </c>
      <c r="O59" s="140">
        <f t="shared" si="0"/>
        <v>383.875</v>
      </c>
    </row>
    <row r="60" spans="1:15" x14ac:dyDescent="0.35">
      <c r="A60" s="140" t="s">
        <v>309</v>
      </c>
      <c r="B60" s="140">
        <v>50</v>
      </c>
      <c r="C60" s="140" t="s">
        <v>53</v>
      </c>
      <c r="L60" s="140">
        <v>58</v>
      </c>
      <c r="M60" s="140">
        <v>0</v>
      </c>
      <c r="N60" s="140">
        <f t="shared" si="1"/>
        <v>0</v>
      </c>
      <c r="O60" s="140">
        <f t="shared" si="0"/>
        <v>383.875</v>
      </c>
    </row>
    <row r="61" spans="1:15" x14ac:dyDescent="0.35">
      <c r="A61" s="140" t="s">
        <v>265</v>
      </c>
      <c r="B61" s="145">
        <f>B59/B60</f>
        <v>0.46531999999999996</v>
      </c>
      <c r="L61" s="140">
        <v>59</v>
      </c>
      <c r="M61" s="140">
        <v>0</v>
      </c>
      <c r="N61" s="140">
        <f t="shared" si="1"/>
        <v>0</v>
      </c>
      <c r="O61" s="140">
        <f t="shared" si="0"/>
        <v>383.875</v>
      </c>
    </row>
    <row r="62" spans="1:15" x14ac:dyDescent="0.35">
      <c r="A62" s="140" t="s">
        <v>341</v>
      </c>
      <c r="B62" s="140">
        <f>SUM(M2:M1000)</f>
        <v>44259</v>
      </c>
      <c r="L62" s="140">
        <v>60</v>
      </c>
      <c r="M62" s="140">
        <v>0</v>
      </c>
      <c r="N62" s="140">
        <f t="shared" si="1"/>
        <v>0</v>
      </c>
      <c r="O62" s="140">
        <f t="shared" si="0"/>
        <v>383.875</v>
      </c>
    </row>
    <row r="63" spans="1:15" x14ac:dyDescent="0.35">
      <c r="A63" s="140" t="s">
        <v>343</v>
      </c>
      <c r="B63" s="140">
        <f>B59*I23</f>
        <v>46531.999999999993</v>
      </c>
      <c r="L63" s="140">
        <v>61</v>
      </c>
      <c r="M63" s="140">
        <v>0</v>
      </c>
      <c r="N63" s="140">
        <f t="shared" si="1"/>
        <v>0</v>
      </c>
      <c r="O63" s="140">
        <f t="shared" si="0"/>
        <v>383.875</v>
      </c>
    </row>
    <row r="64" spans="1:15" x14ac:dyDescent="0.35">
      <c r="L64" s="140">
        <v>62</v>
      </c>
      <c r="M64" s="140">
        <v>0</v>
      </c>
      <c r="N64" s="140">
        <f t="shared" si="1"/>
        <v>0</v>
      </c>
      <c r="O64" s="140">
        <f t="shared" si="0"/>
        <v>383.875</v>
      </c>
    </row>
    <row r="65" spans="1:15" x14ac:dyDescent="0.35">
      <c r="A65" s="140" t="s">
        <v>265</v>
      </c>
      <c r="B65" s="140">
        <f>B62/B63</f>
        <v>0.9511518954697844</v>
      </c>
      <c r="L65" s="140">
        <v>63</v>
      </c>
      <c r="M65" s="140">
        <v>0</v>
      </c>
      <c r="N65" s="140">
        <f t="shared" si="1"/>
        <v>0</v>
      </c>
      <c r="O65" s="140">
        <f t="shared" si="0"/>
        <v>383.875</v>
      </c>
    </row>
    <row r="66" spans="1:15" x14ac:dyDescent="0.35">
      <c r="L66" s="140">
        <v>64</v>
      </c>
      <c r="M66" s="140">
        <v>0</v>
      </c>
      <c r="N66" s="140">
        <f t="shared" si="1"/>
        <v>0</v>
      </c>
      <c r="O66" s="140">
        <f t="shared" ref="O66:O129" si="2">MAX($A$35)/2</f>
        <v>383.875</v>
      </c>
    </row>
    <row r="67" spans="1:15" x14ac:dyDescent="0.35">
      <c r="L67" s="140">
        <v>65</v>
      </c>
      <c r="M67" s="140">
        <v>0</v>
      </c>
      <c r="N67" s="140">
        <f t="shared" si="1"/>
        <v>0</v>
      </c>
      <c r="O67" s="140">
        <f t="shared" si="2"/>
        <v>383.875</v>
      </c>
    </row>
    <row r="68" spans="1:15" x14ac:dyDescent="0.35">
      <c r="L68" s="140">
        <v>66</v>
      </c>
      <c r="M68" s="140">
        <v>0</v>
      </c>
      <c r="N68" s="140">
        <f t="shared" si="1"/>
        <v>0</v>
      </c>
      <c r="O68" s="140">
        <f t="shared" si="2"/>
        <v>383.875</v>
      </c>
    </row>
    <row r="69" spans="1:15" x14ac:dyDescent="0.35">
      <c r="L69" s="140">
        <v>67</v>
      </c>
      <c r="M69" s="140">
        <v>0</v>
      </c>
      <c r="N69" s="140">
        <f t="shared" ref="N69:N132" si="3">AVERAGE(M66:M73)</f>
        <v>0</v>
      </c>
      <c r="O69" s="140">
        <f t="shared" si="2"/>
        <v>383.875</v>
      </c>
    </row>
    <row r="70" spans="1:15" x14ac:dyDescent="0.35">
      <c r="L70" s="140">
        <v>68</v>
      </c>
      <c r="M70" s="140">
        <v>0</v>
      </c>
      <c r="N70" s="140">
        <f t="shared" si="3"/>
        <v>0</v>
      </c>
      <c r="O70" s="140">
        <f t="shared" si="2"/>
        <v>383.875</v>
      </c>
    </row>
    <row r="71" spans="1:15" x14ac:dyDescent="0.35">
      <c r="L71" s="140">
        <v>69</v>
      </c>
      <c r="M71" s="140">
        <v>0</v>
      </c>
      <c r="N71" s="140">
        <f t="shared" si="3"/>
        <v>0</v>
      </c>
      <c r="O71" s="140">
        <f t="shared" si="2"/>
        <v>383.875</v>
      </c>
    </row>
    <row r="72" spans="1:15" x14ac:dyDescent="0.35">
      <c r="L72" s="140">
        <v>70</v>
      </c>
      <c r="M72" s="140">
        <v>0</v>
      </c>
      <c r="N72" s="140">
        <f t="shared" si="3"/>
        <v>0</v>
      </c>
      <c r="O72" s="140">
        <f t="shared" si="2"/>
        <v>383.875</v>
      </c>
    </row>
    <row r="73" spans="1:15" x14ac:dyDescent="0.35">
      <c r="L73" s="140">
        <v>71</v>
      </c>
      <c r="M73" s="140">
        <v>0</v>
      </c>
      <c r="N73" s="140">
        <f t="shared" si="3"/>
        <v>0</v>
      </c>
      <c r="O73" s="140">
        <f t="shared" si="2"/>
        <v>383.875</v>
      </c>
    </row>
    <row r="74" spans="1:15" x14ac:dyDescent="0.35">
      <c r="L74" s="140">
        <v>72</v>
      </c>
      <c r="M74" s="140">
        <v>0</v>
      </c>
      <c r="N74" s="140">
        <f t="shared" si="3"/>
        <v>0</v>
      </c>
      <c r="O74" s="140">
        <f t="shared" si="2"/>
        <v>383.875</v>
      </c>
    </row>
    <row r="75" spans="1:15" x14ac:dyDescent="0.35">
      <c r="L75" s="140">
        <v>73</v>
      </c>
      <c r="M75" s="140">
        <v>0</v>
      </c>
      <c r="N75" s="140">
        <f t="shared" si="3"/>
        <v>0</v>
      </c>
      <c r="O75" s="140">
        <f t="shared" si="2"/>
        <v>383.875</v>
      </c>
    </row>
    <row r="76" spans="1:15" x14ac:dyDescent="0.35">
      <c r="L76" s="140">
        <v>74</v>
      </c>
      <c r="M76" s="140">
        <v>0</v>
      </c>
      <c r="N76" s="140">
        <f t="shared" si="3"/>
        <v>0</v>
      </c>
      <c r="O76" s="140">
        <f t="shared" si="2"/>
        <v>383.875</v>
      </c>
    </row>
    <row r="77" spans="1:15" x14ac:dyDescent="0.35">
      <c r="L77" s="140">
        <v>75</v>
      </c>
      <c r="M77" s="140">
        <v>0</v>
      </c>
      <c r="N77" s="140">
        <f t="shared" si="3"/>
        <v>0</v>
      </c>
      <c r="O77" s="140">
        <f t="shared" si="2"/>
        <v>383.875</v>
      </c>
    </row>
    <row r="78" spans="1:15" x14ac:dyDescent="0.35">
      <c r="L78" s="140">
        <v>76</v>
      </c>
      <c r="M78" s="140">
        <v>0</v>
      </c>
      <c r="N78" s="140">
        <f t="shared" si="3"/>
        <v>0</v>
      </c>
      <c r="O78" s="140">
        <f t="shared" si="2"/>
        <v>383.875</v>
      </c>
    </row>
    <row r="79" spans="1:15" x14ac:dyDescent="0.35">
      <c r="L79" s="140">
        <v>77</v>
      </c>
      <c r="M79" s="140">
        <v>0</v>
      </c>
      <c r="N79" s="140">
        <f t="shared" si="3"/>
        <v>0</v>
      </c>
      <c r="O79" s="140">
        <f t="shared" si="2"/>
        <v>383.875</v>
      </c>
    </row>
    <row r="80" spans="1:15" x14ac:dyDescent="0.35">
      <c r="L80" s="140">
        <v>78</v>
      </c>
      <c r="M80" s="140">
        <v>0</v>
      </c>
      <c r="N80" s="140">
        <f t="shared" si="3"/>
        <v>0</v>
      </c>
      <c r="O80" s="140">
        <f t="shared" si="2"/>
        <v>383.875</v>
      </c>
    </row>
    <row r="81" spans="12:15" x14ac:dyDescent="0.35">
      <c r="L81" s="140">
        <v>79</v>
      </c>
      <c r="M81" s="140">
        <v>0</v>
      </c>
      <c r="N81" s="140">
        <f t="shared" si="3"/>
        <v>0</v>
      </c>
      <c r="O81" s="140">
        <f t="shared" si="2"/>
        <v>383.875</v>
      </c>
    </row>
    <row r="82" spans="12:15" x14ac:dyDescent="0.35">
      <c r="L82" s="140">
        <v>80</v>
      </c>
      <c r="M82" s="140">
        <v>0</v>
      </c>
      <c r="N82" s="140">
        <f t="shared" si="3"/>
        <v>0</v>
      </c>
      <c r="O82" s="140">
        <f t="shared" si="2"/>
        <v>383.875</v>
      </c>
    </row>
    <row r="83" spans="12:15" x14ac:dyDescent="0.35">
      <c r="L83" s="140">
        <v>81</v>
      </c>
      <c r="M83" s="140">
        <v>0</v>
      </c>
      <c r="N83" s="140">
        <f t="shared" si="3"/>
        <v>0</v>
      </c>
      <c r="O83" s="140">
        <f t="shared" si="2"/>
        <v>383.875</v>
      </c>
    </row>
    <row r="84" spans="12:15" x14ac:dyDescent="0.35">
      <c r="L84" s="140">
        <v>82</v>
      </c>
      <c r="M84" s="140">
        <v>0</v>
      </c>
      <c r="N84" s="140">
        <f t="shared" si="3"/>
        <v>0</v>
      </c>
      <c r="O84" s="140">
        <f t="shared" si="2"/>
        <v>383.875</v>
      </c>
    </row>
    <row r="85" spans="12:15" x14ac:dyDescent="0.35">
      <c r="L85" s="140">
        <v>83</v>
      </c>
      <c r="M85" s="140">
        <v>0</v>
      </c>
      <c r="N85" s="140">
        <f t="shared" si="3"/>
        <v>0</v>
      </c>
      <c r="O85" s="140">
        <f t="shared" si="2"/>
        <v>383.875</v>
      </c>
    </row>
    <row r="86" spans="12:15" x14ac:dyDescent="0.35">
      <c r="L86" s="140">
        <v>84</v>
      </c>
      <c r="M86" s="140">
        <v>0</v>
      </c>
      <c r="N86" s="140">
        <f t="shared" si="3"/>
        <v>0</v>
      </c>
      <c r="O86" s="140">
        <f t="shared" si="2"/>
        <v>383.875</v>
      </c>
    </row>
    <row r="87" spans="12:15" x14ac:dyDescent="0.35">
      <c r="L87" s="140">
        <v>85</v>
      </c>
      <c r="M87" s="140">
        <v>0</v>
      </c>
      <c r="N87" s="140">
        <f t="shared" si="3"/>
        <v>0</v>
      </c>
      <c r="O87" s="140">
        <f t="shared" si="2"/>
        <v>383.875</v>
      </c>
    </row>
    <row r="88" spans="12:15" x14ac:dyDescent="0.35">
      <c r="L88" s="140">
        <v>86</v>
      </c>
      <c r="M88" s="140">
        <v>0</v>
      </c>
      <c r="N88" s="140">
        <f t="shared" si="3"/>
        <v>0</v>
      </c>
      <c r="O88" s="140">
        <f t="shared" si="2"/>
        <v>383.875</v>
      </c>
    </row>
    <row r="89" spans="12:15" x14ac:dyDescent="0.35">
      <c r="L89" s="140">
        <v>87</v>
      </c>
      <c r="M89" s="140">
        <v>0</v>
      </c>
      <c r="N89" s="140">
        <f t="shared" si="3"/>
        <v>0</v>
      </c>
      <c r="O89" s="140">
        <f t="shared" si="2"/>
        <v>383.875</v>
      </c>
    </row>
    <row r="90" spans="12:15" x14ac:dyDescent="0.35">
      <c r="L90" s="140">
        <v>88</v>
      </c>
      <c r="M90" s="140">
        <v>0</v>
      </c>
      <c r="N90" s="140">
        <f t="shared" si="3"/>
        <v>0</v>
      </c>
      <c r="O90" s="140">
        <f t="shared" si="2"/>
        <v>383.875</v>
      </c>
    </row>
    <row r="91" spans="12:15" x14ac:dyDescent="0.35">
      <c r="L91" s="140">
        <v>89</v>
      </c>
      <c r="M91" s="140">
        <v>0</v>
      </c>
      <c r="N91" s="140">
        <f t="shared" si="3"/>
        <v>0</v>
      </c>
      <c r="O91" s="140">
        <f t="shared" si="2"/>
        <v>383.875</v>
      </c>
    </row>
    <row r="92" spans="12:15" x14ac:dyDescent="0.35">
      <c r="L92" s="140">
        <v>90</v>
      </c>
      <c r="M92" s="140">
        <v>0</v>
      </c>
      <c r="N92" s="140">
        <f t="shared" si="3"/>
        <v>0</v>
      </c>
      <c r="O92" s="140">
        <f t="shared" si="2"/>
        <v>383.875</v>
      </c>
    </row>
    <row r="93" spans="12:15" x14ac:dyDescent="0.35">
      <c r="L93" s="140">
        <v>91</v>
      </c>
      <c r="M93" s="140">
        <v>0</v>
      </c>
      <c r="N93" s="140">
        <f t="shared" si="3"/>
        <v>0</v>
      </c>
      <c r="O93" s="140">
        <f t="shared" si="2"/>
        <v>383.875</v>
      </c>
    </row>
    <row r="94" spans="12:15" x14ac:dyDescent="0.35">
      <c r="L94" s="140">
        <v>92</v>
      </c>
      <c r="M94" s="140">
        <v>0</v>
      </c>
      <c r="N94" s="140">
        <f t="shared" si="3"/>
        <v>0</v>
      </c>
      <c r="O94" s="140">
        <f t="shared" si="2"/>
        <v>383.875</v>
      </c>
    </row>
    <row r="95" spans="12:15" x14ac:dyDescent="0.35">
      <c r="L95" s="140">
        <v>93</v>
      </c>
      <c r="M95" s="140">
        <v>0</v>
      </c>
      <c r="N95" s="140">
        <f t="shared" si="3"/>
        <v>0</v>
      </c>
      <c r="O95" s="140">
        <f t="shared" si="2"/>
        <v>383.875</v>
      </c>
    </row>
    <row r="96" spans="12:15" x14ac:dyDescent="0.35">
      <c r="L96" s="140">
        <v>94</v>
      </c>
      <c r="M96" s="140">
        <v>0</v>
      </c>
      <c r="N96" s="140">
        <f t="shared" si="3"/>
        <v>0</v>
      </c>
      <c r="O96" s="140">
        <f t="shared" si="2"/>
        <v>383.875</v>
      </c>
    </row>
    <row r="97" spans="12:15" x14ac:dyDescent="0.35">
      <c r="L97" s="140">
        <v>95</v>
      </c>
      <c r="M97" s="140">
        <v>0</v>
      </c>
      <c r="N97" s="140">
        <f t="shared" si="3"/>
        <v>0</v>
      </c>
      <c r="O97" s="140">
        <f t="shared" si="2"/>
        <v>383.875</v>
      </c>
    </row>
    <row r="98" spans="12:15" x14ac:dyDescent="0.35">
      <c r="L98" s="140">
        <v>96</v>
      </c>
      <c r="M98" s="140">
        <v>0</v>
      </c>
      <c r="N98" s="140">
        <f t="shared" si="3"/>
        <v>0</v>
      </c>
      <c r="O98" s="140">
        <f t="shared" si="2"/>
        <v>383.875</v>
      </c>
    </row>
    <row r="99" spans="12:15" x14ac:dyDescent="0.35">
      <c r="L99" s="140">
        <v>97</v>
      </c>
      <c r="M99" s="140">
        <v>0</v>
      </c>
      <c r="N99" s="140">
        <f t="shared" si="3"/>
        <v>0</v>
      </c>
      <c r="O99" s="140">
        <f t="shared" si="2"/>
        <v>383.875</v>
      </c>
    </row>
    <row r="100" spans="12:15" x14ac:dyDescent="0.35">
      <c r="L100" s="140">
        <v>98</v>
      </c>
      <c r="M100" s="140">
        <v>0</v>
      </c>
      <c r="N100" s="140">
        <f t="shared" si="3"/>
        <v>0</v>
      </c>
      <c r="O100" s="140">
        <f t="shared" si="2"/>
        <v>383.875</v>
      </c>
    </row>
    <row r="101" spans="12:15" x14ac:dyDescent="0.35">
      <c r="L101" s="140">
        <v>99</v>
      </c>
      <c r="M101" s="140">
        <v>0</v>
      </c>
      <c r="N101" s="140">
        <f t="shared" si="3"/>
        <v>0</v>
      </c>
      <c r="O101" s="140">
        <f t="shared" si="2"/>
        <v>383.875</v>
      </c>
    </row>
    <row r="102" spans="12:15" x14ac:dyDescent="0.35">
      <c r="L102" s="140">
        <v>100</v>
      </c>
      <c r="M102" s="140">
        <v>0</v>
      </c>
      <c r="N102" s="140">
        <f t="shared" si="3"/>
        <v>0</v>
      </c>
      <c r="O102" s="140">
        <f t="shared" si="2"/>
        <v>383.875</v>
      </c>
    </row>
    <row r="103" spans="12:15" x14ac:dyDescent="0.35">
      <c r="L103" s="140">
        <v>101</v>
      </c>
      <c r="M103" s="140">
        <v>0</v>
      </c>
      <c r="N103" s="140">
        <f t="shared" si="3"/>
        <v>0</v>
      </c>
      <c r="O103" s="140">
        <f t="shared" si="2"/>
        <v>383.875</v>
      </c>
    </row>
    <row r="104" spans="12:15" x14ac:dyDescent="0.35">
      <c r="L104" s="140">
        <v>102</v>
      </c>
      <c r="M104" s="140">
        <v>0</v>
      </c>
      <c r="N104" s="140">
        <f t="shared" si="3"/>
        <v>0</v>
      </c>
      <c r="O104" s="140">
        <f t="shared" si="2"/>
        <v>383.875</v>
      </c>
    </row>
    <row r="105" spans="12:15" x14ac:dyDescent="0.35">
      <c r="L105" s="140">
        <v>103</v>
      </c>
      <c r="M105" s="140">
        <v>0</v>
      </c>
      <c r="N105" s="140">
        <f t="shared" si="3"/>
        <v>0</v>
      </c>
      <c r="O105" s="140">
        <f t="shared" si="2"/>
        <v>383.875</v>
      </c>
    </row>
    <row r="106" spans="12:15" x14ac:dyDescent="0.35">
      <c r="L106" s="140">
        <v>104</v>
      </c>
      <c r="M106" s="140">
        <v>0</v>
      </c>
      <c r="N106" s="140">
        <f t="shared" si="3"/>
        <v>0</v>
      </c>
      <c r="O106" s="140">
        <f t="shared" si="2"/>
        <v>383.875</v>
      </c>
    </row>
    <row r="107" spans="12:15" x14ac:dyDescent="0.35">
      <c r="L107" s="140">
        <v>105</v>
      </c>
      <c r="M107" s="140">
        <v>0</v>
      </c>
      <c r="N107" s="140">
        <f t="shared" si="3"/>
        <v>0</v>
      </c>
      <c r="O107" s="140">
        <f t="shared" si="2"/>
        <v>383.875</v>
      </c>
    </row>
    <row r="108" spans="12:15" x14ac:dyDescent="0.35">
      <c r="L108" s="140">
        <v>106</v>
      </c>
      <c r="M108" s="140">
        <v>0</v>
      </c>
      <c r="N108" s="140">
        <f t="shared" si="3"/>
        <v>0</v>
      </c>
      <c r="O108" s="140">
        <f t="shared" si="2"/>
        <v>383.875</v>
      </c>
    </row>
    <row r="109" spans="12:15" x14ac:dyDescent="0.35">
      <c r="L109" s="140">
        <v>107</v>
      </c>
      <c r="M109" s="140">
        <v>0</v>
      </c>
      <c r="N109" s="140">
        <f t="shared" si="3"/>
        <v>0</v>
      </c>
      <c r="O109" s="140">
        <f t="shared" si="2"/>
        <v>383.875</v>
      </c>
    </row>
    <row r="110" spans="12:15" x14ac:dyDescent="0.35">
      <c r="L110" s="140">
        <v>108</v>
      </c>
      <c r="M110" s="140">
        <v>0</v>
      </c>
      <c r="N110" s="140">
        <f t="shared" si="3"/>
        <v>0</v>
      </c>
      <c r="O110" s="140">
        <f t="shared" si="2"/>
        <v>383.875</v>
      </c>
    </row>
    <row r="111" spans="12:15" x14ac:dyDescent="0.35">
      <c r="L111" s="140">
        <v>109</v>
      </c>
      <c r="M111" s="140">
        <v>0</v>
      </c>
      <c r="N111" s="140">
        <f t="shared" si="3"/>
        <v>0</v>
      </c>
      <c r="O111" s="140">
        <f t="shared" si="2"/>
        <v>383.875</v>
      </c>
    </row>
    <row r="112" spans="12:15" x14ac:dyDescent="0.35">
      <c r="L112" s="140">
        <v>110</v>
      </c>
      <c r="M112" s="140">
        <v>0</v>
      </c>
      <c r="N112" s="140">
        <f t="shared" si="3"/>
        <v>0</v>
      </c>
      <c r="O112" s="140">
        <f t="shared" si="2"/>
        <v>383.875</v>
      </c>
    </row>
    <row r="113" spans="12:15" x14ac:dyDescent="0.35">
      <c r="L113" s="140">
        <v>111</v>
      </c>
      <c r="M113" s="140">
        <v>0</v>
      </c>
      <c r="N113" s="140">
        <f t="shared" si="3"/>
        <v>0</v>
      </c>
      <c r="O113" s="140">
        <f t="shared" si="2"/>
        <v>383.875</v>
      </c>
    </row>
    <row r="114" spans="12:15" x14ac:dyDescent="0.35">
      <c r="L114" s="140">
        <v>112</v>
      </c>
      <c r="M114" s="140">
        <v>0</v>
      </c>
      <c r="N114" s="140">
        <f t="shared" si="3"/>
        <v>0</v>
      </c>
      <c r="O114" s="140">
        <f t="shared" si="2"/>
        <v>383.875</v>
      </c>
    </row>
    <row r="115" spans="12:15" x14ac:dyDescent="0.35">
      <c r="L115" s="140">
        <v>113</v>
      </c>
      <c r="M115" s="140">
        <v>0</v>
      </c>
      <c r="N115" s="140">
        <f t="shared" si="3"/>
        <v>0</v>
      </c>
      <c r="O115" s="140">
        <f t="shared" si="2"/>
        <v>383.875</v>
      </c>
    </row>
    <row r="116" spans="12:15" x14ac:dyDescent="0.35">
      <c r="L116" s="140">
        <v>114</v>
      </c>
      <c r="M116" s="140">
        <v>0</v>
      </c>
      <c r="N116" s="140">
        <f t="shared" si="3"/>
        <v>0</v>
      </c>
      <c r="O116" s="140">
        <f t="shared" si="2"/>
        <v>383.875</v>
      </c>
    </row>
    <row r="117" spans="12:15" x14ac:dyDescent="0.35">
      <c r="L117" s="140">
        <v>115</v>
      </c>
      <c r="M117" s="140">
        <v>0</v>
      </c>
      <c r="N117" s="140">
        <f t="shared" si="3"/>
        <v>0</v>
      </c>
      <c r="O117" s="140">
        <f t="shared" si="2"/>
        <v>383.875</v>
      </c>
    </row>
    <row r="118" spans="12:15" x14ac:dyDescent="0.35">
      <c r="L118" s="140">
        <v>116</v>
      </c>
      <c r="M118" s="140">
        <v>0</v>
      </c>
      <c r="N118" s="140">
        <f t="shared" si="3"/>
        <v>0</v>
      </c>
      <c r="O118" s="140">
        <f t="shared" si="2"/>
        <v>383.875</v>
      </c>
    </row>
    <row r="119" spans="12:15" x14ac:dyDescent="0.35">
      <c r="L119" s="140">
        <v>117</v>
      </c>
      <c r="M119" s="140">
        <v>0</v>
      </c>
      <c r="N119" s="140">
        <f t="shared" si="3"/>
        <v>0</v>
      </c>
      <c r="O119" s="140">
        <f t="shared" si="2"/>
        <v>383.875</v>
      </c>
    </row>
    <row r="120" spans="12:15" x14ac:dyDescent="0.35">
      <c r="L120" s="140">
        <v>118</v>
      </c>
      <c r="M120" s="140">
        <v>0</v>
      </c>
      <c r="N120" s="140">
        <f t="shared" si="3"/>
        <v>0</v>
      </c>
      <c r="O120" s="140">
        <f t="shared" si="2"/>
        <v>383.875</v>
      </c>
    </row>
    <row r="121" spans="12:15" x14ac:dyDescent="0.35">
      <c r="L121" s="140">
        <v>119</v>
      </c>
      <c r="M121" s="140">
        <v>0</v>
      </c>
      <c r="N121" s="140">
        <f t="shared" si="3"/>
        <v>0</v>
      </c>
      <c r="O121" s="140">
        <f t="shared" si="2"/>
        <v>383.875</v>
      </c>
    </row>
    <row r="122" spans="12:15" x14ac:dyDescent="0.35">
      <c r="L122" s="140">
        <v>120</v>
      </c>
      <c r="M122" s="140">
        <v>0</v>
      </c>
      <c r="N122" s="140">
        <f t="shared" si="3"/>
        <v>0</v>
      </c>
      <c r="O122" s="140">
        <f t="shared" si="2"/>
        <v>383.875</v>
      </c>
    </row>
    <row r="123" spans="12:15" x14ac:dyDescent="0.35">
      <c r="L123" s="140">
        <v>121</v>
      </c>
      <c r="M123" s="140">
        <v>0</v>
      </c>
      <c r="N123" s="140">
        <f t="shared" si="3"/>
        <v>0</v>
      </c>
      <c r="O123" s="140">
        <f t="shared" si="2"/>
        <v>383.875</v>
      </c>
    </row>
    <row r="124" spans="12:15" x14ac:dyDescent="0.35">
      <c r="L124" s="140">
        <v>122</v>
      </c>
      <c r="M124" s="140">
        <v>0</v>
      </c>
      <c r="N124" s="140">
        <f t="shared" si="3"/>
        <v>0</v>
      </c>
      <c r="O124" s="140">
        <f t="shared" si="2"/>
        <v>383.875</v>
      </c>
    </row>
    <row r="125" spans="12:15" x14ac:dyDescent="0.35">
      <c r="L125" s="140">
        <v>123</v>
      </c>
      <c r="M125" s="140">
        <v>0</v>
      </c>
      <c r="N125" s="140">
        <f t="shared" si="3"/>
        <v>0</v>
      </c>
      <c r="O125" s="140">
        <f t="shared" si="2"/>
        <v>383.875</v>
      </c>
    </row>
    <row r="126" spans="12:15" x14ac:dyDescent="0.35">
      <c r="L126" s="140">
        <v>124</v>
      </c>
      <c r="M126" s="140">
        <v>0</v>
      </c>
      <c r="N126" s="140">
        <f t="shared" si="3"/>
        <v>0</v>
      </c>
      <c r="O126" s="140">
        <f t="shared" si="2"/>
        <v>383.875</v>
      </c>
    </row>
    <row r="127" spans="12:15" x14ac:dyDescent="0.35">
      <c r="L127" s="140">
        <v>125</v>
      </c>
      <c r="M127" s="140">
        <v>0</v>
      </c>
      <c r="N127" s="140">
        <f t="shared" si="3"/>
        <v>0</v>
      </c>
      <c r="O127" s="140">
        <f t="shared" si="2"/>
        <v>383.875</v>
      </c>
    </row>
    <row r="128" spans="12:15" x14ac:dyDescent="0.35">
      <c r="L128" s="140">
        <v>126</v>
      </c>
      <c r="M128" s="140">
        <v>0</v>
      </c>
      <c r="N128" s="140">
        <f t="shared" si="3"/>
        <v>0</v>
      </c>
      <c r="O128" s="140">
        <f t="shared" si="2"/>
        <v>383.875</v>
      </c>
    </row>
    <row r="129" spans="12:15" x14ac:dyDescent="0.35">
      <c r="L129" s="140">
        <v>127</v>
      </c>
      <c r="M129" s="140">
        <v>0</v>
      </c>
      <c r="N129" s="140">
        <f t="shared" si="3"/>
        <v>0</v>
      </c>
      <c r="O129" s="140">
        <f t="shared" si="2"/>
        <v>383.875</v>
      </c>
    </row>
    <row r="130" spans="12:15" x14ac:dyDescent="0.35">
      <c r="L130" s="140">
        <v>128</v>
      </c>
      <c r="M130" s="140">
        <v>0</v>
      </c>
      <c r="N130" s="140">
        <f t="shared" si="3"/>
        <v>0</v>
      </c>
      <c r="O130" s="140">
        <f t="shared" ref="O130:O193" si="4">MAX($A$35)/2</f>
        <v>383.875</v>
      </c>
    </row>
    <row r="131" spans="12:15" x14ac:dyDescent="0.35">
      <c r="L131" s="140">
        <v>129</v>
      </c>
      <c r="M131" s="140">
        <v>0</v>
      </c>
      <c r="N131" s="140">
        <f t="shared" si="3"/>
        <v>0</v>
      </c>
      <c r="O131" s="140">
        <f t="shared" si="4"/>
        <v>383.875</v>
      </c>
    </row>
    <row r="132" spans="12:15" x14ac:dyDescent="0.35">
      <c r="L132" s="140">
        <v>130</v>
      </c>
      <c r="M132" s="140">
        <v>0</v>
      </c>
      <c r="N132" s="140">
        <f t="shared" si="3"/>
        <v>0</v>
      </c>
      <c r="O132" s="140">
        <f t="shared" si="4"/>
        <v>383.875</v>
      </c>
    </row>
    <row r="133" spans="12:15" x14ac:dyDescent="0.35">
      <c r="L133" s="140">
        <v>131</v>
      </c>
      <c r="M133" s="140">
        <v>0</v>
      </c>
      <c r="N133" s="140">
        <f t="shared" ref="N133:N196" si="5">AVERAGE(M130:M137)</f>
        <v>0</v>
      </c>
      <c r="O133" s="140">
        <f t="shared" si="4"/>
        <v>383.875</v>
      </c>
    </row>
    <row r="134" spans="12:15" x14ac:dyDescent="0.35">
      <c r="L134" s="140">
        <v>132</v>
      </c>
      <c r="M134" s="140">
        <v>0</v>
      </c>
      <c r="N134" s="140">
        <f t="shared" si="5"/>
        <v>0</v>
      </c>
      <c r="O134" s="140">
        <f t="shared" si="4"/>
        <v>383.875</v>
      </c>
    </row>
    <row r="135" spans="12:15" x14ac:dyDescent="0.35">
      <c r="L135" s="140">
        <v>133</v>
      </c>
      <c r="M135" s="140">
        <v>0</v>
      </c>
      <c r="N135" s="140">
        <f t="shared" si="5"/>
        <v>0</v>
      </c>
      <c r="O135" s="140">
        <f t="shared" si="4"/>
        <v>383.875</v>
      </c>
    </row>
    <row r="136" spans="12:15" x14ac:dyDescent="0.35">
      <c r="L136" s="140">
        <v>134</v>
      </c>
      <c r="M136" s="140">
        <v>0</v>
      </c>
      <c r="N136" s="140">
        <f t="shared" si="5"/>
        <v>0</v>
      </c>
      <c r="O136" s="140">
        <f t="shared" si="4"/>
        <v>383.875</v>
      </c>
    </row>
    <row r="137" spans="12:15" x14ac:dyDescent="0.35">
      <c r="L137" s="140">
        <v>135</v>
      </c>
      <c r="M137" s="140">
        <v>0</v>
      </c>
      <c r="N137" s="140">
        <f t="shared" si="5"/>
        <v>0</v>
      </c>
      <c r="O137" s="140">
        <f t="shared" si="4"/>
        <v>383.875</v>
      </c>
    </row>
    <row r="138" spans="12:15" x14ac:dyDescent="0.35">
      <c r="L138" s="140">
        <v>136</v>
      </c>
      <c r="M138" s="140">
        <v>0</v>
      </c>
      <c r="N138" s="140">
        <f t="shared" si="5"/>
        <v>0</v>
      </c>
      <c r="O138" s="140">
        <f t="shared" si="4"/>
        <v>383.875</v>
      </c>
    </row>
    <row r="139" spans="12:15" x14ac:dyDescent="0.35">
      <c r="L139" s="140">
        <v>137</v>
      </c>
      <c r="M139" s="140">
        <v>0</v>
      </c>
      <c r="N139" s="140">
        <f t="shared" si="5"/>
        <v>0</v>
      </c>
      <c r="O139" s="140">
        <f t="shared" si="4"/>
        <v>383.875</v>
      </c>
    </row>
    <row r="140" spans="12:15" x14ac:dyDescent="0.35">
      <c r="L140" s="140">
        <v>138</v>
      </c>
      <c r="M140" s="140">
        <v>0</v>
      </c>
      <c r="N140" s="140">
        <f t="shared" si="5"/>
        <v>4.625</v>
      </c>
      <c r="O140" s="140">
        <f t="shared" si="4"/>
        <v>383.875</v>
      </c>
    </row>
    <row r="141" spans="12:15" x14ac:dyDescent="0.35">
      <c r="L141" s="140">
        <v>139</v>
      </c>
      <c r="M141" s="140">
        <v>0</v>
      </c>
      <c r="N141" s="140">
        <f t="shared" si="5"/>
        <v>9.125</v>
      </c>
      <c r="O141" s="140">
        <f t="shared" si="4"/>
        <v>383.875</v>
      </c>
    </row>
    <row r="142" spans="12:15" x14ac:dyDescent="0.35">
      <c r="L142" s="140">
        <v>140</v>
      </c>
      <c r="M142" s="140">
        <v>0</v>
      </c>
      <c r="N142" s="140">
        <f t="shared" si="5"/>
        <v>13.875</v>
      </c>
      <c r="O142" s="140">
        <f t="shared" si="4"/>
        <v>383.875</v>
      </c>
    </row>
    <row r="143" spans="12:15" x14ac:dyDescent="0.35">
      <c r="L143" s="140">
        <v>141</v>
      </c>
      <c r="M143" s="140">
        <v>0</v>
      </c>
      <c r="N143" s="140">
        <f t="shared" si="5"/>
        <v>19.125</v>
      </c>
      <c r="O143" s="140">
        <f t="shared" si="4"/>
        <v>383.875</v>
      </c>
    </row>
    <row r="144" spans="12:15" x14ac:dyDescent="0.35">
      <c r="L144" s="140">
        <v>142</v>
      </c>
      <c r="M144" s="140">
        <v>37</v>
      </c>
      <c r="N144" s="140">
        <f t="shared" si="5"/>
        <v>24.5</v>
      </c>
      <c r="O144" s="140">
        <f t="shared" si="4"/>
        <v>383.875</v>
      </c>
    </row>
    <row r="145" spans="12:15" x14ac:dyDescent="0.35">
      <c r="L145" s="140">
        <v>143</v>
      </c>
      <c r="M145" s="140">
        <v>36</v>
      </c>
      <c r="N145" s="140">
        <f t="shared" si="5"/>
        <v>28.5</v>
      </c>
      <c r="O145" s="140">
        <f t="shared" si="4"/>
        <v>383.875</v>
      </c>
    </row>
    <row r="146" spans="12:15" x14ac:dyDescent="0.35">
      <c r="L146" s="140">
        <v>144</v>
      </c>
      <c r="M146" s="140">
        <v>38</v>
      </c>
      <c r="N146" s="140">
        <f t="shared" si="5"/>
        <v>33.75</v>
      </c>
      <c r="O146" s="140">
        <f t="shared" si="4"/>
        <v>383.875</v>
      </c>
    </row>
    <row r="147" spans="12:15" x14ac:dyDescent="0.35">
      <c r="L147" s="140">
        <v>145</v>
      </c>
      <c r="M147" s="140">
        <v>42</v>
      </c>
      <c r="N147" s="140">
        <f t="shared" si="5"/>
        <v>40</v>
      </c>
      <c r="O147" s="140">
        <f t="shared" si="4"/>
        <v>383.875</v>
      </c>
    </row>
    <row r="148" spans="12:15" x14ac:dyDescent="0.35">
      <c r="L148" s="140">
        <v>146</v>
      </c>
      <c r="M148" s="140">
        <v>43</v>
      </c>
      <c r="N148" s="140">
        <f t="shared" si="5"/>
        <v>41.5</v>
      </c>
      <c r="O148" s="140">
        <f t="shared" si="4"/>
        <v>383.875</v>
      </c>
    </row>
    <row r="149" spans="12:15" x14ac:dyDescent="0.35">
      <c r="L149" s="140">
        <v>147</v>
      </c>
      <c r="M149" s="140">
        <v>32</v>
      </c>
      <c r="N149" s="140">
        <f t="shared" si="5"/>
        <v>41.375</v>
      </c>
      <c r="O149" s="140">
        <f t="shared" si="4"/>
        <v>383.875</v>
      </c>
    </row>
    <row r="150" spans="12:15" x14ac:dyDescent="0.35">
      <c r="L150" s="140">
        <v>148</v>
      </c>
      <c r="M150" s="140">
        <v>42</v>
      </c>
      <c r="N150" s="140">
        <f t="shared" si="5"/>
        <v>42.125</v>
      </c>
      <c r="O150" s="140">
        <f t="shared" si="4"/>
        <v>383.875</v>
      </c>
    </row>
    <row r="151" spans="12:15" x14ac:dyDescent="0.35">
      <c r="L151" s="140">
        <v>149</v>
      </c>
      <c r="M151" s="140">
        <v>50</v>
      </c>
      <c r="N151" s="140">
        <f t="shared" si="5"/>
        <v>41.375</v>
      </c>
      <c r="O151" s="140">
        <f t="shared" si="4"/>
        <v>383.875</v>
      </c>
    </row>
    <row r="152" spans="12:15" x14ac:dyDescent="0.35">
      <c r="L152" s="140">
        <v>150</v>
      </c>
      <c r="M152" s="140">
        <v>49</v>
      </c>
      <c r="N152" s="140">
        <f t="shared" si="5"/>
        <v>41.25</v>
      </c>
      <c r="O152" s="140">
        <f t="shared" si="4"/>
        <v>383.875</v>
      </c>
    </row>
    <row r="153" spans="12:15" x14ac:dyDescent="0.35">
      <c r="L153" s="140">
        <v>151</v>
      </c>
      <c r="M153" s="140">
        <v>35</v>
      </c>
      <c r="N153" s="140">
        <f t="shared" si="5"/>
        <v>42.5</v>
      </c>
      <c r="O153" s="140">
        <f t="shared" si="4"/>
        <v>383.875</v>
      </c>
    </row>
    <row r="154" spans="12:15" x14ac:dyDescent="0.35">
      <c r="L154" s="140">
        <v>152</v>
      </c>
      <c r="M154" s="140">
        <v>44</v>
      </c>
      <c r="N154" s="140">
        <f t="shared" si="5"/>
        <v>42.5</v>
      </c>
      <c r="O154" s="140">
        <f t="shared" si="4"/>
        <v>383.875</v>
      </c>
    </row>
    <row r="155" spans="12:15" x14ac:dyDescent="0.35">
      <c r="L155" s="140">
        <v>153</v>
      </c>
      <c r="M155" s="140">
        <v>36</v>
      </c>
      <c r="N155" s="140">
        <f t="shared" si="5"/>
        <v>42.625</v>
      </c>
      <c r="O155" s="140">
        <f t="shared" si="4"/>
        <v>383.875</v>
      </c>
    </row>
    <row r="156" spans="12:15" x14ac:dyDescent="0.35">
      <c r="L156" s="140">
        <v>154</v>
      </c>
      <c r="M156" s="140">
        <v>42</v>
      </c>
      <c r="N156" s="140">
        <f t="shared" si="5"/>
        <v>42</v>
      </c>
      <c r="O156" s="140">
        <f t="shared" si="4"/>
        <v>383.875</v>
      </c>
    </row>
    <row r="157" spans="12:15" x14ac:dyDescent="0.35">
      <c r="L157" s="140">
        <v>155</v>
      </c>
      <c r="M157" s="140">
        <v>42</v>
      </c>
      <c r="N157" s="140">
        <f t="shared" si="5"/>
        <v>45</v>
      </c>
      <c r="O157" s="140">
        <f t="shared" si="4"/>
        <v>383.875</v>
      </c>
    </row>
    <row r="158" spans="12:15" x14ac:dyDescent="0.35">
      <c r="L158" s="140">
        <v>156</v>
      </c>
      <c r="M158" s="140">
        <v>42</v>
      </c>
      <c r="N158" s="140">
        <f t="shared" si="5"/>
        <v>46.875</v>
      </c>
      <c r="O158" s="140">
        <f t="shared" si="4"/>
        <v>383.875</v>
      </c>
    </row>
    <row r="159" spans="12:15" x14ac:dyDescent="0.35">
      <c r="L159" s="140">
        <v>157</v>
      </c>
      <c r="M159" s="140">
        <v>51</v>
      </c>
      <c r="N159" s="140">
        <f t="shared" si="5"/>
        <v>47.75</v>
      </c>
      <c r="O159" s="140">
        <f t="shared" si="4"/>
        <v>383.875</v>
      </c>
    </row>
    <row r="160" spans="12:15" x14ac:dyDescent="0.35">
      <c r="L160" s="140">
        <v>158</v>
      </c>
      <c r="M160" s="140">
        <v>44</v>
      </c>
      <c r="N160" s="140">
        <f t="shared" si="5"/>
        <v>48</v>
      </c>
      <c r="O160" s="140">
        <f t="shared" si="4"/>
        <v>383.875</v>
      </c>
    </row>
    <row r="161" spans="12:15" x14ac:dyDescent="0.35">
      <c r="L161" s="140">
        <v>159</v>
      </c>
      <c r="M161" s="140">
        <v>59</v>
      </c>
      <c r="N161" s="140">
        <f t="shared" si="5"/>
        <v>49</v>
      </c>
      <c r="O161" s="140">
        <f t="shared" si="4"/>
        <v>383.875</v>
      </c>
    </row>
    <row r="162" spans="12:15" x14ac:dyDescent="0.35">
      <c r="L162" s="140">
        <v>160</v>
      </c>
      <c r="M162" s="140">
        <v>59</v>
      </c>
      <c r="N162" s="140">
        <f t="shared" si="5"/>
        <v>49.875</v>
      </c>
      <c r="O162" s="140">
        <f t="shared" si="4"/>
        <v>383.875</v>
      </c>
    </row>
    <row r="163" spans="12:15" x14ac:dyDescent="0.35">
      <c r="L163" s="140">
        <v>161</v>
      </c>
      <c r="M163" s="140">
        <v>43</v>
      </c>
      <c r="N163" s="140">
        <f t="shared" si="5"/>
        <v>51.25</v>
      </c>
      <c r="O163" s="140">
        <f t="shared" si="4"/>
        <v>383.875</v>
      </c>
    </row>
    <row r="164" spans="12:15" x14ac:dyDescent="0.35">
      <c r="L164" s="140">
        <v>162</v>
      </c>
      <c r="M164" s="140">
        <v>44</v>
      </c>
      <c r="N164" s="140">
        <f t="shared" si="5"/>
        <v>53</v>
      </c>
      <c r="O164" s="140">
        <f t="shared" si="4"/>
        <v>383.875</v>
      </c>
    </row>
    <row r="165" spans="12:15" x14ac:dyDescent="0.35">
      <c r="L165" s="140">
        <v>163</v>
      </c>
      <c r="M165" s="140">
        <v>50</v>
      </c>
      <c r="N165" s="140">
        <f t="shared" si="5"/>
        <v>53.25</v>
      </c>
      <c r="O165" s="140">
        <f t="shared" si="4"/>
        <v>383.875</v>
      </c>
    </row>
    <row r="166" spans="12:15" x14ac:dyDescent="0.35">
      <c r="L166" s="140">
        <v>164</v>
      </c>
      <c r="M166" s="140">
        <v>49</v>
      </c>
      <c r="N166" s="140">
        <f t="shared" si="5"/>
        <v>54.5</v>
      </c>
      <c r="O166" s="140">
        <f t="shared" si="4"/>
        <v>383.875</v>
      </c>
    </row>
    <row r="167" spans="12:15" x14ac:dyDescent="0.35">
      <c r="L167" s="140">
        <v>165</v>
      </c>
      <c r="M167" s="140">
        <v>62</v>
      </c>
      <c r="N167" s="140">
        <f t="shared" si="5"/>
        <v>55.875</v>
      </c>
      <c r="O167" s="140">
        <f t="shared" si="4"/>
        <v>383.875</v>
      </c>
    </row>
    <row r="168" spans="12:15" x14ac:dyDescent="0.35">
      <c r="L168" s="140">
        <v>166</v>
      </c>
      <c r="M168" s="140">
        <v>58</v>
      </c>
      <c r="N168" s="140">
        <f t="shared" si="5"/>
        <v>59.75</v>
      </c>
      <c r="O168" s="140">
        <f t="shared" si="4"/>
        <v>383.875</v>
      </c>
    </row>
    <row r="169" spans="12:15" x14ac:dyDescent="0.35">
      <c r="L169" s="140">
        <v>167</v>
      </c>
      <c r="M169" s="140">
        <v>61</v>
      </c>
      <c r="N169" s="140">
        <f t="shared" si="5"/>
        <v>62.875</v>
      </c>
      <c r="O169" s="140">
        <f t="shared" si="4"/>
        <v>383.875</v>
      </c>
    </row>
    <row r="170" spans="12:15" x14ac:dyDescent="0.35">
      <c r="L170" s="140">
        <v>168</v>
      </c>
      <c r="M170" s="140">
        <v>69</v>
      </c>
      <c r="N170" s="140">
        <f t="shared" si="5"/>
        <v>68</v>
      </c>
      <c r="O170" s="140">
        <f t="shared" si="4"/>
        <v>383.875</v>
      </c>
    </row>
    <row r="171" spans="12:15" x14ac:dyDescent="0.35">
      <c r="L171" s="140">
        <v>169</v>
      </c>
      <c r="M171" s="140">
        <v>54</v>
      </c>
      <c r="N171" s="140">
        <f t="shared" si="5"/>
        <v>72.875</v>
      </c>
      <c r="O171" s="140">
        <f t="shared" si="4"/>
        <v>383.875</v>
      </c>
    </row>
    <row r="172" spans="12:15" x14ac:dyDescent="0.35">
      <c r="L172" s="140">
        <v>170</v>
      </c>
      <c r="M172" s="140">
        <v>75</v>
      </c>
      <c r="N172" s="140">
        <f t="shared" si="5"/>
        <v>79.5</v>
      </c>
      <c r="O172" s="140">
        <f t="shared" si="4"/>
        <v>383.875</v>
      </c>
    </row>
    <row r="173" spans="12:15" x14ac:dyDescent="0.35">
      <c r="L173" s="140">
        <v>171</v>
      </c>
      <c r="M173" s="140">
        <v>75</v>
      </c>
      <c r="N173" s="140">
        <f t="shared" si="5"/>
        <v>86.5</v>
      </c>
      <c r="O173" s="140">
        <f t="shared" si="4"/>
        <v>383.875</v>
      </c>
    </row>
    <row r="174" spans="12:15" x14ac:dyDescent="0.35">
      <c r="L174" s="140">
        <v>172</v>
      </c>
      <c r="M174" s="140">
        <v>90</v>
      </c>
      <c r="N174" s="140">
        <f t="shared" si="5"/>
        <v>93.875</v>
      </c>
      <c r="O174" s="140">
        <f t="shared" si="4"/>
        <v>383.875</v>
      </c>
    </row>
    <row r="175" spans="12:15" x14ac:dyDescent="0.35">
      <c r="L175" s="140">
        <v>173</v>
      </c>
      <c r="M175" s="140">
        <v>101</v>
      </c>
      <c r="N175" s="140">
        <f t="shared" si="5"/>
        <v>102.125</v>
      </c>
      <c r="O175" s="140">
        <f t="shared" si="4"/>
        <v>383.875</v>
      </c>
    </row>
    <row r="176" spans="12:15" x14ac:dyDescent="0.35">
      <c r="L176" s="140">
        <v>174</v>
      </c>
      <c r="M176" s="140">
        <v>111</v>
      </c>
      <c r="N176" s="140">
        <f t="shared" si="5"/>
        <v>108.625</v>
      </c>
      <c r="O176" s="140">
        <f t="shared" si="4"/>
        <v>383.875</v>
      </c>
    </row>
    <row r="177" spans="12:15" x14ac:dyDescent="0.35">
      <c r="L177" s="140">
        <v>175</v>
      </c>
      <c r="M177" s="140">
        <v>117</v>
      </c>
      <c r="N177" s="140">
        <f t="shared" si="5"/>
        <v>115.875</v>
      </c>
      <c r="O177" s="140">
        <f t="shared" si="4"/>
        <v>383.875</v>
      </c>
    </row>
    <row r="178" spans="12:15" x14ac:dyDescent="0.35">
      <c r="L178" s="140">
        <v>176</v>
      </c>
      <c r="M178" s="140">
        <v>128</v>
      </c>
      <c r="N178" s="140">
        <f t="shared" si="5"/>
        <v>124.25</v>
      </c>
      <c r="O178" s="140">
        <f t="shared" si="4"/>
        <v>383.875</v>
      </c>
    </row>
    <row r="179" spans="12:15" x14ac:dyDescent="0.35">
      <c r="L179" s="140">
        <v>177</v>
      </c>
      <c r="M179" s="140">
        <v>120</v>
      </c>
      <c r="N179" s="140">
        <f t="shared" si="5"/>
        <v>129.375</v>
      </c>
      <c r="O179" s="140">
        <f t="shared" si="4"/>
        <v>383.875</v>
      </c>
    </row>
    <row r="180" spans="12:15" x14ac:dyDescent="0.35">
      <c r="L180" s="140">
        <v>178</v>
      </c>
      <c r="M180" s="140">
        <v>127</v>
      </c>
      <c r="N180" s="140">
        <f t="shared" si="5"/>
        <v>136.875</v>
      </c>
      <c r="O180" s="140">
        <f t="shared" si="4"/>
        <v>383.875</v>
      </c>
    </row>
    <row r="181" spans="12:15" x14ac:dyDescent="0.35">
      <c r="L181" s="140">
        <v>179</v>
      </c>
      <c r="M181" s="140">
        <v>133</v>
      </c>
      <c r="N181" s="140">
        <f t="shared" si="5"/>
        <v>145.25</v>
      </c>
      <c r="O181" s="140">
        <f t="shared" si="4"/>
        <v>383.875</v>
      </c>
    </row>
    <row r="182" spans="12:15" x14ac:dyDescent="0.35">
      <c r="L182" s="140">
        <v>180</v>
      </c>
      <c r="M182" s="140">
        <v>157</v>
      </c>
      <c r="N182" s="140">
        <f t="shared" si="5"/>
        <v>154</v>
      </c>
      <c r="O182" s="140">
        <f t="shared" si="4"/>
        <v>383.875</v>
      </c>
    </row>
    <row r="183" spans="12:15" x14ac:dyDescent="0.35">
      <c r="L183" s="140">
        <v>181</v>
      </c>
      <c r="M183" s="140">
        <v>142</v>
      </c>
      <c r="N183" s="140">
        <f t="shared" si="5"/>
        <v>166.625</v>
      </c>
      <c r="O183" s="140">
        <f t="shared" si="4"/>
        <v>383.875</v>
      </c>
    </row>
    <row r="184" spans="12:15" x14ac:dyDescent="0.35">
      <c r="L184" s="140">
        <v>182</v>
      </c>
      <c r="M184" s="140">
        <v>171</v>
      </c>
      <c r="N184" s="140">
        <f t="shared" si="5"/>
        <v>178.25</v>
      </c>
      <c r="O184" s="140">
        <f t="shared" si="4"/>
        <v>383.875</v>
      </c>
    </row>
    <row r="185" spans="12:15" x14ac:dyDescent="0.35">
      <c r="L185" s="140">
        <v>183</v>
      </c>
      <c r="M185" s="140">
        <v>184</v>
      </c>
      <c r="N185" s="140">
        <f t="shared" si="5"/>
        <v>190.875</v>
      </c>
      <c r="O185" s="140">
        <f t="shared" si="4"/>
        <v>383.875</v>
      </c>
    </row>
    <row r="186" spans="12:15" x14ac:dyDescent="0.35">
      <c r="L186" s="140">
        <v>184</v>
      </c>
      <c r="M186" s="140">
        <v>198</v>
      </c>
      <c r="N186" s="140">
        <f t="shared" si="5"/>
        <v>203.375</v>
      </c>
      <c r="O186" s="140">
        <f t="shared" si="4"/>
        <v>383.875</v>
      </c>
    </row>
    <row r="187" spans="12:15" x14ac:dyDescent="0.35">
      <c r="L187" s="140">
        <v>185</v>
      </c>
      <c r="M187" s="140">
        <v>221</v>
      </c>
      <c r="N187" s="140">
        <f t="shared" si="5"/>
        <v>217.875</v>
      </c>
      <c r="O187" s="140">
        <f t="shared" si="4"/>
        <v>383.875</v>
      </c>
    </row>
    <row r="188" spans="12:15" x14ac:dyDescent="0.35">
      <c r="L188" s="140">
        <v>186</v>
      </c>
      <c r="M188" s="140">
        <v>220</v>
      </c>
      <c r="N188" s="140">
        <f t="shared" si="5"/>
        <v>229</v>
      </c>
      <c r="O188" s="140">
        <f t="shared" si="4"/>
        <v>383.875</v>
      </c>
    </row>
    <row r="189" spans="12:15" x14ac:dyDescent="0.35">
      <c r="L189" s="140">
        <v>187</v>
      </c>
      <c r="M189" s="140">
        <v>234</v>
      </c>
      <c r="N189" s="140">
        <f t="shared" si="5"/>
        <v>244.125</v>
      </c>
      <c r="O189" s="140">
        <f t="shared" si="4"/>
        <v>383.875</v>
      </c>
    </row>
    <row r="190" spans="12:15" x14ac:dyDescent="0.35">
      <c r="L190" s="140">
        <v>188</v>
      </c>
      <c r="M190" s="140">
        <v>257</v>
      </c>
      <c r="N190" s="140">
        <f t="shared" si="5"/>
        <v>261</v>
      </c>
      <c r="O190" s="140">
        <f t="shared" si="4"/>
        <v>383.875</v>
      </c>
    </row>
    <row r="191" spans="12:15" x14ac:dyDescent="0.35">
      <c r="L191" s="140">
        <v>189</v>
      </c>
      <c r="M191" s="140">
        <v>258</v>
      </c>
      <c r="N191" s="140">
        <f t="shared" si="5"/>
        <v>278.625</v>
      </c>
      <c r="O191" s="140">
        <f t="shared" si="4"/>
        <v>383.875</v>
      </c>
    </row>
    <row r="192" spans="12:15" x14ac:dyDescent="0.35">
      <c r="L192" s="140">
        <v>190</v>
      </c>
      <c r="M192" s="140">
        <v>260</v>
      </c>
      <c r="N192" s="140">
        <f t="shared" si="5"/>
        <v>294.75</v>
      </c>
      <c r="O192" s="140">
        <f t="shared" si="4"/>
        <v>383.875</v>
      </c>
    </row>
    <row r="193" spans="12:17" x14ac:dyDescent="0.35">
      <c r="L193" s="140">
        <v>191</v>
      </c>
      <c r="M193" s="140">
        <v>305</v>
      </c>
      <c r="N193" s="140">
        <f t="shared" si="5"/>
        <v>318</v>
      </c>
      <c r="O193" s="140">
        <f t="shared" si="4"/>
        <v>383.875</v>
      </c>
    </row>
    <row r="194" spans="12:17" x14ac:dyDescent="0.35">
      <c r="L194" s="140">
        <v>192</v>
      </c>
      <c r="M194" s="140">
        <v>333</v>
      </c>
      <c r="N194" s="140">
        <f t="shared" si="5"/>
        <v>338.125</v>
      </c>
      <c r="O194" s="140">
        <f t="shared" ref="O194:O257" si="6">MAX($A$35)/2</f>
        <v>383.875</v>
      </c>
    </row>
    <row r="195" spans="12:17" x14ac:dyDescent="0.35">
      <c r="L195" s="140">
        <v>193</v>
      </c>
      <c r="M195" s="140">
        <v>362</v>
      </c>
      <c r="N195" s="140">
        <f t="shared" si="5"/>
        <v>360.75</v>
      </c>
      <c r="O195" s="140">
        <f t="shared" si="6"/>
        <v>383.875</v>
      </c>
    </row>
    <row r="196" spans="12:17" x14ac:dyDescent="0.35">
      <c r="L196" s="140">
        <v>194</v>
      </c>
      <c r="M196" s="140">
        <v>349</v>
      </c>
      <c r="N196" s="140">
        <f t="shared" si="5"/>
        <v>386.875</v>
      </c>
      <c r="O196" s="140">
        <f t="shared" si="6"/>
        <v>383.875</v>
      </c>
    </row>
    <row r="197" spans="12:17" x14ac:dyDescent="0.35">
      <c r="L197" s="140">
        <v>195</v>
      </c>
      <c r="M197" s="140">
        <v>420</v>
      </c>
      <c r="N197" s="140">
        <f t="shared" ref="N197:N260" si="7">AVERAGE(M194:M201)</f>
        <v>409.875</v>
      </c>
      <c r="O197" s="140">
        <f t="shared" si="6"/>
        <v>383.875</v>
      </c>
    </row>
    <row r="198" spans="12:17" x14ac:dyDescent="0.35">
      <c r="L198" s="140">
        <v>196</v>
      </c>
      <c r="M198" s="140">
        <v>418</v>
      </c>
      <c r="N198" s="140">
        <f t="shared" si="7"/>
        <v>435.25</v>
      </c>
      <c r="O198" s="140">
        <f t="shared" si="6"/>
        <v>383.875</v>
      </c>
    </row>
    <row r="199" spans="12:17" x14ac:dyDescent="0.35">
      <c r="L199" s="140">
        <v>197</v>
      </c>
      <c r="M199" s="140">
        <v>439</v>
      </c>
      <c r="N199" s="140">
        <f t="shared" si="7"/>
        <v>460.75</v>
      </c>
      <c r="O199" s="140">
        <f t="shared" si="6"/>
        <v>383.875</v>
      </c>
    </row>
    <row r="200" spans="12:17" x14ac:dyDescent="0.35">
      <c r="L200" s="140">
        <v>198</v>
      </c>
      <c r="M200" s="140">
        <v>469</v>
      </c>
      <c r="N200" s="140">
        <f t="shared" si="7"/>
        <v>484.5</v>
      </c>
      <c r="O200" s="140">
        <f t="shared" si="6"/>
        <v>383.875</v>
      </c>
    </row>
    <row r="201" spans="12:17" x14ac:dyDescent="0.35">
      <c r="L201" s="140">
        <v>199</v>
      </c>
      <c r="M201" s="140">
        <v>489</v>
      </c>
      <c r="N201" s="140">
        <f t="shared" si="7"/>
        <v>508.75</v>
      </c>
      <c r="O201" s="140">
        <f t="shared" si="6"/>
        <v>383.875</v>
      </c>
    </row>
    <row r="202" spans="12:17" x14ac:dyDescent="0.35">
      <c r="L202" s="140">
        <v>200</v>
      </c>
      <c r="M202" s="140">
        <v>536</v>
      </c>
      <c r="N202" s="140">
        <f t="shared" si="7"/>
        <v>531.5</v>
      </c>
      <c r="O202" s="140">
        <f t="shared" si="6"/>
        <v>383.875</v>
      </c>
      <c r="Q202" s="140">
        <v>2</v>
      </c>
    </row>
    <row r="203" spans="12:17" x14ac:dyDescent="0.35">
      <c r="L203" s="140">
        <v>201</v>
      </c>
      <c r="M203" s="140">
        <v>566</v>
      </c>
      <c r="N203" s="140">
        <f t="shared" si="7"/>
        <v>552.5</v>
      </c>
      <c r="O203" s="140">
        <f t="shared" si="6"/>
        <v>383.875</v>
      </c>
      <c r="Q203" s="140">
        <v>2</v>
      </c>
    </row>
    <row r="204" spans="12:17" x14ac:dyDescent="0.35">
      <c r="L204" s="140">
        <v>202</v>
      </c>
      <c r="M204" s="140">
        <v>539</v>
      </c>
      <c r="N204" s="140">
        <f t="shared" si="7"/>
        <v>578.75</v>
      </c>
      <c r="O204" s="140">
        <f t="shared" si="6"/>
        <v>383.875</v>
      </c>
      <c r="Q204" s="140">
        <v>7</v>
      </c>
    </row>
    <row r="205" spans="12:17" x14ac:dyDescent="0.35">
      <c r="L205" s="140">
        <v>203</v>
      </c>
      <c r="M205" s="140">
        <v>614</v>
      </c>
      <c r="N205" s="140">
        <f t="shared" si="7"/>
        <v>599.375</v>
      </c>
      <c r="O205" s="140">
        <f t="shared" si="6"/>
        <v>383.875</v>
      </c>
      <c r="Q205" s="140">
        <v>12</v>
      </c>
    </row>
    <row r="206" spans="12:17" x14ac:dyDescent="0.35">
      <c r="L206" s="140">
        <v>204</v>
      </c>
      <c r="M206" s="140">
        <v>600</v>
      </c>
      <c r="N206" s="140">
        <f t="shared" si="7"/>
        <v>620.75</v>
      </c>
      <c r="O206" s="140">
        <f t="shared" si="6"/>
        <v>383.875</v>
      </c>
      <c r="Q206" s="140">
        <v>9</v>
      </c>
    </row>
    <row r="207" spans="12:17" x14ac:dyDescent="0.35">
      <c r="L207" s="140">
        <v>205</v>
      </c>
      <c r="M207" s="140">
        <v>607</v>
      </c>
      <c r="N207" s="140">
        <f t="shared" si="7"/>
        <v>646.25</v>
      </c>
      <c r="O207" s="140">
        <f t="shared" si="6"/>
        <v>383.875</v>
      </c>
      <c r="Q207" s="140">
        <v>2</v>
      </c>
    </row>
    <row r="208" spans="12:17" x14ac:dyDescent="0.35">
      <c r="L208" s="140">
        <v>206</v>
      </c>
      <c r="M208" s="140">
        <v>679</v>
      </c>
      <c r="N208" s="140">
        <f t="shared" si="7"/>
        <v>670.375</v>
      </c>
      <c r="O208" s="140">
        <f t="shared" si="6"/>
        <v>383.875</v>
      </c>
      <c r="Q208" s="140">
        <v>9</v>
      </c>
    </row>
    <row r="209" spans="12:17" x14ac:dyDescent="0.35">
      <c r="L209" s="140">
        <v>207</v>
      </c>
      <c r="M209" s="140">
        <v>654</v>
      </c>
      <c r="N209" s="140">
        <f t="shared" si="7"/>
        <v>689.5</v>
      </c>
      <c r="O209" s="140">
        <f t="shared" si="6"/>
        <v>383.875</v>
      </c>
      <c r="Q209" s="140">
        <v>8</v>
      </c>
    </row>
    <row r="210" spans="12:17" x14ac:dyDescent="0.35">
      <c r="L210" s="140">
        <v>208</v>
      </c>
      <c r="M210" s="140">
        <v>707</v>
      </c>
      <c r="N210" s="140">
        <f t="shared" si="7"/>
        <v>703.75</v>
      </c>
      <c r="O210" s="140">
        <f t="shared" si="6"/>
        <v>383.875</v>
      </c>
      <c r="Q210" s="140">
        <v>6</v>
      </c>
    </row>
    <row r="211" spans="12:17" x14ac:dyDescent="0.35">
      <c r="L211" s="140">
        <v>209</v>
      </c>
      <c r="M211" s="140">
        <v>770</v>
      </c>
      <c r="N211" s="140">
        <f t="shared" si="7"/>
        <v>720.5</v>
      </c>
      <c r="O211" s="140">
        <f t="shared" si="6"/>
        <v>383.875</v>
      </c>
      <c r="Q211" s="140">
        <v>7</v>
      </c>
    </row>
    <row r="212" spans="12:17" x14ac:dyDescent="0.35">
      <c r="L212" s="140">
        <v>210</v>
      </c>
      <c r="M212" s="140">
        <v>732</v>
      </c>
      <c r="N212" s="140">
        <f t="shared" si="7"/>
        <v>735.5</v>
      </c>
      <c r="O212" s="140">
        <f t="shared" si="6"/>
        <v>383.875</v>
      </c>
      <c r="Q212" s="140">
        <v>15</v>
      </c>
    </row>
    <row r="213" spans="12:17" x14ac:dyDescent="0.35">
      <c r="L213" s="140">
        <v>211</v>
      </c>
      <c r="M213" s="140">
        <v>767</v>
      </c>
      <c r="N213" s="140">
        <f t="shared" si="7"/>
        <v>748.625</v>
      </c>
      <c r="O213" s="140">
        <f t="shared" si="6"/>
        <v>383.875</v>
      </c>
      <c r="Q213" s="140">
        <v>6</v>
      </c>
    </row>
    <row r="214" spans="12:17" x14ac:dyDescent="0.35">
      <c r="L214" s="140">
        <v>212</v>
      </c>
      <c r="M214" s="140">
        <v>714</v>
      </c>
      <c r="N214" s="140">
        <f t="shared" si="7"/>
        <v>754.875</v>
      </c>
      <c r="O214" s="140">
        <f t="shared" si="6"/>
        <v>383.875</v>
      </c>
      <c r="Q214" s="140">
        <v>6</v>
      </c>
    </row>
    <row r="215" spans="12:17" x14ac:dyDescent="0.35">
      <c r="L215" s="140">
        <v>213</v>
      </c>
      <c r="M215" s="140">
        <v>741</v>
      </c>
      <c r="N215" s="140">
        <f t="shared" si="7"/>
        <v>754.375</v>
      </c>
      <c r="O215" s="140">
        <f t="shared" si="6"/>
        <v>383.875</v>
      </c>
      <c r="Q215" s="140">
        <v>3</v>
      </c>
    </row>
    <row r="216" spans="12:17" x14ac:dyDescent="0.35">
      <c r="L216" s="140">
        <v>214</v>
      </c>
      <c r="M216" s="140">
        <v>799</v>
      </c>
      <c r="N216" s="140">
        <f t="shared" si="7"/>
        <v>755.375</v>
      </c>
      <c r="O216" s="140">
        <f t="shared" si="6"/>
        <v>383.875</v>
      </c>
      <c r="Q216" s="140">
        <v>8</v>
      </c>
    </row>
    <row r="217" spans="12:17" x14ac:dyDescent="0.35">
      <c r="L217" s="140">
        <v>215</v>
      </c>
      <c r="M217" s="140">
        <v>759</v>
      </c>
      <c r="N217" s="140">
        <f t="shared" si="7"/>
        <v>755</v>
      </c>
      <c r="O217" s="140">
        <f t="shared" si="6"/>
        <v>383.875</v>
      </c>
      <c r="Q217" s="140">
        <v>9</v>
      </c>
    </row>
    <row r="218" spans="12:17" x14ac:dyDescent="0.35">
      <c r="L218" s="140">
        <v>216</v>
      </c>
      <c r="M218" s="140">
        <v>757</v>
      </c>
      <c r="N218" s="140">
        <f t="shared" si="7"/>
        <v>763.875</v>
      </c>
      <c r="O218" s="140">
        <f t="shared" si="6"/>
        <v>383.875</v>
      </c>
      <c r="Q218" s="140">
        <v>8</v>
      </c>
    </row>
    <row r="219" spans="12:17" x14ac:dyDescent="0.35">
      <c r="L219" s="140">
        <v>217</v>
      </c>
      <c r="M219" s="140">
        <v>766</v>
      </c>
      <c r="N219" s="140">
        <f t="shared" si="7"/>
        <v>767.75</v>
      </c>
      <c r="O219" s="140">
        <f t="shared" si="6"/>
        <v>383.875</v>
      </c>
      <c r="Q219" s="140">
        <v>6</v>
      </c>
    </row>
    <row r="220" spans="12:17" x14ac:dyDescent="0.35">
      <c r="L220" s="140">
        <v>218</v>
      </c>
      <c r="M220" s="140">
        <v>740</v>
      </c>
      <c r="N220" s="140">
        <f t="shared" si="7"/>
        <v>762.625</v>
      </c>
      <c r="O220" s="140">
        <f t="shared" si="6"/>
        <v>383.875</v>
      </c>
      <c r="Q220" s="140">
        <v>10</v>
      </c>
    </row>
    <row r="221" spans="12:17" x14ac:dyDescent="0.35">
      <c r="L221" s="140">
        <v>219</v>
      </c>
      <c r="M221" s="140">
        <v>764</v>
      </c>
      <c r="N221" s="140">
        <f t="shared" si="7"/>
        <v>761.75</v>
      </c>
      <c r="O221" s="140">
        <f t="shared" si="6"/>
        <v>383.875</v>
      </c>
      <c r="Q221" s="140">
        <v>8</v>
      </c>
    </row>
    <row r="222" spans="12:17" x14ac:dyDescent="0.35">
      <c r="L222" s="140">
        <v>220</v>
      </c>
      <c r="M222" s="140">
        <v>785</v>
      </c>
      <c r="N222" s="140">
        <f t="shared" si="7"/>
        <v>762.5</v>
      </c>
      <c r="O222" s="140">
        <f t="shared" si="6"/>
        <v>383.875</v>
      </c>
      <c r="Q222" s="140">
        <v>7</v>
      </c>
    </row>
    <row r="223" spans="12:17" x14ac:dyDescent="0.35">
      <c r="L223" s="140">
        <v>221</v>
      </c>
      <c r="M223" s="140">
        <v>772</v>
      </c>
      <c r="N223" s="140">
        <f t="shared" si="7"/>
        <v>757</v>
      </c>
      <c r="O223" s="140">
        <f t="shared" si="6"/>
        <v>383.875</v>
      </c>
      <c r="Q223" s="140">
        <v>9</v>
      </c>
    </row>
    <row r="224" spans="12:17" x14ac:dyDescent="0.35">
      <c r="L224" s="140">
        <v>222</v>
      </c>
      <c r="M224" s="140">
        <v>758</v>
      </c>
      <c r="N224" s="140">
        <f t="shared" si="7"/>
        <v>757.875</v>
      </c>
      <c r="O224" s="140">
        <f t="shared" si="6"/>
        <v>383.875</v>
      </c>
      <c r="Q224" s="140">
        <v>7</v>
      </c>
    </row>
    <row r="225" spans="12:17" x14ac:dyDescent="0.35">
      <c r="L225" s="140">
        <v>223</v>
      </c>
      <c r="M225" s="140">
        <v>752</v>
      </c>
      <c r="N225" s="140">
        <f t="shared" si="7"/>
        <v>749</v>
      </c>
      <c r="O225" s="140">
        <f t="shared" si="6"/>
        <v>383.875</v>
      </c>
      <c r="Q225" s="140">
        <v>7</v>
      </c>
    </row>
    <row r="226" spans="12:17" x14ac:dyDescent="0.35">
      <c r="L226" s="140">
        <v>224</v>
      </c>
      <c r="M226" s="140">
        <v>763</v>
      </c>
      <c r="N226" s="140">
        <f t="shared" si="7"/>
        <v>745.125</v>
      </c>
      <c r="O226" s="140">
        <f t="shared" si="6"/>
        <v>383.875</v>
      </c>
      <c r="Q226" s="140">
        <v>6</v>
      </c>
    </row>
    <row r="227" spans="12:17" x14ac:dyDescent="0.35">
      <c r="L227" s="140">
        <v>225</v>
      </c>
      <c r="M227" s="140">
        <v>722</v>
      </c>
      <c r="N227" s="140">
        <f t="shared" si="7"/>
        <v>738.125</v>
      </c>
      <c r="O227" s="140">
        <f t="shared" si="6"/>
        <v>383.875</v>
      </c>
      <c r="Q227" s="140">
        <v>5</v>
      </c>
    </row>
    <row r="228" spans="12:17" x14ac:dyDescent="0.35">
      <c r="L228" s="140">
        <v>226</v>
      </c>
      <c r="M228" s="140">
        <v>747</v>
      </c>
      <c r="N228" s="140">
        <f t="shared" si="7"/>
        <v>724.125</v>
      </c>
      <c r="O228" s="140">
        <f t="shared" si="6"/>
        <v>383.875</v>
      </c>
      <c r="Q228" s="140">
        <v>6</v>
      </c>
    </row>
    <row r="229" spans="12:17" x14ac:dyDescent="0.35">
      <c r="L229" s="140">
        <v>227</v>
      </c>
      <c r="M229" s="140">
        <v>693</v>
      </c>
      <c r="N229" s="140">
        <f t="shared" si="7"/>
        <v>709.875</v>
      </c>
      <c r="O229" s="140">
        <f t="shared" si="6"/>
        <v>383.875</v>
      </c>
      <c r="Q229" s="140">
        <v>6</v>
      </c>
    </row>
    <row r="230" spans="12:17" x14ac:dyDescent="0.35">
      <c r="L230" s="140">
        <v>228</v>
      </c>
      <c r="M230" s="140">
        <v>754</v>
      </c>
      <c r="N230" s="140">
        <f t="shared" si="7"/>
        <v>693</v>
      </c>
      <c r="O230" s="140">
        <f t="shared" si="6"/>
        <v>383.875</v>
      </c>
      <c r="Q230" s="140">
        <v>8</v>
      </c>
    </row>
    <row r="231" spans="12:17" x14ac:dyDescent="0.35">
      <c r="L231" s="140">
        <v>229</v>
      </c>
      <c r="M231" s="140">
        <v>716</v>
      </c>
      <c r="N231" s="140">
        <f t="shared" si="7"/>
        <v>680.125</v>
      </c>
      <c r="O231" s="140">
        <f t="shared" si="6"/>
        <v>383.875</v>
      </c>
      <c r="Q231" s="140">
        <v>8</v>
      </c>
    </row>
    <row r="232" spans="12:17" x14ac:dyDescent="0.35">
      <c r="L232" s="140">
        <v>230</v>
      </c>
      <c r="M232" s="140">
        <v>646</v>
      </c>
      <c r="N232" s="140">
        <f t="shared" si="7"/>
        <v>658</v>
      </c>
      <c r="O232" s="140">
        <f t="shared" si="6"/>
        <v>383.875</v>
      </c>
      <c r="Q232" s="140">
        <v>7</v>
      </c>
    </row>
    <row r="233" spans="12:17" x14ac:dyDescent="0.35">
      <c r="L233" s="140">
        <v>231</v>
      </c>
      <c r="M233" s="140">
        <v>638</v>
      </c>
      <c r="N233" s="140">
        <f t="shared" si="7"/>
        <v>641.5</v>
      </c>
      <c r="O233" s="140">
        <f t="shared" si="6"/>
        <v>383.875</v>
      </c>
      <c r="Q233" s="140">
        <v>3</v>
      </c>
    </row>
    <row r="234" spans="12:17" x14ac:dyDescent="0.35">
      <c r="L234" s="140">
        <v>232</v>
      </c>
      <c r="M234" s="140">
        <v>628</v>
      </c>
      <c r="N234" s="140">
        <f t="shared" si="7"/>
        <v>616</v>
      </c>
      <c r="O234" s="140">
        <f t="shared" si="6"/>
        <v>383.875</v>
      </c>
      <c r="Q234" s="140">
        <v>6</v>
      </c>
    </row>
    <row r="235" spans="12:17" x14ac:dyDescent="0.35">
      <c r="L235" s="140">
        <v>233</v>
      </c>
      <c r="M235" s="140">
        <v>619</v>
      </c>
      <c r="N235" s="140">
        <f t="shared" si="7"/>
        <v>589.75</v>
      </c>
      <c r="O235" s="140">
        <f t="shared" si="6"/>
        <v>383.875</v>
      </c>
      <c r="Q235" s="140">
        <v>2</v>
      </c>
    </row>
    <row r="236" spans="12:17" x14ac:dyDescent="0.35">
      <c r="L236" s="140">
        <v>234</v>
      </c>
      <c r="M236" s="140">
        <v>570</v>
      </c>
      <c r="N236" s="140">
        <f t="shared" si="7"/>
        <v>567.75</v>
      </c>
      <c r="O236" s="140">
        <f t="shared" si="6"/>
        <v>383.875</v>
      </c>
      <c r="Q236" s="140">
        <v>4</v>
      </c>
    </row>
    <row r="237" spans="12:17" x14ac:dyDescent="0.35">
      <c r="L237" s="140">
        <v>235</v>
      </c>
      <c r="M237" s="140">
        <v>561</v>
      </c>
      <c r="N237" s="140">
        <f t="shared" si="7"/>
        <v>547.625</v>
      </c>
      <c r="O237" s="140">
        <f t="shared" si="6"/>
        <v>383.875</v>
      </c>
      <c r="Q237" s="140">
        <v>5</v>
      </c>
    </row>
    <row r="238" spans="12:17" x14ac:dyDescent="0.35">
      <c r="L238" s="140">
        <v>236</v>
      </c>
      <c r="M238" s="140">
        <v>550</v>
      </c>
      <c r="N238" s="140">
        <f t="shared" si="7"/>
        <v>526.75</v>
      </c>
      <c r="O238" s="140">
        <f t="shared" si="6"/>
        <v>383.875</v>
      </c>
      <c r="Q238" s="140">
        <v>5</v>
      </c>
    </row>
    <row r="239" spans="12:17" x14ac:dyDescent="0.35">
      <c r="L239" s="140">
        <v>237</v>
      </c>
      <c r="M239" s="140">
        <v>506</v>
      </c>
      <c r="N239" s="140">
        <f t="shared" si="7"/>
        <v>503.875</v>
      </c>
      <c r="O239" s="140">
        <f t="shared" si="6"/>
        <v>383.875</v>
      </c>
      <c r="Q239" s="140">
        <v>3</v>
      </c>
    </row>
    <row r="240" spans="12:17" x14ac:dyDescent="0.35">
      <c r="L240" s="140">
        <v>238</v>
      </c>
      <c r="M240" s="140">
        <v>470</v>
      </c>
      <c r="N240" s="140">
        <f t="shared" si="7"/>
        <v>484.125</v>
      </c>
      <c r="O240" s="140">
        <f t="shared" si="6"/>
        <v>383.875</v>
      </c>
      <c r="Q240" s="140">
        <v>7</v>
      </c>
    </row>
    <row r="241" spans="12:17" x14ac:dyDescent="0.35">
      <c r="L241" s="140">
        <v>239</v>
      </c>
      <c r="M241" s="140">
        <v>477</v>
      </c>
      <c r="N241" s="140">
        <f t="shared" si="7"/>
        <v>469.625</v>
      </c>
      <c r="O241" s="140">
        <f t="shared" si="6"/>
        <v>383.875</v>
      </c>
      <c r="Q241" s="140">
        <v>12</v>
      </c>
    </row>
    <row r="242" spans="12:17" x14ac:dyDescent="0.35">
      <c r="L242" s="140">
        <v>240</v>
      </c>
      <c r="M242" s="140">
        <v>461</v>
      </c>
      <c r="N242" s="140">
        <f t="shared" si="7"/>
        <v>450.25</v>
      </c>
      <c r="O242" s="140">
        <f t="shared" si="6"/>
        <v>383.875</v>
      </c>
      <c r="Q242" s="140">
        <v>9</v>
      </c>
    </row>
    <row r="243" spans="12:17" x14ac:dyDescent="0.35">
      <c r="L243" s="140">
        <v>241</v>
      </c>
      <c r="M243" s="140">
        <v>436</v>
      </c>
      <c r="N243" s="140">
        <f t="shared" si="7"/>
        <v>430</v>
      </c>
      <c r="O243" s="140">
        <f t="shared" si="6"/>
        <v>383.875</v>
      </c>
      <c r="Q243" s="140">
        <v>6</v>
      </c>
    </row>
    <row r="244" spans="12:17" x14ac:dyDescent="0.35">
      <c r="L244" s="140">
        <v>242</v>
      </c>
      <c r="M244" s="140">
        <v>412</v>
      </c>
      <c r="N244" s="140">
        <f t="shared" si="7"/>
        <v>414.5</v>
      </c>
      <c r="O244" s="140">
        <f t="shared" si="6"/>
        <v>383.875</v>
      </c>
      <c r="Q244" s="140">
        <v>12</v>
      </c>
    </row>
    <row r="245" spans="12:17" x14ac:dyDescent="0.35">
      <c r="L245" s="140">
        <v>243</v>
      </c>
      <c r="M245" s="140">
        <v>445</v>
      </c>
      <c r="N245" s="140">
        <f t="shared" si="7"/>
        <v>395</v>
      </c>
      <c r="O245" s="140">
        <f t="shared" si="6"/>
        <v>383.875</v>
      </c>
      <c r="Q245" s="140">
        <v>8</v>
      </c>
    </row>
    <row r="246" spans="12:17" x14ac:dyDescent="0.35">
      <c r="L246" s="140">
        <v>244</v>
      </c>
      <c r="M246" s="140">
        <v>395</v>
      </c>
      <c r="N246" s="140">
        <f t="shared" si="7"/>
        <v>374.75</v>
      </c>
      <c r="O246" s="140">
        <f t="shared" si="6"/>
        <v>383.875</v>
      </c>
      <c r="Q246" s="140">
        <v>6</v>
      </c>
    </row>
    <row r="247" spans="12:17" x14ac:dyDescent="0.35">
      <c r="L247" s="140">
        <v>245</v>
      </c>
      <c r="M247" s="140">
        <v>344</v>
      </c>
      <c r="N247" s="140">
        <f t="shared" si="7"/>
        <v>354.25</v>
      </c>
      <c r="O247" s="140">
        <f t="shared" si="6"/>
        <v>383.875</v>
      </c>
      <c r="Q247" s="140">
        <v>8</v>
      </c>
    </row>
    <row r="248" spans="12:17" x14ac:dyDescent="0.35">
      <c r="L248" s="140">
        <v>246</v>
      </c>
      <c r="M248" s="140">
        <v>346</v>
      </c>
      <c r="N248" s="140">
        <f t="shared" si="7"/>
        <v>338.375</v>
      </c>
      <c r="O248" s="140">
        <f t="shared" si="6"/>
        <v>383.875</v>
      </c>
      <c r="Q248" s="140">
        <v>6</v>
      </c>
    </row>
    <row r="249" spans="12:17" x14ac:dyDescent="0.35">
      <c r="L249" s="140">
        <v>247</v>
      </c>
      <c r="M249" s="140">
        <v>321</v>
      </c>
      <c r="N249" s="140">
        <f t="shared" si="7"/>
        <v>319.375</v>
      </c>
      <c r="O249" s="140">
        <f t="shared" si="6"/>
        <v>383.875</v>
      </c>
      <c r="Q249" s="140">
        <v>9</v>
      </c>
    </row>
    <row r="250" spans="12:17" x14ac:dyDescent="0.35">
      <c r="L250" s="140">
        <v>248</v>
      </c>
      <c r="M250" s="140">
        <v>299</v>
      </c>
      <c r="N250" s="140">
        <f t="shared" si="7"/>
        <v>305.375</v>
      </c>
      <c r="O250" s="140">
        <f t="shared" si="6"/>
        <v>383.875</v>
      </c>
      <c r="Q250" s="140">
        <v>6</v>
      </c>
    </row>
    <row r="251" spans="12:17" x14ac:dyDescent="0.35">
      <c r="L251" s="140">
        <v>249</v>
      </c>
      <c r="M251" s="140">
        <v>272</v>
      </c>
      <c r="N251" s="140">
        <f t="shared" si="7"/>
        <v>294.25</v>
      </c>
      <c r="O251" s="140">
        <f t="shared" si="6"/>
        <v>383.875</v>
      </c>
      <c r="Q251" s="140">
        <v>9</v>
      </c>
    </row>
    <row r="252" spans="12:17" x14ac:dyDescent="0.35">
      <c r="L252" s="140">
        <v>250</v>
      </c>
      <c r="M252" s="140">
        <v>285</v>
      </c>
      <c r="N252" s="140">
        <f t="shared" si="7"/>
        <v>278</v>
      </c>
      <c r="O252" s="140">
        <f t="shared" si="6"/>
        <v>383.875</v>
      </c>
      <c r="Q252" s="140">
        <v>5</v>
      </c>
    </row>
    <row r="253" spans="12:17" x14ac:dyDescent="0.35">
      <c r="L253" s="140">
        <v>251</v>
      </c>
      <c r="M253" s="140">
        <v>293</v>
      </c>
      <c r="N253" s="140">
        <f t="shared" si="7"/>
        <v>263.875</v>
      </c>
      <c r="O253" s="140">
        <f t="shared" si="6"/>
        <v>383.875</v>
      </c>
      <c r="Q253" s="140">
        <v>8</v>
      </c>
    </row>
    <row r="254" spans="12:17" x14ac:dyDescent="0.35">
      <c r="L254" s="140">
        <v>252</v>
      </c>
      <c r="M254" s="140">
        <v>283</v>
      </c>
      <c r="N254" s="140">
        <f t="shared" si="7"/>
        <v>250.125</v>
      </c>
      <c r="O254" s="140">
        <f t="shared" si="6"/>
        <v>383.875</v>
      </c>
      <c r="Q254" s="140">
        <v>3</v>
      </c>
    </row>
    <row r="255" spans="12:17" x14ac:dyDescent="0.35">
      <c r="L255" s="140">
        <v>253</v>
      </c>
      <c r="M255" s="140">
        <v>255</v>
      </c>
      <c r="N255" s="140">
        <f t="shared" si="7"/>
        <v>242.75</v>
      </c>
      <c r="O255" s="140">
        <f t="shared" si="6"/>
        <v>383.875</v>
      </c>
      <c r="Q255" s="140">
        <v>4</v>
      </c>
    </row>
    <row r="256" spans="12:17" x14ac:dyDescent="0.35">
      <c r="L256" s="140">
        <v>254</v>
      </c>
      <c r="M256" s="140">
        <v>216</v>
      </c>
      <c r="N256" s="140">
        <f t="shared" si="7"/>
        <v>230.5</v>
      </c>
      <c r="O256" s="140">
        <f t="shared" si="6"/>
        <v>383.875</v>
      </c>
      <c r="Q256" s="140">
        <v>8</v>
      </c>
    </row>
    <row r="257" spans="12:17" x14ac:dyDescent="0.35">
      <c r="L257" s="140">
        <v>255</v>
      </c>
      <c r="M257" s="140">
        <v>208</v>
      </c>
      <c r="N257" s="140">
        <f t="shared" si="7"/>
        <v>213.25</v>
      </c>
      <c r="O257" s="140">
        <f t="shared" si="6"/>
        <v>383.875</v>
      </c>
      <c r="Q257" s="140">
        <v>4</v>
      </c>
    </row>
    <row r="258" spans="12:17" x14ac:dyDescent="0.35">
      <c r="L258" s="140">
        <v>256</v>
      </c>
      <c r="M258" s="140">
        <v>189</v>
      </c>
      <c r="N258" s="140">
        <f t="shared" si="7"/>
        <v>197.125</v>
      </c>
      <c r="O258" s="140">
        <f t="shared" ref="O258:O321" si="8">MAX($A$35)/2</f>
        <v>383.875</v>
      </c>
      <c r="Q258" s="140">
        <v>5</v>
      </c>
    </row>
    <row r="259" spans="12:17" x14ac:dyDescent="0.35">
      <c r="L259" s="140">
        <v>257</v>
      </c>
      <c r="M259" s="140">
        <v>213</v>
      </c>
      <c r="N259" s="140">
        <f t="shared" si="7"/>
        <v>181.75</v>
      </c>
      <c r="O259" s="140">
        <f t="shared" si="8"/>
        <v>383.875</v>
      </c>
      <c r="Q259" s="140">
        <v>4</v>
      </c>
    </row>
    <row r="260" spans="12:17" x14ac:dyDescent="0.35">
      <c r="L260" s="140">
        <v>258</v>
      </c>
      <c r="M260" s="140">
        <v>187</v>
      </c>
      <c r="N260" s="140">
        <f t="shared" si="7"/>
        <v>171.875</v>
      </c>
      <c r="O260" s="140">
        <f t="shared" si="8"/>
        <v>383.875</v>
      </c>
      <c r="Q260" s="140">
        <v>6</v>
      </c>
    </row>
    <row r="261" spans="12:17" x14ac:dyDescent="0.35">
      <c r="L261" s="140">
        <v>259</v>
      </c>
      <c r="M261" s="140">
        <v>155</v>
      </c>
      <c r="N261" s="140">
        <f t="shared" ref="N261:N324" si="9">AVERAGE(M258:M265)</f>
        <v>159.25</v>
      </c>
      <c r="O261" s="140">
        <f t="shared" si="8"/>
        <v>383.875</v>
      </c>
      <c r="Q261" s="140">
        <v>5</v>
      </c>
    </row>
    <row r="262" spans="12:17" x14ac:dyDescent="0.35">
      <c r="L262" s="140">
        <v>260</v>
      </c>
      <c r="M262" s="140">
        <v>154</v>
      </c>
      <c r="N262" s="140">
        <f t="shared" si="9"/>
        <v>150.625</v>
      </c>
      <c r="O262" s="140">
        <f t="shared" si="8"/>
        <v>383.875</v>
      </c>
      <c r="Q262" s="140">
        <v>10</v>
      </c>
    </row>
    <row r="263" spans="12:17" x14ac:dyDescent="0.35">
      <c r="L263" s="140">
        <v>261</v>
      </c>
      <c r="M263" s="140">
        <v>132</v>
      </c>
      <c r="N263" s="140">
        <f t="shared" si="9"/>
        <v>137.875</v>
      </c>
      <c r="O263" s="140">
        <f t="shared" si="8"/>
        <v>383.875</v>
      </c>
      <c r="Q263" s="140">
        <v>15</v>
      </c>
    </row>
    <row r="264" spans="12:17" x14ac:dyDescent="0.35">
      <c r="L264" s="140">
        <v>262</v>
      </c>
      <c r="M264" s="140">
        <v>137</v>
      </c>
      <c r="N264" s="140">
        <f t="shared" si="9"/>
        <v>125.5</v>
      </c>
      <c r="O264" s="140">
        <f t="shared" si="8"/>
        <v>383.875</v>
      </c>
      <c r="Q264" s="140">
        <v>6</v>
      </c>
    </row>
    <row r="265" spans="12:17" x14ac:dyDescent="0.35">
      <c r="L265" s="140">
        <v>263</v>
      </c>
      <c r="M265" s="140">
        <v>107</v>
      </c>
      <c r="N265" s="140">
        <f t="shared" si="9"/>
        <v>117.75</v>
      </c>
      <c r="O265" s="140">
        <f t="shared" si="8"/>
        <v>383.875</v>
      </c>
      <c r="Q265" s="140">
        <v>4</v>
      </c>
    </row>
    <row r="266" spans="12:17" x14ac:dyDescent="0.35">
      <c r="L266" s="140">
        <v>264</v>
      </c>
      <c r="M266" s="140">
        <v>120</v>
      </c>
      <c r="N266" s="140">
        <f t="shared" si="9"/>
        <v>109.25</v>
      </c>
      <c r="O266" s="140">
        <f t="shared" si="8"/>
        <v>383.875</v>
      </c>
      <c r="Q266" s="140">
        <v>5</v>
      </c>
    </row>
    <row r="267" spans="12:17" x14ac:dyDescent="0.35">
      <c r="L267" s="140">
        <v>265</v>
      </c>
      <c r="M267" s="140">
        <v>111</v>
      </c>
      <c r="N267" s="140">
        <f t="shared" si="9"/>
        <v>103.625</v>
      </c>
      <c r="O267" s="140">
        <f t="shared" si="8"/>
        <v>383.875</v>
      </c>
      <c r="Q267" s="140">
        <v>6</v>
      </c>
    </row>
    <row r="268" spans="12:17" x14ac:dyDescent="0.35">
      <c r="L268" s="140">
        <v>266</v>
      </c>
      <c r="M268" s="140">
        <v>88</v>
      </c>
      <c r="N268" s="140">
        <f t="shared" si="9"/>
        <v>95.375</v>
      </c>
      <c r="O268" s="140">
        <f t="shared" si="8"/>
        <v>383.875</v>
      </c>
      <c r="Q268" s="140">
        <v>8</v>
      </c>
    </row>
    <row r="269" spans="12:17" x14ac:dyDescent="0.35">
      <c r="L269" s="140">
        <v>267</v>
      </c>
      <c r="M269" s="140">
        <v>93</v>
      </c>
      <c r="N269" s="140">
        <f t="shared" si="9"/>
        <v>89.5</v>
      </c>
      <c r="O269" s="140">
        <f t="shared" si="8"/>
        <v>383.875</v>
      </c>
      <c r="Q269" s="140">
        <v>9</v>
      </c>
    </row>
    <row r="270" spans="12:17" x14ac:dyDescent="0.35">
      <c r="L270" s="140">
        <v>268</v>
      </c>
      <c r="M270" s="140">
        <v>86</v>
      </c>
      <c r="N270" s="140">
        <f t="shared" si="9"/>
        <v>83.5</v>
      </c>
      <c r="O270" s="140">
        <f t="shared" si="8"/>
        <v>383.875</v>
      </c>
      <c r="Q270" s="140">
        <v>8</v>
      </c>
    </row>
    <row r="271" spans="12:17" x14ac:dyDescent="0.35">
      <c r="L271" s="140">
        <v>269</v>
      </c>
      <c r="M271" s="140">
        <v>87</v>
      </c>
      <c r="N271" s="140">
        <f t="shared" si="9"/>
        <v>76.5</v>
      </c>
      <c r="O271" s="140">
        <f t="shared" si="8"/>
        <v>383.875</v>
      </c>
      <c r="Q271" s="140">
        <v>4</v>
      </c>
    </row>
    <row r="272" spans="12:17" x14ac:dyDescent="0.35">
      <c r="L272" s="140">
        <v>270</v>
      </c>
      <c r="M272" s="140">
        <v>71</v>
      </c>
      <c r="N272" s="140">
        <f t="shared" si="9"/>
        <v>71.75</v>
      </c>
      <c r="O272" s="140">
        <f t="shared" si="8"/>
        <v>383.875</v>
      </c>
      <c r="Q272" s="140">
        <v>9</v>
      </c>
    </row>
    <row r="273" spans="12:17" x14ac:dyDescent="0.35">
      <c r="L273" s="140">
        <v>271</v>
      </c>
      <c r="M273" s="140">
        <v>60</v>
      </c>
      <c r="N273" s="140">
        <f t="shared" si="9"/>
        <v>65.875</v>
      </c>
      <c r="O273" s="140">
        <f t="shared" si="8"/>
        <v>383.875</v>
      </c>
      <c r="Q273" s="140">
        <v>5</v>
      </c>
    </row>
    <row r="274" spans="12:17" x14ac:dyDescent="0.35">
      <c r="L274" s="140">
        <v>272</v>
      </c>
      <c r="M274" s="140">
        <v>72</v>
      </c>
      <c r="N274" s="140">
        <f t="shared" si="9"/>
        <v>60.625</v>
      </c>
      <c r="O274" s="140">
        <f t="shared" si="8"/>
        <v>383.875</v>
      </c>
      <c r="Q274" s="140">
        <v>10</v>
      </c>
    </row>
    <row r="275" spans="12:17" x14ac:dyDescent="0.35">
      <c r="L275" s="140">
        <v>273</v>
      </c>
      <c r="M275" s="140">
        <v>55</v>
      </c>
      <c r="N275" s="140">
        <f t="shared" si="9"/>
        <v>55.25</v>
      </c>
      <c r="O275" s="140">
        <f t="shared" si="8"/>
        <v>383.875</v>
      </c>
      <c r="Q275" s="140">
        <v>10</v>
      </c>
    </row>
    <row r="276" spans="12:17" x14ac:dyDescent="0.35">
      <c r="L276" s="140">
        <v>274</v>
      </c>
      <c r="M276" s="140">
        <v>50</v>
      </c>
      <c r="N276" s="140">
        <f t="shared" si="9"/>
        <v>51.375</v>
      </c>
      <c r="O276" s="140">
        <f t="shared" si="8"/>
        <v>383.875</v>
      </c>
      <c r="Q276" s="140">
        <v>5</v>
      </c>
    </row>
    <row r="277" spans="12:17" x14ac:dyDescent="0.35">
      <c r="L277" s="140">
        <v>275</v>
      </c>
      <c r="M277" s="140">
        <v>46</v>
      </c>
      <c r="N277" s="140">
        <f t="shared" si="9"/>
        <v>47.625</v>
      </c>
      <c r="O277" s="140">
        <f t="shared" si="8"/>
        <v>383.875</v>
      </c>
      <c r="Q277" s="140">
        <v>8</v>
      </c>
    </row>
    <row r="278" spans="12:17" x14ac:dyDescent="0.35">
      <c r="L278" s="140">
        <v>276</v>
      </c>
      <c r="M278" s="140">
        <v>44</v>
      </c>
      <c r="N278" s="140">
        <f t="shared" si="9"/>
        <v>42.75</v>
      </c>
      <c r="O278" s="140">
        <f t="shared" si="8"/>
        <v>383.875</v>
      </c>
      <c r="Q278" s="140">
        <v>3</v>
      </c>
    </row>
    <row r="279" spans="12:17" x14ac:dyDescent="0.35">
      <c r="L279" s="140">
        <v>277</v>
      </c>
      <c r="M279" s="140">
        <v>44</v>
      </c>
      <c r="N279" s="140">
        <f t="shared" si="9"/>
        <v>39.125</v>
      </c>
      <c r="O279" s="140">
        <f t="shared" si="8"/>
        <v>383.875</v>
      </c>
      <c r="Q279" s="140">
        <v>9</v>
      </c>
    </row>
    <row r="280" spans="12:17" x14ac:dyDescent="0.35">
      <c r="L280" s="140">
        <v>278</v>
      </c>
      <c r="M280" s="140">
        <v>40</v>
      </c>
      <c r="N280" s="140">
        <f t="shared" si="9"/>
        <v>35.5</v>
      </c>
      <c r="O280" s="140">
        <f t="shared" si="8"/>
        <v>383.875</v>
      </c>
      <c r="Q280" s="140">
        <v>5</v>
      </c>
    </row>
    <row r="281" spans="12:17" x14ac:dyDescent="0.35">
      <c r="L281" s="140">
        <v>279</v>
      </c>
      <c r="M281" s="140">
        <v>30</v>
      </c>
      <c r="N281" s="140">
        <f t="shared" si="9"/>
        <v>32.125</v>
      </c>
      <c r="O281" s="140">
        <f t="shared" si="8"/>
        <v>383.875</v>
      </c>
      <c r="Q281" s="140">
        <v>9</v>
      </c>
    </row>
    <row r="282" spans="12:17" x14ac:dyDescent="0.35">
      <c r="L282" s="140">
        <v>280</v>
      </c>
      <c r="M282" s="140">
        <v>33</v>
      </c>
      <c r="N282" s="140">
        <f t="shared" si="9"/>
        <v>30.875</v>
      </c>
      <c r="O282" s="140">
        <f t="shared" si="8"/>
        <v>383.875</v>
      </c>
      <c r="Q282" s="140">
        <v>3</v>
      </c>
    </row>
    <row r="283" spans="12:17" x14ac:dyDescent="0.35">
      <c r="L283" s="140">
        <v>281</v>
      </c>
      <c r="M283" s="140">
        <v>26</v>
      </c>
      <c r="N283" s="140">
        <f t="shared" si="9"/>
        <v>28.75</v>
      </c>
      <c r="O283" s="140">
        <f t="shared" si="8"/>
        <v>383.875</v>
      </c>
      <c r="Q283" s="140">
        <v>7</v>
      </c>
    </row>
    <row r="284" spans="12:17" x14ac:dyDescent="0.35">
      <c r="L284" s="140">
        <v>282</v>
      </c>
      <c r="M284" s="140">
        <v>21</v>
      </c>
      <c r="N284" s="140">
        <f t="shared" si="9"/>
        <v>26.75</v>
      </c>
      <c r="O284" s="140">
        <f t="shared" si="8"/>
        <v>383.875</v>
      </c>
      <c r="Q284" s="140">
        <v>5</v>
      </c>
    </row>
    <row r="285" spans="12:17" x14ac:dyDescent="0.35">
      <c r="L285" s="140">
        <v>283</v>
      </c>
      <c r="M285" s="140">
        <v>19</v>
      </c>
      <c r="N285" s="140">
        <f t="shared" si="9"/>
        <v>26.125</v>
      </c>
      <c r="O285" s="140">
        <f t="shared" si="8"/>
        <v>383.875</v>
      </c>
      <c r="Q285" s="140">
        <v>5</v>
      </c>
    </row>
    <row r="286" spans="12:17" x14ac:dyDescent="0.35">
      <c r="L286" s="140">
        <v>284</v>
      </c>
      <c r="M286" s="140">
        <v>34</v>
      </c>
      <c r="N286" s="140">
        <f t="shared" si="9"/>
        <v>23.875</v>
      </c>
      <c r="O286" s="140">
        <f t="shared" si="8"/>
        <v>383.875</v>
      </c>
      <c r="Q286" s="140">
        <v>10</v>
      </c>
    </row>
    <row r="287" spans="12:17" x14ac:dyDescent="0.35">
      <c r="L287" s="140">
        <v>285</v>
      </c>
      <c r="M287" s="140">
        <v>27</v>
      </c>
      <c r="N287" s="140">
        <f t="shared" si="9"/>
        <v>23.125</v>
      </c>
      <c r="O287" s="140">
        <f t="shared" si="8"/>
        <v>383.875</v>
      </c>
      <c r="Q287" s="140">
        <v>6</v>
      </c>
    </row>
    <row r="288" spans="12:17" x14ac:dyDescent="0.35">
      <c r="L288" s="140">
        <v>286</v>
      </c>
      <c r="M288" s="140">
        <v>24</v>
      </c>
      <c r="N288" s="140">
        <f t="shared" si="9"/>
        <v>22</v>
      </c>
      <c r="O288" s="140">
        <f t="shared" si="8"/>
        <v>383.875</v>
      </c>
      <c r="Q288" s="140">
        <v>7</v>
      </c>
    </row>
    <row r="289" spans="12:17" x14ac:dyDescent="0.35">
      <c r="L289" s="140">
        <v>287</v>
      </c>
      <c r="M289" s="140">
        <v>25</v>
      </c>
      <c r="N289" s="140">
        <f t="shared" si="9"/>
        <v>21.5</v>
      </c>
      <c r="O289" s="140">
        <f t="shared" si="8"/>
        <v>383.875</v>
      </c>
      <c r="Q289" s="140">
        <v>10</v>
      </c>
    </row>
    <row r="290" spans="12:17" x14ac:dyDescent="0.35">
      <c r="L290" s="140">
        <v>288</v>
      </c>
      <c r="M290" s="140">
        <v>15</v>
      </c>
      <c r="N290" s="140">
        <f t="shared" si="9"/>
        <v>19.5</v>
      </c>
      <c r="O290" s="140">
        <f t="shared" si="8"/>
        <v>383.875</v>
      </c>
      <c r="Q290" s="140">
        <v>5</v>
      </c>
    </row>
    <row r="291" spans="12:17" x14ac:dyDescent="0.35">
      <c r="L291" s="140">
        <v>289</v>
      </c>
      <c r="M291" s="140">
        <v>20</v>
      </c>
      <c r="N291" s="140">
        <f t="shared" si="9"/>
        <v>18.5</v>
      </c>
      <c r="O291" s="140">
        <f t="shared" si="8"/>
        <v>383.875</v>
      </c>
      <c r="Q291" s="140">
        <v>6</v>
      </c>
    </row>
    <row r="292" spans="12:17" x14ac:dyDescent="0.35">
      <c r="L292" s="140">
        <v>290</v>
      </c>
      <c r="M292" s="140">
        <v>12</v>
      </c>
      <c r="N292" s="140">
        <f t="shared" si="9"/>
        <v>17.5</v>
      </c>
      <c r="O292" s="140">
        <f t="shared" si="8"/>
        <v>383.875</v>
      </c>
      <c r="Q292" s="140">
        <v>6</v>
      </c>
    </row>
    <row r="293" spans="12:17" x14ac:dyDescent="0.35">
      <c r="L293" s="140">
        <v>291</v>
      </c>
      <c r="M293" s="140">
        <v>15</v>
      </c>
      <c r="N293" s="140">
        <f t="shared" si="9"/>
        <v>16.875</v>
      </c>
      <c r="O293" s="140">
        <f t="shared" si="8"/>
        <v>383.875</v>
      </c>
      <c r="Q293" s="140">
        <v>6</v>
      </c>
    </row>
    <row r="294" spans="12:17" x14ac:dyDescent="0.35">
      <c r="L294" s="140">
        <v>292</v>
      </c>
      <c r="M294" s="140">
        <v>18</v>
      </c>
      <c r="N294" s="140">
        <f t="shared" si="9"/>
        <v>16</v>
      </c>
      <c r="O294" s="140">
        <f t="shared" si="8"/>
        <v>383.875</v>
      </c>
      <c r="Q294" s="140">
        <v>7</v>
      </c>
    </row>
    <row r="295" spans="12:17" x14ac:dyDescent="0.35">
      <c r="L295" s="140">
        <v>293</v>
      </c>
      <c r="M295" s="140">
        <v>19</v>
      </c>
      <c r="N295" s="140">
        <f t="shared" si="9"/>
        <v>15.375</v>
      </c>
      <c r="O295" s="140">
        <f t="shared" si="8"/>
        <v>383.875</v>
      </c>
      <c r="Q295" s="140">
        <v>6</v>
      </c>
    </row>
    <row r="296" spans="12:17" x14ac:dyDescent="0.35">
      <c r="L296" s="140">
        <v>294</v>
      </c>
      <c r="M296" s="140">
        <v>16</v>
      </c>
      <c r="N296" s="140">
        <f t="shared" si="9"/>
        <v>15.125</v>
      </c>
      <c r="O296" s="140">
        <f t="shared" si="8"/>
        <v>383.875</v>
      </c>
      <c r="Q296" s="140">
        <v>9</v>
      </c>
    </row>
    <row r="297" spans="12:17" x14ac:dyDescent="0.35">
      <c r="L297" s="140">
        <v>295</v>
      </c>
      <c r="M297" s="140">
        <v>20</v>
      </c>
      <c r="N297" s="140">
        <f t="shared" si="9"/>
        <v>14.125</v>
      </c>
      <c r="O297" s="140">
        <f t="shared" si="8"/>
        <v>383.875</v>
      </c>
      <c r="Q297" s="140">
        <v>8</v>
      </c>
    </row>
    <row r="298" spans="12:17" x14ac:dyDescent="0.35">
      <c r="L298" s="140">
        <v>296</v>
      </c>
      <c r="M298" s="140">
        <v>8</v>
      </c>
      <c r="N298" s="140">
        <f t="shared" si="9"/>
        <v>12.75</v>
      </c>
      <c r="O298" s="140">
        <f t="shared" si="8"/>
        <v>383.875</v>
      </c>
      <c r="Q298" s="140">
        <v>10</v>
      </c>
    </row>
    <row r="299" spans="12:17" x14ac:dyDescent="0.35">
      <c r="L299" s="140">
        <v>297</v>
      </c>
      <c r="M299" s="140">
        <v>15</v>
      </c>
      <c r="N299" s="140">
        <f t="shared" si="9"/>
        <v>11.375</v>
      </c>
      <c r="O299" s="140">
        <f t="shared" si="8"/>
        <v>383.875</v>
      </c>
      <c r="Q299" s="140">
        <v>8</v>
      </c>
    </row>
    <row r="300" spans="12:17" x14ac:dyDescent="0.35">
      <c r="L300" s="140">
        <v>298</v>
      </c>
      <c r="M300" s="140">
        <v>10</v>
      </c>
      <c r="N300" s="140">
        <f t="shared" si="9"/>
        <v>10.875</v>
      </c>
      <c r="O300" s="140">
        <f t="shared" si="8"/>
        <v>383.875</v>
      </c>
      <c r="Q300" s="140">
        <v>8</v>
      </c>
    </row>
    <row r="301" spans="12:17" x14ac:dyDescent="0.35">
      <c r="L301" s="140">
        <v>299</v>
      </c>
      <c r="M301" s="140">
        <v>7</v>
      </c>
      <c r="N301" s="140">
        <f t="shared" si="9"/>
        <v>9.5</v>
      </c>
      <c r="O301" s="140">
        <f t="shared" si="8"/>
        <v>383.875</v>
      </c>
      <c r="Q301" s="140">
        <v>8</v>
      </c>
    </row>
    <row r="302" spans="12:17" x14ac:dyDescent="0.35">
      <c r="L302" s="140">
        <v>300</v>
      </c>
      <c r="M302" s="140">
        <v>7</v>
      </c>
      <c r="N302" s="140">
        <f t="shared" si="9"/>
        <v>9.5</v>
      </c>
      <c r="O302" s="140">
        <f t="shared" si="8"/>
        <v>383.875</v>
      </c>
      <c r="Q302" s="140">
        <v>12</v>
      </c>
    </row>
    <row r="303" spans="12:17" x14ac:dyDescent="0.35">
      <c r="L303" s="140">
        <v>301</v>
      </c>
      <c r="M303" s="140">
        <v>8</v>
      </c>
      <c r="N303" s="140">
        <f t="shared" si="9"/>
        <v>8.75</v>
      </c>
      <c r="O303" s="140">
        <f t="shared" si="8"/>
        <v>383.875</v>
      </c>
      <c r="Q303" s="140">
        <v>8</v>
      </c>
    </row>
    <row r="304" spans="12:17" x14ac:dyDescent="0.35">
      <c r="L304" s="140">
        <v>302</v>
      </c>
      <c r="M304" s="140">
        <v>12</v>
      </c>
      <c r="N304" s="140">
        <f t="shared" si="9"/>
        <v>8.875</v>
      </c>
      <c r="O304" s="140">
        <f t="shared" si="8"/>
        <v>383.875</v>
      </c>
      <c r="Q304" s="140">
        <v>11</v>
      </c>
    </row>
    <row r="305" spans="12:17" x14ac:dyDescent="0.35">
      <c r="L305" s="140">
        <v>303</v>
      </c>
      <c r="M305" s="140">
        <v>9</v>
      </c>
      <c r="N305" s="140">
        <f t="shared" si="9"/>
        <v>8.875</v>
      </c>
      <c r="O305" s="140">
        <f t="shared" si="8"/>
        <v>383.875</v>
      </c>
      <c r="Q305" s="140">
        <v>10</v>
      </c>
    </row>
    <row r="306" spans="12:17" x14ac:dyDescent="0.35">
      <c r="L306" s="140">
        <v>304</v>
      </c>
      <c r="M306" s="140">
        <v>8</v>
      </c>
      <c r="N306" s="140">
        <f t="shared" si="9"/>
        <v>8.375</v>
      </c>
      <c r="O306" s="140">
        <f t="shared" si="8"/>
        <v>383.875</v>
      </c>
      <c r="Q306" s="140">
        <v>15</v>
      </c>
    </row>
    <row r="307" spans="12:17" x14ac:dyDescent="0.35">
      <c r="L307" s="140">
        <v>305</v>
      </c>
      <c r="M307" s="140">
        <v>9</v>
      </c>
      <c r="N307" s="140">
        <f t="shared" si="9"/>
        <v>8.25</v>
      </c>
      <c r="O307" s="140">
        <f t="shared" si="8"/>
        <v>383.875</v>
      </c>
      <c r="Q307" s="140">
        <v>10</v>
      </c>
    </row>
    <row r="308" spans="12:17" x14ac:dyDescent="0.35">
      <c r="L308" s="140">
        <v>306</v>
      </c>
      <c r="M308" s="140">
        <v>11</v>
      </c>
      <c r="N308" s="140">
        <f t="shared" si="9"/>
        <v>7.5</v>
      </c>
      <c r="O308" s="140">
        <f t="shared" si="8"/>
        <v>383.875</v>
      </c>
      <c r="Q308" s="140">
        <v>16</v>
      </c>
    </row>
    <row r="309" spans="12:17" x14ac:dyDescent="0.35">
      <c r="L309" s="140">
        <v>307</v>
      </c>
      <c r="M309" s="140">
        <v>7</v>
      </c>
      <c r="N309" s="140">
        <f t="shared" si="9"/>
        <v>7.75</v>
      </c>
      <c r="O309" s="140">
        <f t="shared" si="8"/>
        <v>383.875</v>
      </c>
      <c r="Q309" s="140">
        <v>11</v>
      </c>
    </row>
    <row r="310" spans="12:17" x14ac:dyDescent="0.35">
      <c r="L310" s="140">
        <v>308</v>
      </c>
      <c r="M310" s="140">
        <v>3</v>
      </c>
      <c r="N310" s="140">
        <f t="shared" si="9"/>
        <v>8.375</v>
      </c>
      <c r="O310" s="140">
        <f t="shared" si="8"/>
        <v>383.875</v>
      </c>
      <c r="Q310" s="140">
        <v>12</v>
      </c>
    </row>
    <row r="311" spans="12:17" x14ac:dyDescent="0.35">
      <c r="L311" s="140">
        <v>309</v>
      </c>
      <c r="M311" s="140">
        <v>7</v>
      </c>
      <c r="N311" s="140">
        <f t="shared" si="9"/>
        <v>7.75</v>
      </c>
      <c r="O311" s="140">
        <f t="shared" si="8"/>
        <v>383.875</v>
      </c>
      <c r="Q311" s="140">
        <v>13</v>
      </c>
    </row>
    <row r="312" spans="12:17" x14ac:dyDescent="0.35">
      <c r="L312" s="140">
        <v>310</v>
      </c>
      <c r="M312" s="140">
        <v>6</v>
      </c>
      <c r="N312" s="140">
        <f t="shared" si="9"/>
        <v>7.125</v>
      </c>
      <c r="O312" s="140">
        <f t="shared" si="8"/>
        <v>383.875</v>
      </c>
      <c r="Q312" s="140">
        <v>16</v>
      </c>
    </row>
    <row r="313" spans="12:17" x14ac:dyDescent="0.35">
      <c r="L313" s="140">
        <v>311</v>
      </c>
      <c r="M313" s="140">
        <v>11</v>
      </c>
      <c r="N313" s="140">
        <f t="shared" si="9"/>
        <v>7.625</v>
      </c>
      <c r="O313" s="140">
        <f t="shared" si="8"/>
        <v>383.875</v>
      </c>
      <c r="Q313" s="140">
        <v>11</v>
      </c>
    </row>
    <row r="314" spans="12:17" x14ac:dyDescent="0.35">
      <c r="L314" s="140">
        <v>312</v>
      </c>
      <c r="M314" s="140">
        <v>13</v>
      </c>
      <c r="N314" s="140">
        <f t="shared" si="9"/>
        <v>7.625</v>
      </c>
      <c r="O314" s="140">
        <f t="shared" si="8"/>
        <v>383.875</v>
      </c>
      <c r="Q314" s="140">
        <v>18</v>
      </c>
    </row>
    <row r="315" spans="12:17" x14ac:dyDescent="0.35">
      <c r="L315" s="140">
        <v>313</v>
      </c>
      <c r="M315" s="140">
        <v>4</v>
      </c>
      <c r="N315" s="140">
        <f t="shared" si="9"/>
        <v>7.375</v>
      </c>
      <c r="O315" s="140">
        <f t="shared" si="8"/>
        <v>383.875</v>
      </c>
      <c r="Q315" s="140">
        <v>11</v>
      </c>
    </row>
    <row r="316" spans="12:17" x14ac:dyDescent="0.35">
      <c r="L316" s="140">
        <v>314</v>
      </c>
      <c r="M316" s="140">
        <v>6</v>
      </c>
      <c r="N316" s="140">
        <f t="shared" si="9"/>
        <v>6.875</v>
      </c>
      <c r="O316" s="140">
        <f t="shared" si="8"/>
        <v>383.875</v>
      </c>
      <c r="Q316" s="140">
        <v>10</v>
      </c>
    </row>
    <row r="317" spans="12:17" x14ac:dyDescent="0.35">
      <c r="L317" s="140">
        <v>315</v>
      </c>
      <c r="M317" s="140">
        <v>11</v>
      </c>
      <c r="N317" s="140">
        <f t="shared" si="9"/>
        <v>5.75</v>
      </c>
      <c r="O317" s="140">
        <f t="shared" si="8"/>
        <v>383.875</v>
      </c>
      <c r="Q317" s="140">
        <v>16</v>
      </c>
    </row>
    <row r="318" spans="12:17" x14ac:dyDescent="0.35">
      <c r="L318" s="140">
        <v>316</v>
      </c>
      <c r="M318" s="140">
        <v>3</v>
      </c>
      <c r="N318" s="140">
        <f t="shared" si="9"/>
        <v>4.75</v>
      </c>
      <c r="O318" s="140">
        <f t="shared" si="8"/>
        <v>383.875</v>
      </c>
      <c r="Q318" s="140">
        <v>13</v>
      </c>
    </row>
    <row r="319" spans="12:17" x14ac:dyDescent="0.35">
      <c r="L319" s="140">
        <v>317</v>
      </c>
      <c r="M319" s="140">
        <v>5</v>
      </c>
      <c r="N319" s="140">
        <f t="shared" si="9"/>
        <v>5.375</v>
      </c>
      <c r="O319" s="140">
        <f t="shared" si="8"/>
        <v>383.875</v>
      </c>
      <c r="Q319" s="140">
        <v>11</v>
      </c>
    </row>
    <row r="320" spans="12:17" x14ac:dyDescent="0.35">
      <c r="L320" s="140">
        <v>318</v>
      </c>
      <c r="M320" s="140">
        <v>2</v>
      </c>
      <c r="N320" s="140">
        <f t="shared" si="9"/>
        <v>5.5</v>
      </c>
      <c r="O320" s="140">
        <f t="shared" si="8"/>
        <v>383.875</v>
      </c>
      <c r="Q320" s="140">
        <v>16</v>
      </c>
    </row>
    <row r="321" spans="12:17" x14ac:dyDescent="0.35">
      <c r="L321" s="140">
        <v>319</v>
      </c>
      <c r="M321" s="140">
        <v>2</v>
      </c>
      <c r="N321" s="140">
        <f t="shared" si="9"/>
        <v>5.125</v>
      </c>
      <c r="O321" s="140">
        <f t="shared" si="8"/>
        <v>383.875</v>
      </c>
      <c r="Q321" s="140">
        <v>15</v>
      </c>
    </row>
    <row r="322" spans="12:17" x14ac:dyDescent="0.35">
      <c r="L322" s="140">
        <v>320</v>
      </c>
      <c r="M322" s="140">
        <v>5</v>
      </c>
      <c r="N322" s="140">
        <f t="shared" si="9"/>
        <v>5.25</v>
      </c>
      <c r="O322" s="140">
        <f t="shared" ref="O322:O385" si="10">MAX($A$35)/2</f>
        <v>383.875</v>
      </c>
      <c r="Q322" s="140">
        <v>17</v>
      </c>
    </row>
    <row r="323" spans="12:17" x14ac:dyDescent="0.35">
      <c r="L323" s="140">
        <v>321</v>
      </c>
      <c r="M323" s="140">
        <v>9</v>
      </c>
      <c r="N323" s="140">
        <f t="shared" si="9"/>
        <v>5.625</v>
      </c>
      <c r="O323" s="140">
        <f t="shared" si="10"/>
        <v>383.875</v>
      </c>
      <c r="Q323" s="140">
        <v>17</v>
      </c>
    </row>
    <row r="324" spans="12:17" x14ac:dyDescent="0.35">
      <c r="L324" s="140">
        <v>322</v>
      </c>
      <c r="M324" s="140">
        <v>7</v>
      </c>
      <c r="N324" s="140">
        <f t="shared" si="9"/>
        <v>6</v>
      </c>
      <c r="O324" s="140">
        <f t="shared" si="10"/>
        <v>383.875</v>
      </c>
      <c r="Q324" s="140">
        <v>16</v>
      </c>
    </row>
    <row r="325" spans="12:17" x14ac:dyDescent="0.35">
      <c r="L325" s="140">
        <v>323</v>
      </c>
      <c r="M325" s="140">
        <v>8</v>
      </c>
      <c r="N325" s="140">
        <f t="shared" ref="N325:N388" si="11">AVERAGE(M322:M329)</f>
        <v>6.5</v>
      </c>
      <c r="O325" s="140">
        <f t="shared" si="10"/>
        <v>383.875</v>
      </c>
      <c r="Q325" s="140">
        <v>22</v>
      </c>
    </row>
    <row r="326" spans="12:17" x14ac:dyDescent="0.35">
      <c r="L326" s="140">
        <v>324</v>
      </c>
      <c r="M326" s="140">
        <v>4</v>
      </c>
      <c r="N326" s="140">
        <f t="shared" si="11"/>
        <v>7.25</v>
      </c>
      <c r="O326" s="140">
        <f t="shared" si="10"/>
        <v>383.875</v>
      </c>
      <c r="Q326" s="140">
        <v>17</v>
      </c>
    </row>
    <row r="327" spans="12:17" x14ac:dyDescent="0.35">
      <c r="L327" s="140">
        <v>325</v>
      </c>
      <c r="M327" s="140">
        <v>8</v>
      </c>
      <c r="N327" s="140">
        <f t="shared" si="11"/>
        <v>6.625</v>
      </c>
      <c r="O327" s="140">
        <f t="shared" si="10"/>
        <v>383.875</v>
      </c>
      <c r="Q327" s="140">
        <v>25</v>
      </c>
    </row>
    <row r="328" spans="12:17" x14ac:dyDescent="0.35">
      <c r="L328" s="140">
        <v>326</v>
      </c>
      <c r="M328" s="140">
        <v>5</v>
      </c>
      <c r="N328" s="140">
        <f t="shared" si="11"/>
        <v>6.125</v>
      </c>
      <c r="O328" s="140">
        <f t="shared" si="10"/>
        <v>383.875</v>
      </c>
      <c r="Q328" s="140">
        <v>16</v>
      </c>
    </row>
    <row r="329" spans="12:17" x14ac:dyDescent="0.35">
      <c r="L329" s="140">
        <v>327</v>
      </c>
      <c r="M329" s="140">
        <v>6</v>
      </c>
      <c r="N329" s="140">
        <f t="shared" si="11"/>
        <v>5.625</v>
      </c>
      <c r="O329" s="140">
        <f t="shared" si="10"/>
        <v>383.875</v>
      </c>
      <c r="Q329" s="140">
        <v>20</v>
      </c>
    </row>
    <row r="330" spans="12:17" x14ac:dyDescent="0.35">
      <c r="L330" s="140">
        <v>328</v>
      </c>
      <c r="M330" s="140">
        <v>11</v>
      </c>
      <c r="N330" s="140">
        <f t="shared" si="11"/>
        <v>5.375</v>
      </c>
      <c r="O330" s="140">
        <f t="shared" si="10"/>
        <v>383.875</v>
      </c>
      <c r="Q330" s="140">
        <v>20</v>
      </c>
    </row>
    <row r="331" spans="12:17" x14ac:dyDescent="0.35">
      <c r="L331" s="140">
        <v>329</v>
      </c>
      <c r="M331" s="140">
        <v>4</v>
      </c>
      <c r="N331" s="140">
        <f t="shared" si="11"/>
        <v>5.25</v>
      </c>
      <c r="O331" s="140">
        <f t="shared" si="10"/>
        <v>383.875</v>
      </c>
      <c r="Q331" s="140">
        <v>31</v>
      </c>
    </row>
    <row r="332" spans="12:17" x14ac:dyDescent="0.35">
      <c r="L332" s="140">
        <v>330</v>
      </c>
      <c r="M332" s="140">
        <v>3</v>
      </c>
      <c r="N332" s="140">
        <f t="shared" si="11"/>
        <v>5.125</v>
      </c>
      <c r="O332" s="140">
        <f t="shared" si="10"/>
        <v>383.875</v>
      </c>
      <c r="Q332" s="140">
        <v>27</v>
      </c>
    </row>
    <row r="333" spans="12:17" x14ac:dyDescent="0.35">
      <c r="L333" s="140">
        <v>331</v>
      </c>
      <c r="M333" s="140">
        <v>4</v>
      </c>
      <c r="N333" s="140">
        <f t="shared" si="11"/>
        <v>5.25</v>
      </c>
      <c r="O333" s="140">
        <f t="shared" si="10"/>
        <v>383.875</v>
      </c>
      <c r="Q333" s="140">
        <v>21</v>
      </c>
    </row>
    <row r="334" spans="12:17" x14ac:dyDescent="0.35">
      <c r="L334" s="140">
        <v>332</v>
      </c>
      <c r="M334" s="140">
        <v>2</v>
      </c>
      <c r="N334" s="140">
        <f t="shared" si="11"/>
        <v>4.375</v>
      </c>
      <c r="O334" s="140">
        <f t="shared" si="10"/>
        <v>383.875</v>
      </c>
      <c r="Q334" s="140">
        <v>19</v>
      </c>
    </row>
    <row r="335" spans="12:17" x14ac:dyDescent="0.35">
      <c r="L335" s="140">
        <v>333</v>
      </c>
      <c r="M335" s="140">
        <v>7</v>
      </c>
      <c r="N335" s="140">
        <f t="shared" si="11"/>
        <v>4.375</v>
      </c>
      <c r="O335" s="140">
        <f t="shared" si="10"/>
        <v>383.875</v>
      </c>
      <c r="Q335" s="140">
        <v>27</v>
      </c>
    </row>
    <row r="336" spans="12:17" x14ac:dyDescent="0.35">
      <c r="L336" s="140">
        <v>334</v>
      </c>
      <c r="M336" s="140">
        <v>4</v>
      </c>
      <c r="N336" s="140">
        <f t="shared" si="11"/>
        <v>5.25</v>
      </c>
      <c r="O336" s="140">
        <f t="shared" si="10"/>
        <v>383.875</v>
      </c>
      <c r="Q336" s="140">
        <v>33</v>
      </c>
    </row>
    <row r="337" spans="12:17" x14ac:dyDescent="0.35">
      <c r="L337" s="140">
        <v>335</v>
      </c>
      <c r="M337" s="140">
        <v>7</v>
      </c>
      <c r="N337" s="140">
        <f t="shared" si="11"/>
        <v>5.25</v>
      </c>
      <c r="O337" s="140">
        <f t="shared" si="10"/>
        <v>383.875</v>
      </c>
      <c r="Q337" s="140">
        <v>32</v>
      </c>
    </row>
    <row r="338" spans="12:17" x14ac:dyDescent="0.35">
      <c r="L338" s="140">
        <v>336</v>
      </c>
      <c r="M338" s="140">
        <v>4</v>
      </c>
      <c r="N338" s="140">
        <f t="shared" si="11"/>
        <v>5.5</v>
      </c>
      <c r="O338" s="140">
        <f t="shared" si="10"/>
        <v>383.875</v>
      </c>
      <c r="Q338" s="140">
        <v>26</v>
      </c>
    </row>
    <row r="339" spans="12:17" x14ac:dyDescent="0.35">
      <c r="L339" s="140">
        <v>337</v>
      </c>
      <c r="M339" s="140">
        <v>4</v>
      </c>
      <c r="N339" s="140">
        <f t="shared" si="11"/>
        <v>5.125</v>
      </c>
      <c r="O339" s="140">
        <f t="shared" si="10"/>
        <v>383.875</v>
      </c>
      <c r="Q339" s="140">
        <v>29</v>
      </c>
    </row>
    <row r="340" spans="12:17" x14ac:dyDescent="0.35">
      <c r="L340" s="140">
        <v>338</v>
      </c>
      <c r="M340" s="140">
        <v>10</v>
      </c>
      <c r="N340" s="140">
        <f t="shared" si="11"/>
        <v>5.125</v>
      </c>
      <c r="O340" s="140">
        <f t="shared" si="10"/>
        <v>383.875</v>
      </c>
      <c r="Q340" s="140">
        <v>30</v>
      </c>
    </row>
    <row r="341" spans="12:17" x14ac:dyDescent="0.35">
      <c r="L341" s="140">
        <v>339</v>
      </c>
      <c r="M341" s="140">
        <v>4</v>
      </c>
      <c r="N341" s="140">
        <f t="shared" si="11"/>
        <v>4.875</v>
      </c>
      <c r="O341" s="140">
        <f t="shared" si="10"/>
        <v>383.875</v>
      </c>
      <c r="Q341" s="140">
        <v>38</v>
      </c>
    </row>
    <row r="342" spans="12:17" x14ac:dyDescent="0.35">
      <c r="L342" s="140">
        <v>340</v>
      </c>
      <c r="M342" s="140">
        <v>4</v>
      </c>
      <c r="N342" s="140">
        <f t="shared" si="11"/>
        <v>5</v>
      </c>
      <c r="O342" s="140">
        <f t="shared" si="10"/>
        <v>383.875</v>
      </c>
      <c r="Q342" s="140">
        <v>35</v>
      </c>
    </row>
    <row r="343" spans="12:17" x14ac:dyDescent="0.35">
      <c r="L343" s="140">
        <v>341</v>
      </c>
      <c r="M343" s="140">
        <v>4</v>
      </c>
      <c r="N343" s="140">
        <f t="shared" si="11"/>
        <v>5</v>
      </c>
      <c r="O343" s="140">
        <f t="shared" si="10"/>
        <v>383.875</v>
      </c>
      <c r="Q343" s="140">
        <v>45</v>
      </c>
    </row>
    <row r="344" spans="12:17" x14ac:dyDescent="0.35">
      <c r="L344" s="140">
        <v>342</v>
      </c>
      <c r="M344" s="140">
        <v>4</v>
      </c>
      <c r="N344" s="140">
        <f t="shared" si="11"/>
        <v>5</v>
      </c>
      <c r="O344" s="140">
        <f t="shared" si="10"/>
        <v>383.875</v>
      </c>
      <c r="Q344" s="140">
        <v>46</v>
      </c>
    </row>
    <row r="345" spans="12:17" x14ac:dyDescent="0.35">
      <c r="L345" s="140">
        <v>343</v>
      </c>
      <c r="M345" s="140">
        <v>5</v>
      </c>
      <c r="N345" s="140">
        <f t="shared" si="11"/>
        <v>4.875</v>
      </c>
      <c r="O345" s="140">
        <f t="shared" si="10"/>
        <v>383.875</v>
      </c>
      <c r="Q345" s="140">
        <v>28</v>
      </c>
    </row>
    <row r="346" spans="12:17" x14ac:dyDescent="0.35">
      <c r="L346" s="140">
        <v>344</v>
      </c>
      <c r="M346" s="140">
        <v>5</v>
      </c>
      <c r="N346" s="140">
        <f t="shared" si="11"/>
        <v>4.875</v>
      </c>
      <c r="O346" s="140">
        <f t="shared" si="10"/>
        <v>383.875</v>
      </c>
      <c r="Q346" s="140">
        <v>52</v>
      </c>
    </row>
    <row r="347" spans="12:17" x14ac:dyDescent="0.35">
      <c r="L347" s="140">
        <v>345</v>
      </c>
      <c r="M347" s="140">
        <v>4</v>
      </c>
      <c r="N347" s="140">
        <f t="shared" si="11"/>
        <v>5.125</v>
      </c>
      <c r="O347" s="140">
        <f t="shared" si="10"/>
        <v>383.875</v>
      </c>
      <c r="Q347" s="140">
        <v>39</v>
      </c>
    </row>
    <row r="348" spans="12:17" x14ac:dyDescent="0.35">
      <c r="L348" s="140">
        <v>346</v>
      </c>
      <c r="M348" s="140">
        <v>10</v>
      </c>
      <c r="N348" s="140">
        <f t="shared" si="11"/>
        <v>5.125</v>
      </c>
      <c r="O348" s="140">
        <f t="shared" si="10"/>
        <v>383.875</v>
      </c>
      <c r="Q348" s="140">
        <v>47</v>
      </c>
    </row>
    <row r="349" spans="12:17" x14ac:dyDescent="0.35">
      <c r="L349" s="140">
        <v>347</v>
      </c>
      <c r="M349" s="140">
        <v>3</v>
      </c>
      <c r="N349" s="140">
        <f t="shared" si="11"/>
        <v>4.75</v>
      </c>
      <c r="O349" s="140">
        <f t="shared" si="10"/>
        <v>383.875</v>
      </c>
      <c r="Q349" s="140">
        <v>62</v>
      </c>
    </row>
    <row r="350" spans="12:17" x14ac:dyDescent="0.35">
      <c r="L350" s="140">
        <v>348</v>
      </c>
      <c r="M350" s="140">
        <v>4</v>
      </c>
      <c r="N350" s="140">
        <f t="shared" si="11"/>
        <v>4.875</v>
      </c>
      <c r="O350" s="140">
        <f t="shared" si="10"/>
        <v>383.875</v>
      </c>
      <c r="Q350" s="140">
        <v>59</v>
      </c>
    </row>
    <row r="351" spans="12:17" x14ac:dyDescent="0.35">
      <c r="L351" s="140">
        <v>349</v>
      </c>
      <c r="M351" s="140">
        <v>6</v>
      </c>
      <c r="N351" s="140">
        <f t="shared" si="11"/>
        <v>4.75</v>
      </c>
      <c r="O351" s="140">
        <f t="shared" si="10"/>
        <v>383.875</v>
      </c>
      <c r="Q351" s="140">
        <v>51</v>
      </c>
    </row>
    <row r="352" spans="12:17" x14ac:dyDescent="0.35">
      <c r="L352" s="140">
        <v>350</v>
      </c>
      <c r="M352" s="140">
        <v>4</v>
      </c>
      <c r="N352" s="140">
        <f t="shared" si="11"/>
        <v>4.25</v>
      </c>
      <c r="O352" s="140">
        <f t="shared" si="10"/>
        <v>383.875</v>
      </c>
      <c r="Q352" s="140">
        <v>48</v>
      </c>
    </row>
    <row r="353" spans="12:17" x14ac:dyDescent="0.35">
      <c r="L353" s="140">
        <v>351</v>
      </c>
      <c r="M353" s="140">
        <v>2</v>
      </c>
      <c r="N353" s="140">
        <f t="shared" si="11"/>
        <v>4.625</v>
      </c>
      <c r="O353" s="140">
        <f t="shared" si="10"/>
        <v>383.875</v>
      </c>
      <c r="Q353" s="140">
        <v>62</v>
      </c>
    </row>
    <row r="354" spans="12:17" x14ac:dyDescent="0.35">
      <c r="L354" s="140">
        <v>352</v>
      </c>
      <c r="M354" s="140">
        <v>6</v>
      </c>
      <c r="N354" s="140">
        <f t="shared" si="11"/>
        <v>4.75</v>
      </c>
      <c r="O354" s="140">
        <f t="shared" si="10"/>
        <v>383.875</v>
      </c>
      <c r="Q354" s="140">
        <v>58</v>
      </c>
    </row>
    <row r="355" spans="12:17" x14ac:dyDescent="0.35">
      <c r="L355" s="140">
        <v>353</v>
      </c>
      <c r="M355" s="140">
        <v>3</v>
      </c>
      <c r="N355" s="140">
        <f t="shared" si="11"/>
        <v>5</v>
      </c>
      <c r="O355" s="140">
        <f t="shared" si="10"/>
        <v>383.875</v>
      </c>
      <c r="Q355" s="140">
        <v>57</v>
      </c>
    </row>
    <row r="356" spans="12:17" x14ac:dyDescent="0.35">
      <c r="L356" s="140">
        <v>354</v>
      </c>
      <c r="M356" s="140">
        <v>6</v>
      </c>
      <c r="N356" s="140">
        <f t="shared" si="11"/>
        <v>4.625</v>
      </c>
      <c r="O356" s="140">
        <f t="shared" si="10"/>
        <v>383.875</v>
      </c>
      <c r="Q356" s="140">
        <v>77</v>
      </c>
    </row>
    <row r="357" spans="12:17" x14ac:dyDescent="0.35">
      <c r="L357" s="140">
        <v>355</v>
      </c>
      <c r="M357" s="140">
        <v>6</v>
      </c>
      <c r="N357" s="140">
        <f t="shared" si="11"/>
        <v>4.875</v>
      </c>
      <c r="O357" s="140">
        <f t="shared" si="10"/>
        <v>383.875</v>
      </c>
      <c r="Q357" s="140">
        <v>65</v>
      </c>
    </row>
    <row r="358" spans="12:17" x14ac:dyDescent="0.35">
      <c r="L358" s="140">
        <v>356</v>
      </c>
      <c r="M358" s="140">
        <v>5</v>
      </c>
      <c r="N358" s="140">
        <f t="shared" si="11"/>
        <v>4.375</v>
      </c>
      <c r="O358" s="140">
        <f t="shared" si="10"/>
        <v>383.875</v>
      </c>
      <c r="Q358" s="140">
        <v>77</v>
      </c>
    </row>
    <row r="359" spans="12:17" x14ac:dyDescent="0.35">
      <c r="L359" s="140">
        <v>357</v>
      </c>
      <c r="M359" s="140">
        <v>8</v>
      </c>
      <c r="N359" s="140">
        <f t="shared" si="11"/>
        <v>4.75</v>
      </c>
      <c r="O359" s="140">
        <f t="shared" si="10"/>
        <v>383.875</v>
      </c>
      <c r="Q359" s="140">
        <v>67</v>
      </c>
    </row>
    <row r="360" spans="12:17" x14ac:dyDescent="0.35">
      <c r="L360" s="140">
        <v>358</v>
      </c>
      <c r="M360" s="140">
        <v>1</v>
      </c>
      <c r="N360" s="140">
        <f t="shared" si="11"/>
        <v>4.625</v>
      </c>
      <c r="O360" s="140">
        <f t="shared" si="10"/>
        <v>383.875</v>
      </c>
      <c r="Q360" s="140">
        <v>81</v>
      </c>
    </row>
    <row r="361" spans="12:17" x14ac:dyDescent="0.35">
      <c r="L361" s="140">
        <v>359</v>
      </c>
      <c r="M361" s="140">
        <v>4</v>
      </c>
      <c r="N361" s="140">
        <f t="shared" si="11"/>
        <v>5.125</v>
      </c>
      <c r="O361" s="140">
        <f t="shared" si="10"/>
        <v>383.875</v>
      </c>
      <c r="Q361" s="140">
        <v>80</v>
      </c>
    </row>
    <row r="362" spans="12:17" x14ac:dyDescent="0.35">
      <c r="L362" s="140">
        <v>360</v>
      </c>
      <c r="M362" s="140">
        <v>2</v>
      </c>
      <c r="N362" s="140">
        <f t="shared" si="11"/>
        <v>5.125</v>
      </c>
      <c r="O362" s="140">
        <f t="shared" si="10"/>
        <v>383.875</v>
      </c>
      <c r="Q362" s="140">
        <v>62</v>
      </c>
    </row>
    <row r="363" spans="12:17" x14ac:dyDescent="0.35">
      <c r="L363" s="140">
        <v>361</v>
      </c>
      <c r="M363" s="140">
        <v>6</v>
      </c>
      <c r="N363" s="140">
        <f t="shared" si="11"/>
        <v>4.75</v>
      </c>
      <c r="O363" s="140">
        <f t="shared" si="10"/>
        <v>383.875</v>
      </c>
      <c r="Q363" s="140">
        <v>86</v>
      </c>
    </row>
    <row r="364" spans="12:17" x14ac:dyDescent="0.35">
      <c r="L364" s="140">
        <v>362</v>
      </c>
      <c r="M364" s="140">
        <v>5</v>
      </c>
      <c r="N364" s="140">
        <f t="shared" si="11"/>
        <v>5.125</v>
      </c>
      <c r="O364" s="140">
        <f t="shared" si="10"/>
        <v>383.875</v>
      </c>
      <c r="Q364" s="140">
        <v>100</v>
      </c>
    </row>
    <row r="365" spans="12:17" x14ac:dyDescent="0.35">
      <c r="L365" s="140">
        <v>363</v>
      </c>
      <c r="M365" s="140">
        <v>10</v>
      </c>
      <c r="N365" s="140">
        <f t="shared" si="11"/>
        <v>5.25</v>
      </c>
      <c r="O365" s="140">
        <f t="shared" si="10"/>
        <v>383.875</v>
      </c>
      <c r="Q365" s="140">
        <v>77</v>
      </c>
    </row>
    <row r="366" spans="12:17" x14ac:dyDescent="0.35">
      <c r="L366" s="140">
        <v>364</v>
      </c>
      <c r="M366" s="140">
        <v>5</v>
      </c>
      <c r="N366" s="140">
        <f t="shared" si="11"/>
        <v>5.25</v>
      </c>
      <c r="O366" s="140">
        <f t="shared" si="10"/>
        <v>383.875</v>
      </c>
      <c r="Q366" s="140">
        <v>91</v>
      </c>
    </row>
    <row r="367" spans="12:17" x14ac:dyDescent="0.35">
      <c r="L367" s="140">
        <v>365</v>
      </c>
      <c r="M367" s="140">
        <v>5</v>
      </c>
      <c r="N367" s="140">
        <f t="shared" si="11"/>
        <v>4.875</v>
      </c>
      <c r="O367" s="140">
        <f t="shared" si="10"/>
        <v>383.875</v>
      </c>
      <c r="Q367" s="140">
        <v>96</v>
      </c>
    </row>
    <row r="368" spans="12:17" x14ac:dyDescent="0.35">
      <c r="L368" s="140">
        <v>366</v>
      </c>
      <c r="M368" s="140">
        <v>4</v>
      </c>
      <c r="N368" s="140">
        <f t="shared" si="11"/>
        <v>4.5</v>
      </c>
      <c r="O368" s="140">
        <f t="shared" si="10"/>
        <v>383.875</v>
      </c>
      <c r="Q368" s="140">
        <v>98</v>
      </c>
    </row>
    <row r="369" spans="12:17" x14ac:dyDescent="0.35">
      <c r="L369" s="140">
        <v>367</v>
      </c>
      <c r="M369" s="140">
        <v>5</v>
      </c>
      <c r="N369" s="140">
        <f t="shared" si="11"/>
        <v>3.5</v>
      </c>
      <c r="O369" s="140">
        <f t="shared" si="10"/>
        <v>383.875</v>
      </c>
      <c r="Q369" s="140">
        <v>97</v>
      </c>
    </row>
    <row r="370" spans="12:17" x14ac:dyDescent="0.35">
      <c r="L370" s="140">
        <v>368</v>
      </c>
      <c r="M370" s="140">
        <v>2</v>
      </c>
      <c r="N370" s="140">
        <f t="shared" si="11"/>
        <v>3.5</v>
      </c>
      <c r="O370" s="140">
        <f t="shared" si="10"/>
        <v>383.875</v>
      </c>
      <c r="Q370" s="140">
        <v>115</v>
      </c>
    </row>
    <row r="371" spans="12:17" x14ac:dyDescent="0.35">
      <c r="L371" s="140">
        <v>369</v>
      </c>
      <c r="M371" s="140">
        <v>3</v>
      </c>
      <c r="N371" s="140">
        <f t="shared" si="11"/>
        <v>3.75</v>
      </c>
      <c r="O371" s="140">
        <f t="shared" si="10"/>
        <v>383.875</v>
      </c>
      <c r="Q371" s="140">
        <v>106</v>
      </c>
    </row>
    <row r="372" spans="12:17" x14ac:dyDescent="0.35">
      <c r="L372" s="140">
        <v>370</v>
      </c>
      <c r="M372" s="140">
        <v>2</v>
      </c>
      <c r="N372" s="140">
        <f t="shared" si="11"/>
        <v>3.875</v>
      </c>
      <c r="O372" s="140">
        <f t="shared" si="10"/>
        <v>383.875</v>
      </c>
      <c r="Q372" s="140">
        <v>118</v>
      </c>
    </row>
    <row r="373" spans="12:17" x14ac:dyDescent="0.35">
      <c r="L373" s="140">
        <v>371</v>
      </c>
      <c r="M373" s="140">
        <v>2</v>
      </c>
      <c r="N373" s="140">
        <f t="shared" si="11"/>
        <v>4.375</v>
      </c>
      <c r="O373" s="140">
        <f t="shared" si="10"/>
        <v>383.875</v>
      </c>
      <c r="Q373" s="140">
        <v>114</v>
      </c>
    </row>
    <row r="374" spans="12:17" x14ac:dyDescent="0.35">
      <c r="L374" s="140">
        <v>372</v>
      </c>
      <c r="M374" s="140">
        <v>5</v>
      </c>
      <c r="N374" s="140">
        <f t="shared" si="11"/>
        <v>4.75</v>
      </c>
      <c r="O374" s="140">
        <f t="shared" si="10"/>
        <v>383.875</v>
      </c>
      <c r="Q374" s="140">
        <v>127</v>
      </c>
    </row>
    <row r="375" spans="12:17" x14ac:dyDescent="0.35">
      <c r="L375" s="140">
        <v>373</v>
      </c>
      <c r="M375" s="140">
        <v>7</v>
      </c>
      <c r="N375" s="140">
        <f t="shared" si="11"/>
        <v>4.75</v>
      </c>
      <c r="O375" s="140">
        <f t="shared" si="10"/>
        <v>383.875</v>
      </c>
      <c r="Q375" s="140">
        <v>142</v>
      </c>
    </row>
    <row r="376" spans="12:17" x14ac:dyDescent="0.35">
      <c r="L376" s="140">
        <v>374</v>
      </c>
      <c r="M376" s="140">
        <v>5</v>
      </c>
      <c r="N376" s="140">
        <f t="shared" si="11"/>
        <v>5.125</v>
      </c>
      <c r="O376" s="140">
        <f t="shared" si="10"/>
        <v>383.875</v>
      </c>
      <c r="Q376" s="140">
        <v>117</v>
      </c>
    </row>
    <row r="377" spans="12:17" x14ac:dyDescent="0.35">
      <c r="L377" s="140">
        <v>375</v>
      </c>
      <c r="M377" s="140">
        <v>9</v>
      </c>
      <c r="N377" s="140">
        <f t="shared" si="11"/>
        <v>5.875</v>
      </c>
      <c r="O377" s="140">
        <f t="shared" si="10"/>
        <v>383.875</v>
      </c>
      <c r="Q377" s="140">
        <v>148</v>
      </c>
    </row>
    <row r="378" spans="12:17" x14ac:dyDescent="0.35">
      <c r="L378" s="140">
        <v>376</v>
      </c>
      <c r="M378" s="140">
        <v>5</v>
      </c>
      <c r="N378" s="140">
        <f t="shared" si="11"/>
        <v>5.625</v>
      </c>
      <c r="O378" s="140">
        <f t="shared" si="10"/>
        <v>383.875</v>
      </c>
      <c r="Q378" s="140">
        <v>143</v>
      </c>
    </row>
    <row r="379" spans="12:17" x14ac:dyDescent="0.35">
      <c r="L379" s="140">
        <v>377</v>
      </c>
      <c r="M379" s="140">
        <v>3</v>
      </c>
      <c r="N379" s="140">
        <f t="shared" si="11"/>
        <v>5.375</v>
      </c>
      <c r="O379" s="140">
        <f t="shared" si="10"/>
        <v>383.875</v>
      </c>
      <c r="Q379" s="140">
        <v>148</v>
      </c>
    </row>
    <row r="380" spans="12:17" x14ac:dyDescent="0.35">
      <c r="L380" s="140">
        <v>378</v>
      </c>
      <c r="M380" s="140">
        <v>5</v>
      </c>
      <c r="N380" s="140">
        <f t="shared" si="11"/>
        <v>5.125</v>
      </c>
      <c r="O380" s="140">
        <f t="shared" si="10"/>
        <v>383.875</v>
      </c>
      <c r="Q380" s="140">
        <v>174</v>
      </c>
    </row>
    <row r="381" spans="12:17" x14ac:dyDescent="0.35">
      <c r="L381" s="140">
        <v>379</v>
      </c>
      <c r="M381" s="140">
        <v>8</v>
      </c>
      <c r="N381" s="140">
        <f t="shared" si="11"/>
        <v>4.75</v>
      </c>
      <c r="O381" s="140">
        <f t="shared" si="10"/>
        <v>383.875</v>
      </c>
      <c r="Q381" s="140">
        <v>181</v>
      </c>
    </row>
    <row r="382" spans="12:17" x14ac:dyDescent="0.35">
      <c r="L382" s="140">
        <v>380</v>
      </c>
      <c r="M382" s="140">
        <v>3</v>
      </c>
      <c r="N382" s="140">
        <f t="shared" si="11"/>
        <v>4.875</v>
      </c>
      <c r="O382" s="140">
        <f t="shared" si="10"/>
        <v>383.875</v>
      </c>
      <c r="Q382" s="140">
        <v>181</v>
      </c>
    </row>
    <row r="383" spans="12:17" x14ac:dyDescent="0.35">
      <c r="L383" s="140">
        <v>381</v>
      </c>
      <c r="M383" s="140">
        <v>5</v>
      </c>
      <c r="N383" s="140">
        <f t="shared" si="11"/>
        <v>5</v>
      </c>
      <c r="O383" s="140">
        <f t="shared" si="10"/>
        <v>383.875</v>
      </c>
      <c r="Q383" s="140">
        <v>178</v>
      </c>
    </row>
    <row r="384" spans="12:17" x14ac:dyDescent="0.35">
      <c r="L384" s="140">
        <v>382</v>
      </c>
      <c r="M384" s="140">
        <v>3</v>
      </c>
      <c r="N384" s="140">
        <f t="shared" si="11"/>
        <v>4.5</v>
      </c>
      <c r="O384" s="140">
        <f t="shared" si="10"/>
        <v>383.875</v>
      </c>
      <c r="Q384" s="140">
        <v>192</v>
      </c>
    </row>
    <row r="385" spans="12:17" x14ac:dyDescent="0.35">
      <c r="L385" s="140">
        <v>383</v>
      </c>
      <c r="M385" s="140">
        <v>6</v>
      </c>
      <c r="N385" s="140">
        <f t="shared" si="11"/>
        <v>3.875</v>
      </c>
      <c r="O385" s="140">
        <f t="shared" si="10"/>
        <v>383.875</v>
      </c>
      <c r="Q385" s="140">
        <v>210</v>
      </c>
    </row>
    <row r="386" spans="12:17" x14ac:dyDescent="0.35">
      <c r="L386" s="140">
        <v>384</v>
      </c>
      <c r="M386" s="140">
        <v>6</v>
      </c>
      <c r="N386" s="140">
        <f t="shared" si="11"/>
        <v>4.75</v>
      </c>
      <c r="O386" s="140">
        <f t="shared" ref="O386:O449" si="12">MAX($A$35)/2</f>
        <v>383.875</v>
      </c>
      <c r="Q386" s="140">
        <v>218</v>
      </c>
    </row>
    <row r="387" spans="12:17" x14ac:dyDescent="0.35">
      <c r="L387" s="140">
        <v>385</v>
      </c>
      <c r="M387" s="140">
        <v>4</v>
      </c>
      <c r="N387" s="140">
        <f t="shared" si="11"/>
        <v>4.375</v>
      </c>
      <c r="O387" s="140">
        <f t="shared" si="12"/>
        <v>383.875</v>
      </c>
      <c r="Q387" s="140">
        <v>193</v>
      </c>
    </row>
    <row r="388" spans="12:17" x14ac:dyDescent="0.35">
      <c r="L388" s="140">
        <v>386</v>
      </c>
      <c r="M388" s="140">
        <v>1</v>
      </c>
      <c r="N388" s="140">
        <f t="shared" si="11"/>
        <v>4.25</v>
      </c>
      <c r="O388" s="140">
        <f t="shared" si="12"/>
        <v>383.875</v>
      </c>
      <c r="Q388" s="140">
        <v>221</v>
      </c>
    </row>
    <row r="389" spans="12:17" x14ac:dyDescent="0.35">
      <c r="L389" s="140">
        <v>387</v>
      </c>
      <c r="M389" s="140">
        <v>3</v>
      </c>
      <c r="N389" s="140">
        <f t="shared" ref="N389:N452" si="13">AVERAGE(M386:M393)</f>
        <v>4.25</v>
      </c>
      <c r="O389" s="140">
        <f t="shared" si="12"/>
        <v>383.875</v>
      </c>
      <c r="Q389" s="140">
        <v>226</v>
      </c>
    </row>
    <row r="390" spans="12:17" x14ac:dyDescent="0.35">
      <c r="L390" s="140">
        <v>388</v>
      </c>
      <c r="M390" s="140">
        <v>10</v>
      </c>
      <c r="N390" s="140">
        <f t="shared" si="13"/>
        <v>4.25</v>
      </c>
      <c r="O390" s="140">
        <f t="shared" si="12"/>
        <v>383.875</v>
      </c>
      <c r="Q390" s="140">
        <v>271</v>
      </c>
    </row>
    <row r="391" spans="12:17" x14ac:dyDescent="0.35">
      <c r="L391" s="140">
        <v>389</v>
      </c>
      <c r="M391" s="140">
        <v>2</v>
      </c>
      <c r="N391" s="140">
        <f t="shared" si="13"/>
        <v>3.875</v>
      </c>
      <c r="O391" s="140">
        <f t="shared" si="12"/>
        <v>383.875</v>
      </c>
      <c r="Q391" s="140">
        <v>233</v>
      </c>
    </row>
    <row r="392" spans="12:17" x14ac:dyDescent="0.35">
      <c r="L392" s="140">
        <v>390</v>
      </c>
      <c r="M392" s="140">
        <v>2</v>
      </c>
      <c r="N392" s="140">
        <f t="shared" si="13"/>
        <v>4.375</v>
      </c>
      <c r="O392" s="140">
        <f t="shared" si="12"/>
        <v>383.875</v>
      </c>
      <c r="Q392" s="140">
        <v>260</v>
      </c>
    </row>
    <row r="393" spans="12:17" x14ac:dyDescent="0.35">
      <c r="L393" s="140">
        <v>391</v>
      </c>
      <c r="M393" s="140">
        <v>6</v>
      </c>
      <c r="N393" s="140">
        <f t="shared" si="13"/>
        <v>4.25</v>
      </c>
      <c r="O393" s="140">
        <f t="shared" si="12"/>
        <v>383.875</v>
      </c>
      <c r="Q393" s="140">
        <v>241</v>
      </c>
    </row>
    <row r="394" spans="12:17" x14ac:dyDescent="0.35">
      <c r="L394" s="140">
        <v>392</v>
      </c>
      <c r="M394" s="140">
        <v>6</v>
      </c>
      <c r="N394" s="140">
        <f t="shared" si="13"/>
        <v>4</v>
      </c>
      <c r="O394" s="140">
        <f t="shared" si="12"/>
        <v>383.875</v>
      </c>
      <c r="Q394" s="140">
        <v>280</v>
      </c>
    </row>
    <row r="395" spans="12:17" x14ac:dyDescent="0.35">
      <c r="L395" s="140">
        <v>393</v>
      </c>
      <c r="M395" s="140">
        <v>1</v>
      </c>
      <c r="N395" s="140">
        <f t="shared" si="13"/>
        <v>4.875</v>
      </c>
      <c r="O395" s="140">
        <f t="shared" si="12"/>
        <v>383.875</v>
      </c>
      <c r="Q395" s="140">
        <v>278</v>
      </c>
    </row>
    <row r="396" spans="12:17" x14ac:dyDescent="0.35">
      <c r="L396" s="140">
        <v>394</v>
      </c>
      <c r="M396" s="140">
        <v>5</v>
      </c>
      <c r="N396" s="140">
        <f t="shared" si="13"/>
        <v>5.125</v>
      </c>
      <c r="O396" s="140">
        <f t="shared" si="12"/>
        <v>383.875</v>
      </c>
      <c r="Q396" s="140">
        <v>276</v>
      </c>
    </row>
    <row r="397" spans="12:17" x14ac:dyDescent="0.35">
      <c r="L397" s="140">
        <v>395</v>
      </c>
      <c r="M397" s="140">
        <v>2</v>
      </c>
      <c r="N397" s="140">
        <f t="shared" si="13"/>
        <v>5.25</v>
      </c>
      <c r="O397" s="140">
        <f t="shared" si="12"/>
        <v>383.875</v>
      </c>
      <c r="Q397" s="140">
        <v>277</v>
      </c>
    </row>
    <row r="398" spans="12:17" x14ac:dyDescent="0.35">
      <c r="L398" s="140">
        <v>396</v>
      </c>
      <c r="M398" s="140">
        <v>8</v>
      </c>
      <c r="N398" s="140">
        <f t="shared" si="13"/>
        <v>5</v>
      </c>
      <c r="O398" s="140">
        <f t="shared" si="12"/>
        <v>383.875</v>
      </c>
      <c r="Q398" s="140">
        <v>300</v>
      </c>
    </row>
    <row r="399" spans="12:17" x14ac:dyDescent="0.35">
      <c r="L399" s="140">
        <v>397</v>
      </c>
      <c r="M399" s="140">
        <v>9</v>
      </c>
      <c r="N399" s="140">
        <f t="shared" si="13"/>
        <v>5.625</v>
      </c>
      <c r="O399" s="140">
        <f t="shared" si="12"/>
        <v>383.875</v>
      </c>
      <c r="Q399" s="140">
        <v>320</v>
      </c>
    </row>
    <row r="400" spans="12:17" x14ac:dyDescent="0.35">
      <c r="L400" s="140">
        <v>398</v>
      </c>
      <c r="M400" s="140">
        <v>4</v>
      </c>
      <c r="N400" s="140">
        <f t="shared" si="13"/>
        <v>5.125</v>
      </c>
      <c r="O400" s="140">
        <f t="shared" si="12"/>
        <v>383.875</v>
      </c>
      <c r="Q400" s="140">
        <v>320</v>
      </c>
    </row>
    <row r="401" spans="12:17" x14ac:dyDescent="0.35">
      <c r="L401" s="140">
        <v>399</v>
      </c>
      <c r="M401" s="140">
        <v>7</v>
      </c>
      <c r="N401" s="140">
        <f t="shared" si="13"/>
        <v>5.5</v>
      </c>
      <c r="O401" s="140">
        <f t="shared" si="12"/>
        <v>383.875</v>
      </c>
      <c r="Q401" s="140">
        <v>324</v>
      </c>
    </row>
    <row r="402" spans="12:17" x14ac:dyDescent="0.35">
      <c r="L402" s="140">
        <v>400</v>
      </c>
      <c r="M402" s="140">
        <v>4</v>
      </c>
      <c r="N402" s="140">
        <f t="shared" si="13"/>
        <v>5.25</v>
      </c>
      <c r="O402" s="140">
        <f t="shared" si="12"/>
        <v>383.875</v>
      </c>
      <c r="Q402" s="140">
        <v>322</v>
      </c>
    </row>
    <row r="403" spans="12:17" x14ac:dyDescent="0.35">
      <c r="L403" s="140">
        <v>401</v>
      </c>
      <c r="M403" s="140">
        <v>6</v>
      </c>
      <c r="N403" s="140">
        <f t="shared" si="13"/>
        <v>4.75</v>
      </c>
      <c r="O403" s="140">
        <f t="shared" si="12"/>
        <v>383.875</v>
      </c>
      <c r="Q403" s="140">
        <v>323</v>
      </c>
    </row>
    <row r="404" spans="12:17" x14ac:dyDescent="0.35">
      <c r="L404" s="140">
        <v>402</v>
      </c>
      <c r="M404" s="140">
        <v>1</v>
      </c>
      <c r="N404" s="140">
        <f t="shared" si="13"/>
        <v>4.5</v>
      </c>
      <c r="O404" s="140">
        <f t="shared" si="12"/>
        <v>383.875</v>
      </c>
      <c r="Q404" s="140">
        <v>373</v>
      </c>
    </row>
    <row r="405" spans="12:17" x14ac:dyDescent="0.35">
      <c r="L405" s="140">
        <v>403</v>
      </c>
      <c r="M405" s="140">
        <v>5</v>
      </c>
      <c r="N405" s="140">
        <f t="shared" si="13"/>
        <v>4.875</v>
      </c>
      <c r="O405" s="140">
        <f t="shared" si="12"/>
        <v>383.875</v>
      </c>
      <c r="Q405" s="140">
        <v>356</v>
      </c>
    </row>
    <row r="406" spans="12:17" x14ac:dyDescent="0.35">
      <c r="L406" s="140">
        <v>404</v>
      </c>
      <c r="M406" s="140">
        <v>6</v>
      </c>
      <c r="N406" s="140">
        <f t="shared" si="13"/>
        <v>4.875</v>
      </c>
      <c r="O406" s="140">
        <f t="shared" si="12"/>
        <v>383.875</v>
      </c>
      <c r="Q406" s="140">
        <v>388</v>
      </c>
    </row>
    <row r="407" spans="12:17" x14ac:dyDescent="0.35">
      <c r="L407" s="140">
        <v>405</v>
      </c>
      <c r="M407" s="140">
        <v>5</v>
      </c>
      <c r="N407" s="140">
        <f t="shared" si="13"/>
        <v>4.375</v>
      </c>
      <c r="O407" s="140">
        <f t="shared" si="12"/>
        <v>383.875</v>
      </c>
      <c r="Q407" s="140">
        <v>399</v>
      </c>
    </row>
    <row r="408" spans="12:17" x14ac:dyDescent="0.35">
      <c r="L408" s="140">
        <v>406</v>
      </c>
      <c r="M408" s="140">
        <v>2</v>
      </c>
      <c r="N408" s="140">
        <f t="shared" si="13"/>
        <v>5</v>
      </c>
      <c r="O408" s="140">
        <f t="shared" si="12"/>
        <v>383.875</v>
      </c>
      <c r="Q408" s="140">
        <v>404</v>
      </c>
    </row>
    <row r="409" spans="12:17" x14ac:dyDescent="0.35">
      <c r="L409" s="140">
        <v>407</v>
      </c>
      <c r="M409" s="140">
        <v>10</v>
      </c>
      <c r="N409" s="140">
        <f t="shared" si="13"/>
        <v>4.5</v>
      </c>
      <c r="O409" s="140">
        <f t="shared" si="12"/>
        <v>383.875</v>
      </c>
      <c r="Q409" s="140">
        <v>408</v>
      </c>
    </row>
    <row r="410" spans="12:17" x14ac:dyDescent="0.35">
      <c r="L410" s="140">
        <v>408</v>
      </c>
      <c r="M410" s="140">
        <v>4</v>
      </c>
      <c r="N410" s="140">
        <f t="shared" si="13"/>
        <v>4.5</v>
      </c>
      <c r="O410" s="140">
        <f t="shared" si="12"/>
        <v>383.875</v>
      </c>
      <c r="Q410" s="140">
        <v>403</v>
      </c>
    </row>
    <row r="411" spans="12:17" x14ac:dyDescent="0.35">
      <c r="L411" s="140">
        <v>409</v>
      </c>
      <c r="M411" s="140">
        <v>2</v>
      </c>
      <c r="N411" s="140">
        <f t="shared" si="13"/>
        <v>4.625</v>
      </c>
      <c r="O411" s="140">
        <f t="shared" si="12"/>
        <v>383.875</v>
      </c>
      <c r="Q411" s="140">
        <v>406</v>
      </c>
    </row>
    <row r="412" spans="12:17" x14ac:dyDescent="0.35">
      <c r="L412" s="140">
        <v>410</v>
      </c>
      <c r="M412" s="140">
        <v>6</v>
      </c>
      <c r="N412" s="140">
        <f t="shared" si="13"/>
        <v>4.875</v>
      </c>
      <c r="O412" s="140">
        <f t="shared" si="12"/>
        <v>383.875</v>
      </c>
      <c r="Q412" s="140">
        <v>390</v>
      </c>
    </row>
    <row r="413" spans="12:17" x14ac:dyDescent="0.35">
      <c r="L413" s="140">
        <v>411</v>
      </c>
      <c r="M413" s="140">
        <v>1</v>
      </c>
      <c r="N413" s="140">
        <f t="shared" si="13"/>
        <v>4.125</v>
      </c>
      <c r="O413" s="140">
        <f t="shared" si="12"/>
        <v>383.875</v>
      </c>
      <c r="Q413" s="140">
        <v>452</v>
      </c>
    </row>
    <row r="414" spans="12:17" x14ac:dyDescent="0.35">
      <c r="L414" s="140">
        <v>412</v>
      </c>
      <c r="M414" s="140">
        <v>6</v>
      </c>
      <c r="N414" s="140">
        <f t="shared" si="13"/>
        <v>4</v>
      </c>
      <c r="O414" s="140">
        <f t="shared" si="12"/>
        <v>383.875</v>
      </c>
      <c r="Q414" s="140">
        <v>440</v>
      </c>
    </row>
    <row r="415" spans="12:17" x14ac:dyDescent="0.35">
      <c r="L415" s="140">
        <v>413</v>
      </c>
      <c r="M415" s="140">
        <v>6</v>
      </c>
      <c r="N415" s="140">
        <f t="shared" si="13"/>
        <v>4.125</v>
      </c>
      <c r="O415" s="140">
        <f t="shared" si="12"/>
        <v>383.875</v>
      </c>
      <c r="Q415" s="140">
        <v>496</v>
      </c>
    </row>
    <row r="416" spans="12:17" x14ac:dyDescent="0.35">
      <c r="L416" s="140">
        <v>414</v>
      </c>
      <c r="M416" s="140">
        <v>4</v>
      </c>
      <c r="N416" s="140">
        <f t="shared" si="13"/>
        <v>4.125</v>
      </c>
      <c r="O416" s="140">
        <f t="shared" si="12"/>
        <v>383.875</v>
      </c>
      <c r="Q416" s="140">
        <v>476</v>
      </c>
    </row>
    <row r="417" spans="12:17" x14ac:dyDescent="0.35">
      <c r="L417" s="140">
        <v>415</v>
      </c>
      <c r="M417" s="140">
        <v>4</v>
      </c>
      <c r="N417" s="140">
        <f t="shared" si="13"/>
        <v>4.75</v>
      </c>
      <c r="O417" s="140">
        <f t="shared" si="12"/>
        <v>383.875</v>
      </c>
      <c r="Q417" s="140">
        <v>503</v>
      </c>
    </row>
    <row r="418" spans="12:17" x14ac:dyDescent="0.35">
      <c r="L418" s="140">
        <v>416</v>
      </c>
      <c r="M418" s="140">
        <v>3</v>
      </c>
      <c r="N418" s="140">
        <f t="shared" si="13"/>
        <v>4.5</v>
      </c>
      <c r="O418" s="140">
        <f t="shared" si="12"/>
        <v>383.875</v>
      </c>
      <c r="Q418" s="140">
        <v>499</v>
      </c>
    </row>
    <row r="419" spans="12:17" x14ac:dyDescent="0.35">
      <c r="L419" s="140">
        <v>417</v>
      </c>
      <c r="M419" s="140">
        <v>3</v>
      </c>
      <c r="N419" s="140">
        <f t="shared" si="13"/>
        <v>4.375</v>
      </c>
      <c r="O419" s="140">
        <f t="shared" si="12"/>
        <v>383.875</v>
      </c>
      <c r="Q419" s="140">
        <v>532</v>
      </c>
    </row>
    <row r="420" spans="12:17" x14ac:dyDescent="0.35">
      <c r="L420" s="140">
        <v>418</v>
      </c>
      <c r="M420" s="140">
        <v>6</v>
      </c>
      <c r="N420" s="140">
        <f t="shared" si="13"/>
        <v>4.75</v>
      </c>
      <c r="O420" s="140">
        <f t="shared" si="12"/>
        <v>383.875</v>
      </c>
      <c r="Q420" s="140">
        <v>495</v>
      </c>
    </row>
    <row r="421" spans="12:17" x14ac:dyDescent="0.35">
      <c r="L421" s="140">
        <v>419</v>
      </c>
      <c r="M421" s="140">
        <v>6</v>
      </c>
      <c r="N421" s="140">
        <f t="shared" si="13"/>
        <v>4.875</v>
      </c>
      <c r="O421" s="140">
        <f t="shared" si="12"/>
        <v>383.875</v>
      </c>
      <c r="Q421" s="140">
        <v>521</v>
      </c>
    </row>
    <row r="422" spans="12:17" x14ac:dyDescent="0.35">
      <c r="L422" s="140">
        <v>420</v>
      </c>
      <c r="M422" s="140">
        <v>4</v>
      </c>
      <c r="N422" s="140">
        <f t="shared" si="13"/>
        <v>5.25</v>
      </c>
      <c r="O422" s="140">
        <f t="shared" si="12"/>
        <v>383.875</v>
      </c>
      <c r="Q422" s="140">
        <v>548</v>
      </c>
    </row>
    <row r="423" spans="12:17" x14ac:dyDescent="0.35">
      <c r="L423" s="140">
        <v>421</v>
      </c>
      <c r="M423" s="140">
        <v>5</v>
      </c>
      <c r="N423" s="140">
        <f t="shared" si="13"/>
        <v>5.75</v>
      </c>
      <c r="O423" s="140">
        <f t="shared" si="12"/>
        <v>383.875</v>
      </c>
      <c r="Q423" s="140">
        <v>568</v>
      </c>
    </row>
    <row r="424" spans="12:17" x14ac:dyDescent="0.35">
      <c r="L424" s="140">
        <v>422</v>
      </c>
      <c r="M424" s="140">
        <v>7</v>
      </c>
      <c r="N424" s="140">
        <f t="shared" si="13"/>
        <v>5.625</v>
      </c>
      <c r="O424" s="140">
        <f t="shared" si="12"/>
        <v>383.875</v>
      </c>
      <c r="Q424" s="140">
        <v>568</v>
      </c>
    </row>
    <row r="425" spans="12:17" x14ac:dyDescent="0.35">
      <c r="L425" s="140">
        <v>423</v>
      </c>
      <c r="M425" s="140">
        <v>5</v>
      </c>
      <c r="N425" s="140">
        <f t="shared" si="13"/>
        <v>5.375</v>
      </c>
      <c r="O425" s="140">
        <f t="shared" si="12"/>
        <v>383.875</v>
      </c>
      <c r="Q425" s="140">
        <v>563</v>
      </c>
    </row>
    <row r="426" spans="12:17" x14ac:dyDescent="0.35">
      <c r="L426" s="140">
        <v>424</v>
      </c>
      <c r="M426" s="140">
        <v>6</v>
      </c>
      <c r="N426" s="140">
        <f t="shared" si="13"/>
        <v>5.25</v>
      </c>
      <c r="O426" s="140">
        <f t="shared" si="12"/>
        <v>383.875</v>
      </c>
      <c r="Q426" s="140">
        <v>589</v>
      </c>
    </row>
    <row r="427" spans="12:17" x14ac:dyDescent="0.35">
      <c r="L427" s="140">
        <v>425</v>
      </c>
      <c r="M427" s="140">
        <v>7</v>
      </c>
      <c r="N427" s="140">
        <f t="shared" si="13"/>
        <v>5.25</v>
      </c>
      <c r="O427" s="140">
        <f t="shared" si="12"/>
        <v>383.875</v>
      </c>
      <c r="Q427" s="140">
        <v>567</v>
      </c>
    </row>
    <row r="428" spans="12:17" x14ac:dyDescent="0.35">
      <c r="L428" s="140">
        <v>426</v>
      </c>
      <c r="M428" s="140">
        <v>5</v>
      </c>
      <c r="N428" s="140">
        <f t="shared" si="13"/>
        <v>5</v>
      </c>
      <c r="O428" s="140">
        <f t="shared" si="12"/>
        <v>383.875</v>
      </c>
      <c r="Q428" s="140">
        <v>651</v>
      </c>
    </row>
    <row r="429" spans="12:17" x14ac:dyDescent="0.35">
      <c r="L429" s="140">
        <v>427</v>
      </c>
      <c r="M429" s="140">
        <v>4</v>
      </c>
      <c r="N429" s="140">
        <f t="shared" si="13"/>
        <v>5</v>
      </c>
      <c r="O429" s="140">
        <f t="shared" si="12"/>
        <v>383.875</v>
      </c>
      <c r="Q429" s="140">
        <v>603</v>
      </c>
    </row>
    <row r="430" spans="12:17" x14ac:dyDescent="0.35">
      <c r="L430" s="140">
        <v>428</v>
      </c>
      <c r="M430" s="140">
        <v>3</v>
      </c>
      <c r="N430" s="140">
        <f t="shared" si="13"/>
        <v>4.5</v>
      </c>
      <c r="O430" s="140">
        <f t="shared" si="12"/>
        <v>383.875</v>
      </c>
      <c r="Q430" s="140">
        <v>604</v>
      </c>
    </row>
    <row r="431" spans="12:17" x14ac:dyDescent="0.35">
      <c r="L431" s="140">
        <v>429</v>
      </c>
      <c r="M431" s="140">
        <v>5</v>
      </c>
      <c r="N431" s="140">
        <f t="shared" si="13"/>
        <v>4.5</v>
      </c>
      <c r="O431" s="140">
        <f t="shared" si="12"/>
        <v>383.875</v>
      </c>
      <c r="Q431" s="140">
        <v>652</v>
      </c>
    </row>
    <row r="432" spans="12:17" x14ac:dyDescent="0.35">
      <c r="L432" s="140">
        <v>430</v>
      </c>
      <c r="M432" s="140">
        <v>5</v>
      </c>
      <c r="N432" s="140">
        <f t="shared" si="13"/>
        <v>4.75</v>
      </c>
      <c r="O432" s="140">
        <f t="shared" si="12"/>
        <v>383.875</v>
      </c>
      <c r="Q432" s="140">
        <v>662</v>
      </c>
    </row>
    <row r="433" spans="12:17" x14ac:dyDescent="0.35">
      <c r="L433" s="140">
        <v>431</v>
      </c>
      <c r="M433" s="140">
        <v>5</v>
      </c>
      <c r="N433" s="140">
        <f t="shared" si="13"/>
        <v>5.25</v>
      </c>
      <c r="O433" s="140">
        <f t="shared" si="12"/>
        <v>383.875</v>
      </c>
      <c r="Q433" s="140">
        <v>653</v>
      </c>
    </row>
    <row r="434" spans="12:17" x14ac:dyDescent="0.35">
      <c r="L434" s="140">
        <v>432</v>
      </c>
      <c r="M434" s="140">
        <v>2</v>
      </c>
      <c r="N434" s="140">
        <f t="shared" si="13"/>
        <v>5.5</v>
      </c>
      <c r="O434" s="140">
        <f t="shared" si="12"/>
        <v>383.875</v>
      </c>
      <c r="Q434" s="140">
        <v>667</v>
      </c>
    </row>
    <row r="435" spans="12:17" x14ac:dyDescent="0.35">
      <c r="L435" s="140">
        <v>433</v>
      </c>
      <c r="M435" s="140">
        <v>7</v>
      </c>
      <c r="N435" s="140">
        <f t="shared" si="13"/>
        <v>5.75</v>
      </c>
      <c r="O435" s="140">
        <f t="shared" si="12"/>
        <v>383.875</v>
      </c>
      <c r="Q435" s="140">
        <v>676</v>
      </c>
    </row>
    <row r="436" spans="12:17" x14ac:dyDescent="0.35">
      <c r="L436" s="140">
        <v>434</v>
      </c>
      <c r="M436" s="140">
        <v>7</v>
      </c>
      <c r="N436" s="140">
        <f t="shared" si="13"/>
        <v>5.75</v>
      </c>
      <c r="O436" s="140">
        <f t="shared" si="12"/>
        <v>383.875</v>
      </c>
      <c r="Q436" s="140">
        <v>704</v>
      </c>
    </row>
    <row r="437" spans="12:17" x14ac:dyDescent="0.35">
      <c r="L437" s="140">
        <v>435</v>
      </c>
      <c r="M437" s="140">
        <v>8</v>
      </c>
      <c r="N437" s="140">
        <f t="shared" si="13"/>
        <v>5.625</v>
      </c>
      <c r="O437" s="140">
        <f t="shared" si="12"/>
        <v>383.875</v>
      </c>
      <c r="Q437" s="140">
        <v>760</v>
      </c>
    </row>
    <row r="438" spans="12:17" x14ac:dyDescent="0.35">
      <c r="L438" s="140">
        <v>436</v>
      </c>
      <c r="M438" s="140">
        <v>5</v>
      </c>
      <c r="N438" s="140">
        <f t="shared" si="13"/>
        <v>5.75</v>
      </c>
      <c r="O438" s="140">
        <f t="shared" si="12"/>
        <v>383.875</v>
      </c>
      <c r="Q438" s="140">
        <v>713</v>
      </c>
    </row>
    <row r="439" spans="12:17" x14ac:dyDescent="0.35">
      <c r="L439" s="140">
        <v>437</v>
      </c>
      <c r="M439" s="140">
        <v>7</v>
      </c>
      <c r="N439" s="140">
        <f t="shared" si="13"/>
        <v>5.625</v>
      </c>
      <c r="O439" s="140">
        <f t="shared" si="12"/>
        <v>383.875</v>
      </c>
      <c r="Q439" s="140">
        <v>672</v>
      </c>
    </row>
    <row r="440" spans="12:17" x14ac:dyDescent="0.35">
      <c r="L440" s="140">
        <v>438</v>
      </c>
      <c r="M440" s="140">
        <v>5</v>
      </c>
      <c r="N440" s="140">
        <f t="shared" si="13"/>
        <v>5.25</v>
      </c>
      <c r="O440" s="140">
        <f t="shared" si="12"/>
        <v>383.875</v>
      </c>
      <c r="Q440" s="140">
        <v>739</v>
      </c>
    </row>
    <row r="441" spans="12:17" x14ac:dyDescent="0.35">
      <c r="L441" s="140">
        <v>439</v>
      </c>
      <c r="M441" s="140">
        <v>4</v>
      </c>
      <c r="N441" s="140">
        <f t="shared" si="13"/>
        <v>4.75</v>
      </c>
      <c r="O441" s="140">
        <f t="shared" si="12"/>
        <v>383.875</v>
      </c>
      <c r="Q441" s="140">
        <v>805</v>
      </c>
    </row>
    <row r="442" spans="12:17" x14ac:dyDescent="0.35">
      <c r="L442" s="140">
        <v>440</v>
      </c>
      <c r="M442" s="140">
        <v>3</v>
      </c>
      <c r="N442" s="140">
        <f t="shared" si="13"/>
        <v>4.5</v>
      </c>
      <c r="O442" s="140">
        <f t="shared" si="12"/>
        <v>383.875</v>
      </c>
      <c r="Q442" s="140">
        <v>798</v>
      </c>
    </row>
    <row r="443" spans="12:17" x14ac:dyDescent="0.35">
      <c r="L443" s="140">
        <v>441</v>
      </c>
      <c r="M443" s="140">
        <v>6</v>
      </c>
      <c r="N443" s="140">
        <f t="shared" si="13"/>
        <v>4.5</v>
      </c>
      <c r="O443" s="140">
        <f t="shared" si="12"/>
        <v>383.875</v>
      </c>
      <c r="Q443" s="140">
        <v>792</v>
      </c>
    </row>
    <row r="444" spans="12:17" x14ac:dyDescent="0.35">
      <c r="L444" s="140">
        <v>442</v>
      </c>
      <c r="M444" s="140">
        <v>4</v>
      </c>
      <c r="N444" s="140">
        <f t="shared" si="13"/>
        <v>4.75</v>
      </c>
      <c r="O444" s="140">
        <f t="shared" si="12"/>
        <v>383.875</v>
      </c>
      <c r="Q444" s="140">
        <v>736</v>
      </c>
    </row>
    <row r="445" spans="12:17" x14ac:dyDescent="0.35">
      <c r="L445" s="140">
        <v>443</v>
      </c>
      <c r="M445" s="140">
        <v>4</v>
      </c>
      <c r="N445" s="140">
        <f t="shared" si="13"/>
        <v>4.375</v>
      </c>
      <c r="O445" s="140">
        <f t="shared" si="12"/>
        <v>383.875</v>
      </c>
      <c r="Q445" s="140">
        <v>792</v>
      </c>
    </row>
    <row r="446" spans="12:17" x14ac:dyDescent="0.35">
      <c r="L446" s="140">
        <v>444</v>
      </c>
      <c r="M446" s="140">
        <v>3</v>
      </c>
      <c r="N446" s="140">
        <f t="shared" si="13"/>
        <v>4.625</v>
      </c>
      <c r="O446" s="140">
        <f t="shared" si="12"/>
        <v>383.875</v>
      </c>
      <c r="Q446" s="140">
        <v>803</v>
      </c>
    </row>
    <row r="447" spans="12:17" x14ac:dyDescent="0.35">
      <c r="L447" s="140">
        <v>445</v>
      </c>
      <c r="M447" s="140">
        <v>7</v>
      </c>
      <c r="N447" s="140">
        <f t="shared" si="13"/>
        <v>4.25</v>
      </c>
      <c r="O447" s="140">
        <f t="shared" si="12"/>
        <v>383.875</v>
      </c>
      <c r="Q447" s="140">
        <v>822</v>
      </c>
    </row>
    <row r="448" spans="12:17" x14ac:dyDescent="0.35">
      <c r="L448" s="140">
        <v>446</v>
      </c>
      <c r="M448" s="140">
        <v>7</v>
      </c>
      <c r="N448" s="140">
        <f t="shared" si="13"/>
        <v>4.875</v>
      </c>
      <c r="O448" s="140">
        <f t="shared" si="12"/>
        <v>383.875</v>
      </c>
      <c r="Q448" s="140">
        <v>861</v>
      </c>
    </row>
    <row r="449" spans="12:17" x14ac:dyDescent="0.35">
      <c r="L449" s="140">
        <v>447</v>
      </c>
      <c r="M449" s="140">
        <v>1</v>
      </c>
      <c r="N449" s="140">
        <f t="shared" si="13"/>
        <v>5.125</v>
      </c>
      <c r="O449" s="140">
        <f t="shared" si="12"/>
        <v>383.875</v>
      </c>
      <c r="Q449" s="140">
        <v>851</v>
      </c>
    </row>
    <row r="450" spans="12:17" x14ac:dyDescent="0.35">
      <c r="L450" s="140">
        <v>448</v>
      </c>
      <c r="M450" s="140">
        <v>5</v>
      </c>
      <c r="N450" s="140">
        <f t="shared" si="13"/>
        <v>5.375</v>
      </c>
      <c r="O450" s="140">
        <f t="shared" ref="O450:O513" si="14">MAX($A$35)/2</f>
        <v>383.875</v>
      </c>
      <c r="Q450" s="140">
        <v>849</v>
      </c>
    </row>
    <row r="451" spans="12:17" x14ac:dyDescent="0.35">
      <c r="L451" s="140">
        <v>449</v>
      </c>
      <c r="M451" s="140">
        <v>3</v>
      </c>
      <c r="N451" s="140">
        <f t="shared" si="13"/>
        <v>5</v>
      </c>
      <c r="O451" s="140">
        <f t="shared" si="14"/>
        <v>383.875</v>
      </c>
      <c r="Q451" s="140">
        <v>821</v>
      </c>
    </row>
    <row r="452" spans="12:17" x14ac:dyDescent="0.35">
      <c r="L452" s="140">
        <v>450</v>
      </c>
      <c r="M452" s="140">
        <v>9</v>
      </c>
      <c r="N452" s="140">
        <f t="shared" si="13"/>
        <v>4.375</v>
      </c>
      <c r="O452" s="140">
        <f t="shared" si="14"/>
        <v>383.875</v>
      </c>
      <c r="Q452" s="140">
        <v>837</v>
      </c>
    </row>
    <row r="453" spans="12:17" x14ac:dyDescent="0.35">
      <c r="L453" s="140">
        <v>451</v>
      </c>
      <c r="M453" s="140">
        <v>6</v>
      </c>
      <c r="N453" s="140">
        <f t="shared" ref="N453:N516" si="15">AVERAGE(M450:M457)</f>
        <v>4.75</v>
      </c>
      <c r="O453" s="140">
        <f t="shared" si="14"/>
        <v>383.875</v>
      </c>
      <c r="Q453" s="140">
        <v>888</v>
      </c>
    </row>
    <row r="454" spans="12:17" x14ac:dyDescent="0.35">
      <c r="L454" s="140">
        <v>452</v>
      </c>
      <c r="M454" s="140">
        <v>5</v>
      </c>
      <c r="N454" s="140">
        <f t="shared" si="15"/>
        <v>4.125</v>
      </c>
      <c r="O454" s="140">
        <f t="shared" si="14"/>
        <v>383.875</v>
      </c>
      <c r="Q454" s="140">
        <v>886</v>
      </c>
    </row>
    <row r="455" spans="12:17" x14ac:dyDescent="0.35">
      <c r="L455" s="140">
        <v>453</v>
      </c>
      <c r="M455" s="140">
        <v>4</v>
      </c>
      <c r="N455" s="140">
        <f t="shared" si="15"/>
        <v>4.125</v>
      </c>
      <c r="O455" s="140">
        <f t="shared" si="14"/>
        <v>383.875</v>
      </c>
      <c r="Q455" s="140">
        <v>890</v>
      </c>
    </row>
    <row r="456" spans="12:17" x14ac:dyDescent="0.35">
      <c r="L456" s="140">
        <v>454</v>
      </c>
      <c r="M456" s="140">
        <v>2</v>
      </c>
      <c r="N456" s="140">
        <f t="shared" si="15"/>
        <v>3.5</v>
      </c>
      <c r="O456" s="140">
        <f t="shared" si="14"/>
        <v>383.875</v>
      </c>
      <c r="Q456" s="140">
        <v>856</v>
      </c>
    </row>
    <row r="457" spans="12:17" x14ac:dyDescent="0.35">
      <c r="L457" s="140">
        <v>455</v>
      </c>
      <c r="M457" s="140">
        <v>4</v>
      </c>
      <c r="N457" s="140">
        <f t="shared" si="15"/>
        <v>3.25</v>
      </c>
      <c r="O457" s="140">
        <f t="shared" si="14"/>
        <v>383.875</v>
      </c>
      <c r="Q457" s="140">
        <v>896</v>
      </c>
    </row>
    <row r="458" spans="12:17" x14ac:dyDescent="0.35">
      <c r="L458" s="140">
        <v>456</v>
      </c>
      <c r="M458" s="140">
        <v>0</v>
      </c>
      <c r="N458" s="140">
        <f t="shared" si="15"/>
        <v>3</v>
      </c>
      <c r="O458" s="140">
        <f t="shared" si="14"/>
        <v>383.875</v>
      </c>
      <c r="Q458" s="140">
        <v>884</v>
      </c>
    </row>
    <row r="459" spans="12:17" x14ac:dyDescent="0.35">
      <c r="L459" s="140">
        <v>457</v>
      </c>
      <c r="M459" s="140">
        <v>3</v>
      </c>
      <c r="N459" s="140">
        <f t="shared" si="15"/>
        <v>2.625</v>
      </c>
      <c r="O459" s="140">
        <f t="shared" si="14"/>
        <v>383.875</v>
      </c>
      <c r="Q459" s="140">
        <v>882</v>
      </c>
    </row>
    <row r="460" spans="12:17" x14ac:dyDescent="0.35">
      <c r="L460" s="140">
        <v>458</v>
      </c>
      <c r="M460" s="140">
        <v>4</v>
      </c>
      <c r="N460" s="140">
        <f t="shared" si="15"/>
        <v>2.625</v>
      </c>
      <c r="O460" s="140">
        <f t="shared" si="14"/>
        <v>383.875</v>
      </c>
      <c r="Q460" s="140">
        <v>891</v>
      </c>
    </row>
    <row r="461" spans="12:17" x14ac:dyDescent="0.35">
      <c r="L461" s="140">
        <v>459</v>
      </c>
      <c r="M461" s="140">
        <v>4</v>
      </c>
      <c r="N461" s="140">
        <f t="shared" si="15"/>
        <v>2.5</v>
      </c>
      <c r="O461" s="140">
        <f t="shared" si="14"/>
        <v>383.875</v>
      </c>
      <c r="Q461" s="140">
        <v>951</v>
      </c>
    </row>
    <row r="462" spans="12:17" x14ac:dyDescent="0.35">
      <c r="L462" s="140">
        <v>460</v>
      </c>
      <c r="M462" s="140">
        <v>3</v>
      </c>
      <c r="N462" s="140">
        <f t="shared" si="15"/>
        <v>2.875</v>
      </c>
      <c r="O462" s="140">
        <f t="shared" si="14"/>
        <v>383.875</v>
      </c>
      <c r="Q462" s="140">
        <v>890</v>
      </c>
    </row>
    <row r="463" spans="12:17" x14ac:dyDescent="0.35">
      <c r="L463" s="140">
        <v>461</v>
      </c>
      <c r="M463" s="140">
        <v>1</v>
      </c>
      <c r="N463" s="140">
        <f t="shared" si="15"/>
        <v>2.875</v>
      </c>
      <c r="O463" s="140">
        <f t="shared" si="14"/>
        <v>383.875</v>
      </c>
      <c r="Q463" s="140">
        <v>889</v>
      </c>
    </row>
    <row r="464" spans="12:17" x14ac:dyDescent="0.35">
      <c r="L464" s="140">
        <v>462</v>
      </c>
      <c r="M464" s="140">
        <v>2</v>
      </c>
      <c r="N464" s="140">
        <f t="shared" si="15"/>
        <v>2.625</v>
      </c>
      <c r="O464" s="140">
        <f t="shared" si="14"/>
        <v>383.875</v>
      </c>
      <c r="Q464" s="140">
        <v>911</v>
      </c>
    </row>
    <row r="465" spans="12:17" x14ac:dyDescent="0.35">
      <c r="L465" s="140">
        <v>463</v>
      </c>
      <c r="M465" s="140">
        <v>3</v>
      </c>
      <c r="N465" s="140">
        <f t="shared" si="15"/>
        <v>2.375</v>
      </c>
      <c r="O465" s="140">
        <f t="shared" si="14"/>
        <v>383.875</v>
      </c>
      <c r="Q465" s="140">
        <v>974</v>
      </c>
    </row>
    <row r="466" spans="12:17" x14ac:dyDescent="0.35">
      <c r="L466" s="140">
        <v>464</v>
      </c>
      <c r="M466" s="140">
        <v>3</v>
      </c>
      <c r="N466" s="140">
        <f t="shared" si="15"/>
        <v>2.125</v>
      </c>
      <c r="O466" s="140">
        <f t="shared" si="14"/>
        <v>383.875</v>
      </c>
      <c r="Q466" s="140">
        <v>856</v>
      </c>
    </row>
    <row r="467" spans="12:17" x14ac:dyDescent="0.35">
      <c r="L467" s="140">
        <v>465</v>
      </c>
      <c r="M467" s="140">
        <v>3</v>
      </c>
      <c r="N467" s="140">
        <f t="shared" si="15"/>
        <v>2.5</v>
      </c>
      <c r="O467" s="140">
        <f t="shared" si="14"/>
        <v>383.875</v>
      </c>
      <c r="Q467" s="140">
        <v>932</v>
      </c>
    </row>
    <row r="468" spans="12:17" x14ac:dyDescent="0.35">
      <c r="L468" s="140">
        <v>466</v>
      </c>
      <c r="M468" s="140">
        <v>2</v>
      </c>
      <c r="N468" s="140">
        <f t="shared" si="15"/>
        <v>2.5</v>
      </c>
      <c r="O468" s="140">
        <f t="shared" si="14"/>
        <v>383.875</v>
      </c>
      <c r="Q468" s="140">
        <v>924</v>
      </c>
    </row>
    <row r="469" spans="12:17" x14ac:dyDescent="0.35">
      <c r="L469" s="140">
        <v>467</v>
      </c>
      <c r="M469" s="140">
        <v>2</v>
      </c>
      <c r="N469" s="140">
        <f t="shared" si="15"/>
        <v>2.375</v>
      </c>
      <c r="O469" s="140">
        <f t="shared" si="14"/>
        <v>383.875</v>
      </c>
      <c r="Q469" s="140">
        <v>910</v>
      </c>
    </row>
    <row r="470" spans="12:17" x14ac:dyDescent="0.35">
      <c r="L470" s="140">
        <v>468</v>
      </c>
      <c r="M470" s="140">
        <v>1</v>
      </c>
      <c r="N470" s="140">
        <f t="shared" si="15"/>
        <v>2.125</v>
      </c>
      <c r="O470" s="140">
        <f t="shared" si="14"/>
        <v>383.875</v>
      </c>
      <c r="Q470" s="140">
        <v>927</v>
      </c>
    </row>
    <row r="471" spans="12:17" x14ac:dyDescent="0.35">
      <c r="L471" s="140">
        <v>469</v>
      </c>
      <c r="M471" s="140">
        <v>4</v>
      </c>
      <c r="N471" s="140">
        <f t="shared" si="15"/>
        <v>2.25</v>
      </c>
      <c r="O471" s="140">
        <f t="shared" si="14"/>
        <v>383.875</v>
      </c>
      <c r="Q471" s="140">
        <v>997</v>
      </c>
    </row>
    <row r="472" spans="12:17" x14ac:dyDescent="0.35">
      <c r="L472" s="140">
        <v>470</v>
      </c>
      <c r="M472" s="140">
        <v>2</v>
      </c>
      <c r="N472" s="140">
        <f t="shared" si="15"/>
        <v>2.5</v>
      </c>
      <c r="O472" s="140">
        <f t="shared" si="14"/>
        <v>383.875</v>
      </c>
      <c r="Q472" s="140">
        <v>987</v>
      </c>
    </row>
    <row r="473" spans="12:17" x14ac:dyDescent="0.35">
      <c r="L473" s="140">
        <v>471</v>
      </c>
      <c r="M473" s="140">
        <v>2</v>
      </c>
      <c r="N473" s="140">
        <f t="shared" si="15"/>
        <v>2.375</v>
      </c>
      <c r="O473" s="140">
        <f t="shared" si="14"/>
        <v>383.875</v>
      </c>
      <c r="Q473" s="140">
        <v>946</v>
      </c>
    </row>
    <row r="474" spans="12:17" x14ac:dyDescent="0.35">
      <c r="L474" s="140">
        <v>472</v>
      </c>
      <c r="M474" s="140">
        <v>1</v>
      </c>
      <c r="N474" s="140">
        <f t="shared" si="15"/>
        <v>2.625</v>
      </c>
      <c r="O474" s="140">
        <f t="shared" si="14"/>
        <v>383.875</v>
      </c>
      <c r="Q474" s="140">
        <v>976</v>
      </c>
    </row>
    <row r="475" spans="12:17" x14ac:dyDescent="0.35">
      <c r="L475" s="140">
        <v>473</v>
      </c>
      <c r="M475" s="140">
        <v>4</v>
      </c>
      <c r="N475" s="140">
        <f t="shared" si="15"/>
        <v>2.25</v>
      </c>
      <c r="O475" s="140">
        <f t="shared" si="14"/>
        <v>383.875</v>
      </c>
      <c r="Q475" s="140">
        <v>891</v>
      </c>
    </row>
    <row r="476" spans="12:17" x14ac:dyDescent="0.35">
      <c r="L476" s="140">
        <v>474</v>
      </c>
      <c r="M476" s="140">
        <v>4</v>
      </c>
      <c r="N476" s="140">
        <f t="shared" si="15"/>
        <v>2.375</v>
      </c>
      <c r="O476" s="140">
        <f t="shared" si="14"/>
        <v>383.875</v>
      </c>
      <c r="Q476" s="140">
        <v>984</v>
      </c>
    </row>
    <row r="477" spans="12:17" x14ac:dyDescent="0.35">
      <c r="L477" s="140">
        <v>475</v>
      </c>
      <c r="M477" s="140">
        <v>1</v>
      </c>
      <c r="N477" s="140">
        <f t="shared" si="15"/>
        <v>2.5</v>
      </c>
      <c r="O477" s="140">
        <f t="shared" si="14"/>
        <v>383.875</v>
      </c>
      <c r="Q477" s="140">
        <v>951</v>
      </c>
    </row>
    <row r="478" spans="12:17" x14ac:dyDescent="0.35">
      <c r="L478" s="140">
        <v>476</v>
      </c>
      <c r="M478" s="140">
        <v>3</v>
      </c>
      <c r="N478" s="140">
        <f t="shared" si="15"/>
        <v>2.75</v>
      </c>
      <c r="O478" s="140">
        <f t="shared" si="14"/>
        <v>383.875</v>
      </c>
      <c r="Q478" s="140">
        <v>984</v>
      </c>
    </row>
    <row r="479" spans="12:17" x14ac:dyDescent="0.35">
      <c r="L479" s="140">
        <v>477</v>
      </c>
      <c r="M479" s="140">
        <v>1</v>
      </c>
      <c r="N479" s="140">
        <f t="shared" si="15"/>
        <v>2.5</v>
      </c>
      <c r="O479" s="140">
        <f t="shared" si="14"/>
        <v>383.875</v>
      </c>
      <c r="Q479" s="140">
        <v>973</v>
      </c>
    </row>
    <row r="480" spans="12:17" x14ac:dyDescent="0.35">
      <c r="L480" s="140">
        <v>478</v>
      </c>
      <c r="M480" s="140">
        <v>3</v>
      </c>
      <c r="N480" s="140">
        <f t="shared" si="15"/>
        <v>2.125</v>
      </c>
      <c r="O480" s="140">
        <f t="shared" si="14"/>
        <v>383.875</v>
      </c>
      <c r="Q480" s="140">
        <v>940</v>
      </c>
    </row>
    <row r="481" spans="12:17" x14ac:dyDescent="0.35">
      <c r="L481" s="140">
        <v>479</v>
      </c>
      <c r="M481" s="140">
        <v>3</v>
      </c>
      <c r="N481" s="140">
        <f t="shared" si="15"/>
        <v>2.125</v>
      </c>
      <c r="O481" s="140">
        <f t="shared" si="14"/>
        <v>383.875</v>
      </c>
      <c r="Q481" s="140">
        <v>990</v>
      </c>
    </row>
    <row r="482" spans="12:17" x14ac:dyDescent="0.35">
      <c r="L482" s="140">
        <v>480</v>
      </c>
      <c r="M482" s="140">
        <v>3</v>
      </c>
      <c r="N482" s="140">
        <f t="shared" si="15"/>
        <v>2</v>
      </c>
      <c r="O482" s="140">
        <f t="shared" si="14"/>
        <v>383.875</v>
      </c>
      <c r="Q482" s="140">
        <v>994</v>
      </c>
    </row>
    <row r="483" spans="12:17" x14ac:dyDescent="0.35">
      <c r="L483" s="140">
        <v>481</v>
      </c>
      <c r="M483" s="140">
        <v>2</v>
      </c>
      <c r="N483" s="140">
        <f t="shared" si="15"/>
        <v>1.875</v>
      </c>
      <c r="O483" s="140">
        <f t="shared" si="14"/>
        <v>383.875</v>
      </c>
      <c r="Q483" s="140">
        <v>958</v>
      </c>
    </row>
    <row r="484" spans="12:17" x14ac:dyDescent="0.35">
      <c r="L484" s="140">
        <v>482</v>
      </c>
      <c r="M484" s="140">
        <v>1</v>
      </c>
      <c r="N484" s="140">
        <f t="shared" si="15"/>
        <v>1.875</v>
      </c>
      <c r="O484" s="140">
        <f t="shared" si="14"/>
        <v>383.875</v>
      </c>
      <c r="Q484" s="140">
        <v>981</v>
      </c>
    </row>
    <row r="485" spans="12:17" x14ac:dyDescent="0.35">
      <c r="L485" s="140">
        <v>483</v>
      </c>
      <c r="M485" s="140">
        <v>1</v>
      </c>
      <c r="N485" s="140">
        <f t="shared" si="15"/>
        <v>1.5</v>
      </c>
      <c r="O485" s="140">
        <f t="shared" si="14"/>
        <v>383.875</v>
      </c>
      <c r="Q485" s="140">
        <v>976</v>
      </c>
    </row>
    <row r="486" spans="12:17" x14ac:dyDescent="0.35">
      <c r="L486" s="140">
        <v>484</v>
      </c>
      <c r="M486" s="140">
        <v>2</v>
      </c>
      <c r="N486" s="140">
        <f t="shared" si="15"/>
        <v>1.625</v>
      </c>
      <c r="O486" s="140">
        <f t="shared" si="14"/>
        <v>383.875</v>
      </c>
      <c r="Q486" s="140">
        <v>955</v>
      </c>
    </row>
    <row r="487" spans="12:17" x14ac:dyDescent="0.35">
      <c r="L487" s="140">
        <v>485</v>
      </c>
      <c r="M487" s="140">
        <v>0</v>
      </c>
      <c r="N487" s="140">
        <f t="shared" si="15"/>
        <v>1.875</v>
      </c>
      <c r="O487" s="140">
        <f t="shared" si="14"/>
        <v>383.875</v>
      </c>
      <c r="Q487" s="140">
        <v>906</v>
      </c>
    </row>
    <row r="488" spans="12:17" x14ac:dyDescent="0.35">
      <c r="L488" s="140">
        <v>486</v>
      </c>
      <c r="M488" s="140">
        <v>3</v>
      </c>
      <c r="N488" s="140">
        <f t="shared" si="15"/>
        <v>2.125</v>
      </c>
      <c r="O488" s="140">
        <f t="shared" si="14"/>
        <v>383.875</v>
      </c>
      <c r="Q488" s="140">
        <v>976</v>
      </c>
    </row>
    <row r="489" spans="12:17" x14ac:dyDescent="0.35">
      <c r="L489" s="140">
        <v>487</v>
      </c>
      <c r="M489" s="140">
        <v>0</v>
      </c>
      <c r="N489" s="140">
        <f t="shared" si="15"/>
        <v>2.125</v>
      </c>
      <c r="O489" s="140">
        <f t="shared" si="14"/>
        <v>383.875</v>
      </c>
      <c r="Q489" s="140">
        <v>936</v>
      </c>
    </row>
    <row r="490" spans="12:17" x14ac:dyDescent="0.35">
      <c r="L490" s="140">
        <v>488</v>
      </c>
      <c r="M490" s="140">
        <v>4</v>
      </c>
      <c r="N490" s="140">
        <f t="shared" si="15"/>
        <v>2.125</v>
      </c>
      <c r="O490" s="140">
        <f t="shared" si="14"/>
        <v>383.875</v>
      </c>
      <c r="Q490" s="140">
        <v>963</v>
      </c>
    </row>
    <row r="491" spans="12:17" x14ac:dyDescent="0.35">
      <c r="L491" s="140">
        <v>489</v>
      </c>
      <c r="M491" s="140">
        <v>4</v>
      </c>
      <c r="N491" s="140">
        <f t="shared" si="15"/>
        <v>2.25</v>
      </c>
      <c r="O491" s="140">
        <f t="shared" si="14"/>
        <v>383.875</v>
      </c>
      <c r="Q491" s="140">
        <v>932</v>
      </c>
    </row>
    <row r="492" spans="12:17" x14ac:dyDescent="0.35">
      <c r="L492" s="140">
        <v>490</v>
      </c>
      <c r="M492" s="140">
        <v>3</v>
      </c>
      <c r="N492" s="140">
        <f t="shared" si="15"/>
        <v>1.875</v>
      </c>
      <c r="O492" s="140">
        <f t="shared" si="14"/>
        <v>383.875</v>
      </c>
      <c r="Q492" s="140">
        <v>918</v>
      </c>
    </row>
    <row r="493" spans="12:17" x14ac:dyDescent="0.35">
      <c r="L493" s="140">
        <v>491</v>
      </c>
      <c r="M493" s="140">
        <v>1</v>
      </c>
      <c r="N493" s="140">
        <f t="shared" si="15"/>
        <v>1.875</v>
      </c>
      <c r="O493" s="140">
        <f t="shared" si="14"/>
        <v>383.875</v>
      </c>
      <c r="Q493" s="140">
        <v>935</v>
      </c>
    </row>
    <row r="494" spans="12:17" x14ac:dyDescent="0.35">
      <c r="L494" s="140">
        <v>492</v>
      </c>
      <c r="M494" s="140">
        <v>2</v>
      </c>
      <c r="N494" s="140">
        <f t="shared" si="15"/>
        <v>1.75</v>
      </c>
      <c r="O494" s="140">
        <f t="shared" si="14"/>
        <v>383.875</v>
      </c>
      <c r="Q494" s="140">
        <v>901</v>
      </c>
    </row>
    <row r="495" spans="12:17" x14ac:dyDescent="0.35">
      <c r="L495" s="140">
        <v>493</v>
      </c>
      <c r="M495" s="140">
        <v>1</v>
      </c>
      <c r="N495" s="140">
        <f t="shared" si="15"/>
        <v>1.375</v>
      </c>
      <c r="O495" s="140">
        <f t="shared" si="14"/>
        <v>383.875</v>
      </c>
      <c r="Q495" s="140">
        <v>910</v>
      </c>
    </row>
    <row r="496" spans="12:17" x14ac:dyDescent="0.35">
      <c r="L496" s="140">
        <v>494</v>
      </c>
      <c r="M496" s="140">
        <v>0</v>
      </c>
      <c r="N496" s="140">
        <f t="shared" si="15"/>
        <v>1.125</v>
      </c>
      <c r="O496" s="140">
        <f t="shared" si="14"/>
        <v>383.875</v>
      </c>
      <c r="Q496" s="140">
        <v>953</v>
      </c>
    </row>
    <row r="497" spans="12:17" x14ac:dyDescent="0.35">
      <c r="L497" s="140">
        <v>495</v>
      </c>
      <c r="M497" s="140">
        <v>0</v>
      </c>
      <c r="N497" s="140">
        <f t="shared" si="15"/>
        <v>1.25</v>
      </c>
      <c r="O497" s="140">
        <f t="shared" si="14"/>
        <v>383.875</v>
      </c>
      <c r="Q497" s="140">
        <v>982</v>
      </c>
    </row>
    <row r="498" spans="12:17" x14ac:dyDescent="0.35">
      <c r="L498" s="140">
        <v>496</v>
      </c>
      <c r="M498" s="140">
        <v>3</v>
      </c>
      <c r="N498" s="140">
        <f t="shared" si="15"/>
        <v>1</v>
      </c>
      <c r="O498" s="140">
        <f t="shared" si="14"/>
        <v>383.875</v>
      </c>
      <c r="Q498" s="140">
        <v>932</v>
      </c>
    </row>
    <row r="499" spans="12:17" x14ac:dyDescent="0.35">
      <c r="L499" s="140">
        <v>497</v>
      </c>
      <c r="M499" s="140">
        <v>1</v>
      </c>
      <c r="N499" s="140">
        <f t="shared" si="15"/>
        <v>1.125</v>
      </c>
      <c r="O499" s="140">
        <f t="shared" si="14"/>
        <v>383.875</v>
      </c>
      <c r="Q499" s="140">
        <v>915</v>
      </c>
    </row>
    <row r="500" spans="12:17" x14ac:dyDescent="0.35">
      <c r="L500" s="140">
        <v>498</v>
      </c>
      <c r="M500" s="140">
        <v>1</v>
      </c>
      <c r="N500" s="140">
        <f t="shared" si="15"/>
        <v>1.25</v>
      </c>
      <c r="O500" s="140">
        <f t="shared" si="14"/>
        <v>383.875</v>
      </c>
      <c r="Q500" s="140">
        <v>954</v>
      </c>
    </row>
    <row r="501" spans="12:17" x14ac:dyDescent="0.35">
      <c r="L501" s="140">
        <v>499</v>
      </c>
      <c r="M501" s="140">
        <v>2</v>
      </c>
      <c r="N501" s="140">
        <f t="shared" si="15"/>
        <v>1.25</v>
      </c>
      <c r="O501" s="140">
        <f t="shared" si="14"/>
        <v>383.875</v>
      </c>
      <c r="Q501" s="140">
        <v>960</v>
      </c>
    </row>
    <row r="502" spans="12:17" x14ac:dyDescent="0.35">
      <c r="L502" s="140">
        <v>500</v>
      </c>
      <c r="M502" s="140">
        <v>0</v>
      </c>
      <c r="N502" s="140">
        <f t="shared" si="15"/>
        <v>0.875</v>
      </c>
      <c r="O502" s="140">
        <f t="shared" si="14"/>
        <v>383.875</v>
      </c>
      <c r="Q502" s="140">
        <v>948</v>
      </c>
    </row>
    <row r="503" spans="12:17" x14ac:dyDescent="0.35">
      <c r="L503" s="140">
        <v>501</v>
      </c>
      <c r="M503" s="140">
        <v>2</v>
      </c>
      <c r="N503" s="140">
        <f t="shared" si="15"/>
        <v>0.75</v>
      </c>
      <c r="O503" s="140">
        <f t="shared" si="14"/>
        <v>383.875</v>
      </c>
      <c r="Q503" s="140">
        <v>942</v>
      </c>
    </row>
    <row r="504" spans="12:17" x14ac:dyDescent="0.35">
      <c r="L504" s="140">
        <v>502</v>
      </c>
      <c r="M504" s="140">
        <v>1</v>
      </c>
      <c r="N504" s="140">
        <f t="shared" si="15"/>
        <v>0.875</v>
      </c>
      <c r="O504" s="140">
        <f t="shared" si="14"/>
        <v>383.875</v>
      </c>
      <c r="Q504" s="140">
        <v>909</v>
      </c>
    </row>
    <row r="505" spans="12:17" x14ac:dyDescent="0.35">
      <c r="L505" s="140">
        <v>503</v>
      </c>
      <c r="M505" s="140">
        <v>0</v>
      </c>
      <c r="N505" s="140">
        <f t="shared" si="15"/>
        <v>0.75</v>
      </c>
      <c r="O505" s="140">
        <f t="shared" si="14"/>
        <v>383.875</v>
      </c>
      <c r="Q505" s="140">
        <v>988</v>
      </c>
    </row>
    <row r="506" spans="12:17" x14ac:dyDescent="0.35">
      <c r="L506" s="140">
        <v>504</v>
      </c>
      <c r="M506" s="140">
        <v>0</v>
      </c>
      <c r="N506" s="140">
        <f t="shared" si="15"/>
        <v>0.75</v>
      </c>
      <c r="O506" s="140">
        <f t="shared" si="14"/>
        <v>383.875</v>
      </c>
      <c r="Q506" s="140">
        <v>908</v>
      </c>
    </row>
    <row r="507" spans="12:17" x14ac:dyDescent="0.35">
      <c r="L507" s="140">
        <v>505</v>
      </c>
      <c r="M507" s="140">
        <v>0</v>
      </c>
      <c r="N507" s="140">
        <f t="shared" si="15"/>
        <v>0.875</v>
      </c>
      <c r="O507" s="140">
        <f t="shared" si="14"/>
        <v>383.875</v>
      </c>
      <c r="Q507" s="140">
        <v>941</v>
      </c>
    </row>
    <row r="508" spans="12:17" x14ac:dyDescent="0.35">
      <c r="L508" s="140">
        <v>506</v>
      </c>
      <c r="M508" s="140">
        <v>2</v>
      </c>
      <c r="N508" s="140">
        <f t="shared" si="15"/>
        <v>0.75</v>
      </c>
      <c r="O508" s="140">
        <f t="shared" si="14"/>
        <v>383.875</v>
      </c>
      <c r="Q508" s="140">
        <v>924</v>
      </c>
    </row>
    <row r="509" spans="12:17" x14ac:dyDescent="0.35">
      <c r="L509" s="140">
        <v>507</v>
      </c>
      <c r="M509" s="140">
        <v>1</v>
      </c>
      <c r="N509" s="140">
        <f t="shared" si="15"/>
        <v>0.75</v>
      </c>
      <c r="O509" s="140">
        <f t="shared" si="14"/>
        <v>383.875</v>
      </c>
      <c r="Q509" s="140">
        <v>893</v>
      </c>
    </row>
    <row r="510" spans="12:17" x14ac:dyDescent="0.35">
      <c r="L510" s="140">
        <v>508</v>
      </c>
      <c r="M510" s="140">
        <v>0</v>
      </c>
      <c r="N510" s="140">
        <f t="shared" si="15"/>
        <v>0.875</v>
      </c>
      <c r="O510" s="140">
        <f t="shared" si="14"/>
        <v>383.875</v>
      </c>
      <c r="Q510" s="140">
        <v>904</v>
      </c>
    </row>
    <row r="511" spans="12:17" x14ac:dyDescent="0.35">
      <c r="L511" s="140">
        <v>509</v>
      </c>
      <c r="M511" s="140">
        <v>3</v>
      </c>
      <c r="N511" s="140">
        <f t="shared" si="15"/>
        <v>1.125</v>
      </c>
      <c r="O511" s="140">
        <f t="shared" si="14"/>
        <v>383.875</v>
      </c>
      <c r="Q511" s="140">
        <v>901</v>
      </c>
    </row>
    <row r="512" spans="12:17" x14ac:dyDescent="0.35">
      <c r="L512" s="140">
        <v>510</v>
      </c>
      <c r="M512" s="140">
        <v>0</v>
      </c>
      <c r="N512" s="140">
        <f t="shared" si="15"/>
        <v>1</v>
      </c>
      <c r="O512" s="140">
        <f t="shared" si="14"/>
        <v>383.875</v>
      </c>
      <c r="Q512" s="140">
        <v>847</v>
      </c>
    </row>
    <row r="513" spans="12:17" x14ac:dyDescent="0.35">
      <c r="L513" s="140">
        <v>511</v>
      </c>
      <c r="M513" s="140">
        <v>0</v>
      </c>
      <c r="N513" s="140">
        <f t="shared" si="15"/>
        <v>0.875</v>
      </c>
      <c r="O513" s="140">
        <f t="shared" si="14"/>
        <v>383.875</v>
      </c>
      <c r="Q513" s="140">
        <v>875</v>
      </c>
    </row>
    <row r="514" spans="12:17" x14ac:dyDescent="0.35">
      <c r="L514" s="140">
        <v>512</v>
      </c>
      <c r="M514" s="140">
        <v>1</v>
      </c>
      <c r="N514" s="140">
        <f t="shared" si="15"/>
        <v>0.875</v>
      </c>
      <c r="O514" s="140">
        <f t="shared" ref="O514:O577" si="16">MAX($A$35)/2</f>
        <v>383.875</v>
      </c>
      <c r="Q514" s="140">
        <v>838</v>
      </c>
    </row>
    <row r="515" spans="12:17" x14ac:dyDescent="0.35">
      <c r="L515" s="140">
        <v>513</v>
      </c>
      <c r="M515" s="140">
        <v>2</v>
      </c>
      <c r="N515" s="140">
        <f t="shared" si="15"/>
        <v>0.625</v>
      </c>
      <c r="O515" s="140">
        <f t="shared" si="16"/>
        <v>383.875</v>
      </c>
      <c r="Q515" s="140">
        <v>837</v>
      </c>
    </row>
    <row r="516" spans="12:17" x14ac:dyDescent="0.35">
      <c r="L516" s="140">
        <v>514</v>
      </c>
      <c r="M516" s="140">
        <v>1</v>
      </c>
      <c r="N516" s="140">
        <f t="shared" si="15"/>
        <v>0.625</v>
      </c>
      <c r="O516" s="140">
        <f t="shared" si="16"/>
        <v>383.875</v>
      </c>
      <c r="Q516" s="140">
        <v>856</v>
      </c>
    </row>
    <row r="517" spans="12:17" x14ac:dyDescent="0.35">
      <c r="L517" s="140">
        <v>515</v>
      </c>
      <c r="M517" s="140">
        <v>0</v>
      </c>
      <c r="N517" s="140">
        <f t="shared" ref="N517:N580" si="17">AVERAGE(M514:M521)</f>
        <v>0.875</v>
      </c>
      <c r="O517" s="140">
        <f t="shared" si="16"/>
        <v>383.875</v>
      </c>
      <c r="Q517" s="140">
        <v>810</v>
      </c>
    </row>
    <row r="518" spans="12:17" x14ac:dyDescent="0.35">
      <c r="L518" s="140">
        <v>516</v>
      </c>
      <c r="M518" s="140">
        <v>0</v>
      </c>
      <c r="N518" s="140">
        <f t="shared" si="17"/>
        <v>0.75</v>
      </c>
      <c r="O518" s="140">
        <f t="shared" si="16"/>
        <v>383.875</v>
      </c>
      <c r="Q518" s="140">
        <v>872</v>
      </c>
    </row>
    <row r="519" spans="12:17" x14ac:dyDescent="0.35">
      <c r="L519" s="140">
        <v>517</v>
      </c>
      <c r="M519" s="140">
        <v>1</v>
      </c>
      <c r="N519" s="140">
        <f t="shared" si="17"/>
        <v>0.875</v>
      </c>
      <c r="O519" s="140">
        <f t="shared" si="16"/>
        <v>383.875</v>
      </c>
      <c r="Q519" s="140">
        <v>817</v>
      </c>
    </row>
    <row r="520" spans="12:17" x14ac:dyDescent="0.35">
      <c r="L520" s="140">
        <v>518</v>
      </c>
      <c r="M520" s="140">
        <v>0</v>
      </c>
      <c r="N520" s="140">
        <f t="shared" si="17"/>
        <v>0.875</v>
      </c>
      <c r="O520" s="140">
        <f t="shared" si="16"/>
        <v>383.875</v>
      </c>
      <c r="Q520" s="140">
        <v>857</v>
      </c>
    </row>
    <row r="521" spans="12:17" x14ac:dyDescent="0.35">
      <c r="L521" s="140">
        <v>519</v>
      </c>
      <c r="M521" s="140">
        <v>2</v>
      </c>
      <c r="N521" s="140">
        <f t="shared" si="17"/>
        <v>0.875</v>
      </c>
      <c r="O521" s="140">
        <f t="shared" si="16"/>
        <v>383.875</v>
      </c>
      <c r="Q521" s="140">
        <v>786</v>
      </c>
    </row>
    <row r="522" spans="12:17" x14ac:dyDescent="0.35">
      <c r="L522" s="140">
        <v>520</v>
      </c>
      <c r="M522" s="140">
        <v>0</v>
      </c>
      <c r="N522" s="140">
        <f t="shared" si="17"/>
        <v>1</v>
      </c>
      <c r="O522" s="140">
        <f t="shared" si="16"/>
        <v>383.875</v>
      </c>
      <c r="Q522" s="140">
        <v>826</v>
      </c>
    </row>
    <row r="523" spans="12:17" x14ac:dyDescent="0.35">
      <c r="L523" s="140">
        <v>521</v>
      </c>
      <c r="M523" s="140">
        <v>3</v>
      </c>
      <c r="N523" s="140">
        <f t="shared" si="17"/>
        <v>1</v>
      </c>
      <c r="O523" s="140">
        <f t="shared" si="16"/>
        <v>383.875</v>
      </c>
      <c r="Q523" s="140">
        <v>799</v>
      </c>
    </row>
    <row r="524" spans="12:17" x14ac:dyDescent="0.35">
      <c r="L524" s="140">
        <v>522</v>
      </c>
      <c r="M524" s="140">
        <v>1</v>
      </c>
      <c r="N524" s="140">
        <f t="shared" si="17"/>
        <v>1</v>
      </c>
      <c r="O524" s="140">
        <f t="shared" si="16"/>
        <v>383.875</v>
      </c>
      <c r="Q524" s="140">
        <v>811</v>
      </c>
    </row>
    <row r="525" spans="12:17" x14ac:dyDescent="0.35">
      <c r="L525" s="140">
        <v>523</v>
      </c>
      <c r="M525" s="140">
        <v>0</v>
      </c>
      <c r="N525" s="140">
        <f t="shared" si="17"/>
        <v>0.75</v>
      </c>
      <c r="O525" s="140">
        <f t="shared" si="16"/>
        <v>383.875</v>
      </c>
      <c r="Q525" s="140">
        <v>837</v>
      </c>
    </row>
    <row r="526" spans="12:17" x14ac:dyDescent="0.35">
      <c r="L526" s="140">
        <v>524</v>
      </c>
      <c r="M526" s="140">
        <v>1</v>
      </c>
      <c r="N526" s="140">
        <f t="shared" si="17"/>
        <v>0.75</v>
      </c>
      <c r="O526" s="140">
        <f t="shared" si="16"/>
        <v>383.875</v>
      </c>
      <c r="Q526" s="140">
        <v>821</v>
      </c>
    </row>
    <row r="527" spans="12:17" x14ac:dyDescent="0.35">
      <c r="L527" s="140">
        <v>525</v>
      </c>
      <c r="M527" s="140">
        <v>1</v>
      </c>
      <c r="N527" s="140">
        <f t="shared" si="17"/>
        <v>0.5</v>
      </c>
      <c r="O527" s="140">
        <f t="shared" si="16"/>
        <v>383.875</v>
      </c>
      <c r="Q527" s="140">
        <v>757</v>
      </c>
    </row>
    <row r="528" spans="12:17" x14ac:dyDescent="0.35">
      <c r="L528" s="140">
        <v>526</v>
      </c>
      <c r="M528" s="140">
        <v>0</v>
      </c>
      <c r="N528" s="140">
        <f t="shared" si="17"/>
        <v>0.375</v>
      </c>
      <c r="O528" s="140">
        <f t="shared" si="16"/>
        <v>383.875</v>
      </c>
      <c r="Q528" s="140">
        <v>824</v>
      </c>
    </row>
    <row r="529" spans="12:17" x14ac:dyDescent="0.35">
      <c r="L529" s="140">
        <v>527</v>
      </c>
      <c r="M529" s="140">
        <v>0</v>
      </c>
      <c r="N529" s="140">
        <f t="shared" si="17"/>
        <v>0.375</v>
      </c>
      <c r="O529" s="140">
        <f t="shared" si="16"/>
        <v>383.875</v>
      </c>
      <c r="Q529" s="140">
        <v>806</v>
      </c>
    </row>
    <row r="530" spans="12:17" x14ac:dyDescent="0.35">
      <c r="L530" s="140">
        <v>528</v>
      </c>
      <c r="M530" s="140">
        <v>0</v>
      </c>
      <c r="N530" s="140">
        <f t="shared" si="17"/>
        <v>0.5</v>
      </c>
      <c r="O530" s="140">
        <f t="shared" si="16"/>
        <v>383.875</v>
      </c>
      <c r="Q530" s="140">
        <v>739</v>
      </c>
    </row>
    <row r="531" spans="12:17" x14ac:dyDescent="0.35">
      <c r="L531" s="140">
        <v>529</v>
      </c>
      <c r="M531" s="140">
        <v>1</v>
      </c>
      <c r="N531" s="140">
        <f t="shared" si="17"/>
        <v>0.375</v>
      </c>
      <c r="O531" s="140">
        <f t="shared" si="16"/>
        <v>383.875</v>
      </c>
      <c r="Q531" s="140">
        <v>777</v>
      </c>
    </row>
    <row r="532" spans="12:17" x14ac:dyDescent="0.35">
      <c r="L532" s="140">
        <v>530</v>
      </c>
      <c r="M532" s="140">
        <v>0</v>
      </c>
      <c r="N532" s="140">
        <f t="shared" si="17"/>
        <v>0.375</v>
      </c>
      <c r="O532" s="140">
        <f t="shared" si="16"/>
        <v>383.875</v>
      </c>
      <c r="Q532" s="140">
        <v>729</v>
      </c>
    </row>
    <row r="533" spans="12:17" x14ac:dyDescent="0.35">
      <c r="L533" s="140">
        <v>531</v>
      </c>
      <c r="M533" s="140">
        <v>0</v>
      </c>
      <c r="N533" s="140">
        <f t="shared" si="17"/>
        <v>0.625</v>
      </c>
      <c r="O533" s="140">
        <f t="shared" si="16"/>
        <v>383.875</v>
      </c>
      <c r="Q533" s="140">
        <v>767</v>
      </c>
    </row>
    <row r="534" spans="12:17" x14ac:dyDescent="0.35">
      <c r="L534" s="140">
        <v>532</v>
      </c>
      <c r="M534" s="140">
        <v>2</v>
      </c>
      <c r="N534" s="140">
        <f t="shared" si="17"/>
        <v>0.625</v>
      </c>
      <c r="O534" s="140">
        <f t="shared" si="16"/>
        <v>383.875</v>
      </c>
      <c r="Q534" s="140">
        <v>708</v>
      </c>
    </row>
    <row r="535" spans="12:17" x14ac:dyDescent="0.35">
      <c r="L535" s="140">
        <v>533</v>
      </c>
      <c r="M535" s="140">
        <v>0</v>
      </c>
      <c r="N535" s="140">
        <f t="shared" si="17"/>
        <v>0.625</v>
      </c>
      <c r="O535" s="140">
        <f t="shared" si="16"/>
        <v>383.875</v>
      </c>
      <c r="Q535" s="140">
        <v>722</v>
      </c>
    </row>
    <row r="536" spans="12:17" x14ac:dyDescent="0.35">
      <c r="L536" s="140">
        <v>534</v>
      </c>
      <c r="M536" s="140">
        <v>0</v>
      </c>
      <c r="N536" s="140">
        <f t="shared" si="17"/>
        <v>0.625</v>
      </c>
      <c r="O536" s="140">
        <f t="shared" si="16"/>
        <v>383.875</v>
      </c>
      <c r="Q536" s="140">
        <v>706</v>
      </c>
    </row>
    <row r="537" spans="12:17" x14ac:dyDescent="0.35">
      <c r="L537" s="140">
        <v>535</v>
      </c>
      <c r="M537" s="140">
        <v>2</v>
      </c>
      <c r="N537" s="140">
        <f t="shared" si="17"/>
        <v>0.75</v>
      </c>
      <c r="O537" s="140">
        <f t="shared" si="16"/>
        <v>383.875</v>
      </c>
      <c r="Q537" s="140">
        <v>706</v>
      </c>
    </row>
    <row r="538" spans="12:17" x14ac:dyDescent="0.35">
      <c r="L538" s="140">
        <v>536</v>
      </c>
      <c r="M538" s="140">
        <v>0</v>
      </c>
      <c r="N538" s="140">
        <f t="shared" si="17"/>
        <v>0.5</v>
      </c>
      <c r="O538" s="140">
        <f t="shared" si="16"/>
        <v>383.875</v>
      </c>
      <c r="Q538" s="140">
        <v>715</v>
      </c>
    </row>
    <row r="539" spans="12:17" x14ac:dyDescent="0.35">
      <c r="L539" s="140">
        <v>537</v>
      </c>
      <c r="M539" s="140">
        <v>1</v>
      </c>
      <c r="N539" s="140">
        <f t="shared" si="17"/>
        <v>0.625</v>
      </c>
      <c r="O539" s="140">
        <f t="shared" si="16"/>
        <v>383.875</v>
      </c>
      <c r="Q539" s="140">
        <v>687</v>
      </c>
    </row>
    <row r="540" spans="12:17" x14ac:dyDescent="0.35">
      <c r="L540" s="140">
        <v>538</v>
      </c>
      <c r="M540" s="140">
        <v>0</v>
      </c>
      <c r="N540" s="140">
        <f t="shared" si="17"/>
        <v>0.625</v>
      </c>
      <c r="O540" s="140">
        <f t="shared" si="16"/>
        <v>383.875</v>
      </c>
      <c r="Q540" s="140">
        <v>695</v>
      </c>
    </row>
    <row r="541" spans="12:17" x14ac:dyDescent="0.35">
      <c r="L541" s="140">
        <v>539</v>
      </c>
      <c r="M541" s="140">
        <v>1</v>
      </c>
      <c r="N541" s="140">
        <f t="shared" si="17"/>
        <v>0.375</v>
      </c>
      <c r="O541" s="140">
        <f t="shared" si="16"/>
        <v>383.875</v>
      </c>
      <c r="Q541" s="140">
        <v>679</v>
      </c>
    </row>
    <row r="542" spans="12:17" x14ac:dyDescent="0.35">
      <c r="L542" s="140">
        <v>540</v>
      </c>
      <c r="M542" s="140">
        <v>0</v>
      </c>
      <c r="N542" s="140">
        <f t="shared" si="17"/>
        <v>0.375</v>
      </c>
      <c r="O542" s="140">
        <f t="shared" si="16"/>
        <v>383.875</v>
      </c>
      <c r="Q542" s="140">
        <v>643</v>
      </c>
    </row>
    <row r="543" spans="12:17" x14ac:dyDescent="0.35">
      <c r="L543" s="140">
        <v>541</v>
      </c>
      <c r="M543" s="140">
        <v>1</v>
      </c>
      <c r="N543" s="140">
        <f t="shared" si="17"/>
        <v>0.375</v>
      </c>
      <c r="O543" s="140">
        <f t="shared" si="16"/>
        <v>383.875</v>
      </c>
      <c r="Q543" s="140">
        <v>646</v>
      </c>
    </row>
    <row r="544" spans="12:17" x14ac:dyDescent="0.35">
      <c r="L544" s="140">
        <v>542</v>
      </c>
      <c r="M544" s="140">
        <v>0</v>
      </c>
      <c r="N544" s="140">
        <f t="shared" si="17"/>
        <v>0.5</v>
      </c>
      <c r="O544" s="140">
        <f t="shared" si="16"/>
        <v>383.875</v>
      </c>
      <c r="Q544" s="140">
        <v>627</v>
      </c>
    </row>
    <row r="545" spans="12:17" x14ac:dyDescent="0.35">
      <c r="L545" s="140">
        <v>543</v>
      </c>
      <c r="M545" s="140">
        <v>0</v>
      </c>
      <c r="N545" s="140">
        <f t="shared" si="17"/>
        <v>0.625</v>
      </c>
      <c r="O545" s="140">
        <f t="shared" si="16"/>
        <v>383.875</v>
      </c>
      <c r="Q545" s="140">
        <v>672</v>
      </c>
    </row>
    <row r="546" spans="12:17" x14ac:dyDescent="0.35">
      <c r="L546" s="140">
        <v>544</v>
      </c>
      <c r="M546" s="140">
        <v>0</v>
      </c>
      <c r="N546" s="140">
        <f t="shared" si="17"/>
        <v>0.625</v>
      </c>
      <c r="O546" s="140">
        <f t="shared" si="16"/>
        <v>383.875</v>
      </c>
      <c r="Q546" s="140">
        <v>660</v>
      </c>
    </row>
    <row r="547" spans="12:17" x14ac:dyDescent="0.35">
      <c r="L547" s="140">
        <v>545</v>
      </c>
      <c r="M547" s="140">
        <v>1</v>
      </c>
      <c r="N547" s="140">
        <f t="shared" si="17"/>
        <v>0.5</v>
      </c>
      <c r="O547" s="140">
        <f t="shared" si="16"/>
        <v>383.875</v>
      </c>
      <c r="Q547" s="140">
        <v>633</v>
      </c>
    </row>
    <row r="548" spans="12:17" x14ac:dyDescent="0.35">
      <c r="L548" s="140">
        <v>546</v>
      </c>
      <c r="M548" s="140">
        <v>1</v>
      </c>
      <c r="N548" s="140">
        <f t="shared" si="17"/>
        <v>0.5</v>
      </c>
      <c r="O548" s="140">
        <f t="shared" si="16"/>
        <v>383.875</v>
      </c>
      <c r="Q548" s="140">
        <v>616</v>
      </c>
    </row>
    <row r="549" spans="12:17" x14ac:dyDescent="0.35">
      <c r="L549" s="140">
        <v>547</v>
      </c>
      <c r="M549" s="140">
        <v>2</v>
      </c>
      <c r="N549" s="140">
        <f t="shared" si="17"/>
        <v>0.5</v>
      </c>
      <c r="O549" s="140">
        <f t="shared" si="16"/>
        <v>383.875</v>
      </c>
      <c r="Q549" s="140">
        <v>626</v>
      </c>
    </row>
    <row r="550" spans="12:17" x14ac:dyDescent="0.35">
      <c r="L550" s="140">
        <v>548</v>
      </c>
      <c r="M550" s="140">
        <v>0</v>
      </c>
      <c r="N550" s="140">
        <f t="shared" si="17"/>
        <v>0.5</v>
      </c>
      <c r="O550" s="140">
        <f t="shared" si="16"/>
        <v>383.875</v>
      </c>
      <c r="Q550" s="140">
        <v>552</v>
      </c>
    </row>
    <row r="551" spans="12:17" x14ac:dyDescent="0.35">
      <c r="L551" s="140">
        <v>549</v>
      </c>
      <c r="M551" s="140">
        <v>0</v>
      </c>
      <c r="N551" s="140">
        <f t="shared" si="17"/>
        <v>0.5</v>
      </c>
      <c r="O551" s="140">
        <f t="shared" si="16"/>
        <v>383.875</v>
      </c>
      <c r="Q551" s="140">
        <v>611</v>
      </c>
    </row>
    <row r="552" spans="12:17" x14ac:dyDescent="0.35">
      <c r="L552" s="140">
        <v>550</v>
      </c>
      <c r="M552" s="140">
        <v>0</v>
      </c>
      <c r="N552" s="140">
        <f t="shared" si="17"/>
        <v>0.375</v>
      </c>
      <c r="O552" s="140">
        <f t="shared" si="16"/>
        <v>383.875</v>
      </c>
      <c r="Q552" s="140">
        <v>589</v>
      </c>
    </row>
    <row r="553" spans="12:17" x14ac:dyDescent="0.35">
      <c r="L553" s="140">
        <v>551</v>
      </c>
      <c r="M553" s="140">
        <v>0</v>
      </c>
      <c r="N553" s="140">
        <f t="shared" si="17"/>
        <v>0.125</v>
      </c>
      <c r="O553" s="140">
        <f t="shared" si="16"/>
        <v>383.875</v>
      </c>
      <c r="Q553" s="140">
        <v>551</v>
      </c>
    </row>
    <row r="554" spans="12:17" x14ac:dyDescent="0.35">
      <c r="L554" s="140">
        <v>552</v>
      </c>
      <c r="M554" s="140">
        <v>0</v>
      </c>
      <c r="N554" s="140">
        <f t="shared" si="17"/>
        <v>0.25</v>
      </c>
      <c r="O554" s="140">
        <f t="shared" si="16"/>
        <v>383.875</v>
      </c>
      <c r="Q554" s="140">
        <v>607</v>
      </c>
    </row>
    <row r="555" spans="12:17" x14ac:dyDescent="0.35">
      <c r="L555" s="140">
        <v>553</v>
      </c>
      <c r="M555" s="140">
        <v>1</v>
      </c>
      <c r="N555" s="140">
        <f t="shared" si="17"/>
        <v>0.25</v>
      </c>
      <c r="O555" s="140">
        <f t="shared" si="16"/>
        <v>383.875</v>
      </c>
      <c r="Q555" s="140">
        <v>537</v>
      </c>
    </row>
    <row r="556" spans="12:17" x14ac:dyDescent="0.35">
      <c r="L556" s="140">
        <v>554</v>
      </c>
      <c r="M556" s="140">
        <v>0</v>
      </c>
      <c r="N556" s="140">
        <f t="shared" si="17"/>
        <v>0.625</v>
      </c>
      <c r="O556" s="140">
        <f t="shared" si="16"/>
        <v>383.875</v>
      </c>
      <c r="Q556" s="140">
        <v>612</v>
      </c>
    </row>
    <row r="557" spans="12:17" x14ac:dyDescent="0.35">
      <c r="L557" s="140">
        <v>555</v>
      </c>
      <c r="M557" s="140">
        <v>0</v>
      </c>
      <c r="N557" s="140">
        <f t="shared" si="17"/>
        <v>0.75</v>
      </c>
      <c r="O557" s="140">
        <f t="shared" si="16"/>
        <v>383.875</v>
      </c>
      <c r="Q557" s="140">
        <v>557</v>
      </c>
    </row>
    <row r="558" spans="12:17" x14ac:dyDescent="0.35">
      <c r="L558" s="140">
        <v>556</v>
      </c>
      <c r="M558" s="140">
        <v>1</v>
      </c>
      <c r="N558" s="140">
        <f t="shared" si="17"/>
        <v>0.875</v>
      </c>
      <c r="O558" s="140">
        <f t="shared" si="16"/>
        <v>383.875</v>
      </c>
      <c r="Q558" s="140">
        <v>557</v>
      </c>
    </row>
    <row r="559" spans="12:17" x14ac:dyDescent="0.35">
      <c r="L559" s="140">
        <v>557</v>
      </c>
      <c r="M559" s="140">
        <v>0</v>
      </c>
      <c r="N559" s="140">
        <f t="shared" si="17"/>
        <v>0.875</v>
      </c>
      <c r="O559" s="140">
        <f t="shared" si="16"/>
        <v>383.875</v>
      </c>
      <c r="Q559" s="140">
        <v>525</v>
      </c>
    </row>
    <row r="560" spans="12:17" x14ac:dyDescent="0.35">
      <c r="L560" s="140">
        <v>558</v>
      </c>
      <c r="M560" s="140">
        <v>3</v>
      </c>
      <c r="N560" s="140">
        <f t="shared" si="17"/>
        <v>0.875</v>
      </c>
      <c r="O560" s="140">
        <f t="shared" si="16"/>
        <v>383.875</v>
      </c>
      <c r="Q560" s="140">
        <v>500</v>
      </c>
    </row>
    <row r="561" spans="12:17" x14ac:dyDescent="0.35">
      <c r="L561" s="140">
        <v>559</v>
      </c>
      <c r="M561" s="140">
        <v>1</v>
      </c>
      <c r="N561" s="140">
        <f t="shared" si="17"/>
        <v>0.875</v>
      </c>
      <c r="O561" s="140">
        <f t="shared" si="16"/>
        <v>383.875</v>
      </c>
      <c r="Q561" s="140">
        <v>507</v>
      </c>
    </row>
    <row r="562" spans="12:17" x14ac:dyDescent="0.35">
      <c r="L562" s="140">
        <v>560</v>
      </c>
      <c r="M562" s="140">
        <v>1</v>
      </c>
      <c r="N562" s="140">
        <f t="shared" si="17"/>
        <v>0.75</v>
      </c>
      <c r="O562" s="140">
        <f t="shared" si="16"/>
        <v>383.875</v>
      </c>
      <c r="Q562" s="140">
        <v>475</v>
      </c>
    </row>
    <row r="563" spans="12:17" x14ac:dyDescent="0.35">
      <c r="L563" s="140">
        <v>561</v>
      </c>
      <c r="M563" s="140">
        <v>1</v>
      </c>
      <c r="N563" s="140">
        <f t="shared" si="17"/>
        <v>0.75</v>
      </c>
      <c r="O563" s="140">
        <f t="shared" si="16"/>
        <v>383.875</v>
      </c>
      <c r="Q563" s="140">
        <v>523</v>
      </c>
    </row>
    <row r="564" spans="12:17" x14ac:dyDescent="0.35">
      <c r="L564" s="140">
        <v>562</v>
      </c>
      <c r="M564" s="140">
        <v>0</v>
      </c>
      <c r="N564" s="140">
        <f t="shared" si="17"/>
        <v>0.375</v>
      </c>
      <c r="O564" s="140">
        <f t="shared" si="16"/>
        <v>383.875</v>
      </c>
      <c r="Q564" s="140">
        <v>442</v>
      </c>
    </row>
    <row r="565" spans="12:17" x14ac:dyDescent="0.35">
      <c r="L565" s="140">
        <v>563</v>
      </c>
      <c r="M565" s="140">
        <v>0</v>
      </c>
      <c r="N565" s="140">
        <f t="shared" si="17"/>
        <v>0.375</v>
      </c>
      <c r="O565" s="140">
        <f t="shared" si="16"/>
        <v>383.875</v>
      </c>
      <c r="Q565" s="140">
        <v>486</v>
      </c>
    </row>
    <row r="566" spans="12:17" x14ac:dyDescent="0.35">
      <c r="L566" s="140">
        <v>564</v>
      </c>
      <c r="M566" s="140">
        <v>0</v>
      </c>
      <c r="N566" s="140">
        <f t="shared" si="17"/>
        <v>0.25</v>
      </c>
      <c r="O566" s="140">
        <f t="shared" si="16"/>
        <v>383.875</v>
      </c>
      <c r="Q566" s="140">
        <v>447</v>
      </c>
    </row>
    <row r="567" spans="12:17" x14ac:dyDescent="0.35">
      <c r="L567" s="140">
        <v>565</v>
      </c>
      <c r="M567" s="140">
        <v>0</v>
      </c>
      <c r="N567" s="140">
        <f t="shared" si="17"/>
        <v>0.125</v>
      </c>
      <c r="O567" s="140">
        <f t="shared" si="16"/>
        <v>383.875</v>
      </c>
      <c r="Q567" s="140">
        <v>479</v>
      </c>
    </row>
    <row r="568" spans="12:17" x14ac:dyDescent="0.35">
      <c r="L568" s="140">
        <v>566</v>
      </c>
      <c r="M568" s="140">
        <v>0</v>
      </c>
      <c r="N568" s="140">
        <f t="shared" si="17"/>
        <v>0.125</v>
      </c>
      <c r="O568" s="140">
        <f t="shared" si="16"/>
        <v>383.875</v>
      </c>
      <c r="Q568" s="140">
        <v>450</v>
      </c>
    </row>
    <row r="569" spans="12:17" x14ac:dyDescent="0.35">
      <c r="L569" s="140">
        <v>567</v>
      </c>
      <c r="M569" s="140">
        <v>1</v>
      </c>
      <c r="N569" s="140">
        <f t="shared" si="17"/>
        <v>0.25</v>
      </c>
      <c r="O569" s="140">
        <f t="shared" si="16"/>
        <v>383.875</v>
      </c>
      <c r="Q569" s="140">
        <v>437</v>
      </c>
    </row>
    <row r="570" spans="12:17" x14ac:dyDescent="0.35">
      <c r="L570" s="140">
        <v>568</v>
      </c>
      <c r="M570" s="140">
        <v>0</v>
      </c>
      <c r="N570" s="140">
        <f t="shared" si="17"/>
        <v>0.5</v>
      </c>
      <c r="O570" s="140">
        <f t="shared" si="16"/>
        <v>383.875</v>
      </c>
      <c r="Q570" s="140">
        <v>420</v>
      </c>
    </row>
    <row r="571" spans="12:17" x14ac:dyDescent="0.35">
      <c r="L571" s="140">
        <v>569</v>
      </c>
      <c r="M571" s="140">
        <v>0</v>
      </c>
      <c r="N571" s="140">
        <f t="shared" si="17"/>
        <v>0.5</v>
      </c>
      <c r="O571" s="140">
        <f t="shared" si="16"/>
        <v>383.875</v>
      </c>
      <c r="Q571" s="140">
        <v>389</v>
      </c>
    </row>
    <row r="572" spans="12:17" x14ac:dyDescent="0.35">
      <c r="L572" s="140">
        <v>570</v>
      </c>
      <c r="M572" s="140">
        <v>0</v>
      </c>
      <c r="N572" s="140">
        <f t="shared" si="17"/>
        <v>0.5</v>
      </c>
      <c r="O572" s="140">
        <f t="shared" si="16"/>
        <v>383.875</v>
      </c>
      <c r="Q572" s="140">
        <v>442</v>
      </c>
    </row>
    <row r="573" spans="12:17" x14ac:dyDescent="0.35">
      <c r="L573" s="140">
        <v>571</v>
      </c>
      <c r="M573" s="140">
        <v>1</v>
      </c>
      <c r="N573" s="140">
        <f t="shared" si="17"/>
        <v>0.375</v>
      </c>
      <c r="O573" s="140">
        <f t="shared" si="16"/>
        <v>383.875</v>
      </c>
      <c r="Q573" s="140">
        <v>402</v>
      </c>
    </row>
    <row r="574" spans="12:17" x14ac:dyDescent="0.35">
      <c r="L574" s="140">
        <v>572</v>
      </c>
      <c r="M574" s="140">
        <v>2</v>
      </c>
      <c r="N574" s="140">
        <f t="shared" si="17"/>
        <v>0.375</v>
      </c>
      <c r="O574" s="140">
        <f t="shared" si="16"/>
        <v>383.875</v>
      </c>
      <c r="Q574" s="140">
        <v>429</v>
      </c>
    </row>
    <row r="575" spans="12:17" x14ac:dyDescent="0.35">
      <c r="L575" s="140">
        <v>573</v>
      </c>
      <c r="M575" s="140">
        <v>0</v>
      </c>
      <c r="N575" s="140">
        <f t="shared" si="17"/>
        <v>0.5</v>
      </c>
      <c r="O575" s="140">
        <f t="shared" si="16"/>
        <v>383.875</v>
      </c>
      <c r="Q575" s="140">
        <v>385</v>
      </c>
    </row>
    <row r="576" spans="12:17" x14ac:dyDescent="0.35">
      <c r="L576" s="140">
        <v>574</v>
      </c>
      <c r="M576" s="140">
        <v>0</v>
      </c>
      <c r="N576" s="140">
        <f t="shared" si="17"/>
        <v>0.5</v>
      </c>
      <c r="O576" s="140">
        <f t="shared" si="16"/>
        <v>383.875</v>
      </c>
      <c r="Q576" s="140">
        <v>424</v>
      </c>
    </row>
    <row r="577" spans="12:17" x14ac:dyDescent="0.35">
      <c r="L577" s="140">
        <v>575</v>
      </c>
      <c r="M577" s="140">
        <v>0</v>
      </c>
      <c r="N577" s="140">
        <f t="shared" si="17"/>
        <v>0.375</v>
      </c>
      <c r="O577" s="140">
        <f t="shared" si="16"/>
        <v>383.875</v>
      </c>
      <c r="Q577" s="140">
        <v>402</v>
      </c>
    </row>
    <row r="578" spans="12:17" x14ac:dyDescent="0.35">
      <c r="L578" s="140">
        <v>576</v>
      </c>
      <c r="M578" s="140">
        <v>0</v>
      </c>
      <c r="N578" s="140">
        <f t="shared" si="17"/>
        <v>0.125</v>
      </c>
      <c r="O578" s="140">
        <f t="shared" ref="O578:O641" si="18">MAX($A$35)/2</f>
        <v>383.875</v>
      </c>
      <c r="Q578" s="140">
        <v>380</v>
      </c>
    </row>
    <row r="579" spans="12:17" x14ac:dyDescent="0.35">
      <c r="L579" s="140">
        <v>577</v>
      </c>
      <c r="M579" s="140">
        <v>1</v>
      </c>
      <c r="N579" s="140">
        <f t="shared" si="17"/>
        <v>0.125</v>
      </c>
      <c r="O579" s="140">
        <f t="shared" si="18"/>
        <v>383.875</v>
      </c>
      <c r="Q579" s="140">
        <v>385</v>
      </c>
    </row>
    <row r="580" spans="12:17" x14ac:dyDescent="0.35">
      <c r="L580" s="140">
        <v>578</v>
      </c>
      <c r="M580" s="140">
        <v>0</v>
      </c>
      <c r="N580" s="140">
        <f t="shared" si="17"/>
        <v>0.25</v>
      </c>
      <c r="O580" s="140">
        <f t="shared" si="18"/>
        <v>383.875</v>
      </c>
      <c r="Q580" s="140">
        <v>391</v>
      </c>
    </row>
    <row r="581" spans="12:17" x14ac:dyDescent="0.35">
      <c r="L581" s="140">
        <v>579</v>
      </c>
      <c r="M581" s="140">
        <v>0</v>
      </c>
      <c r="N581" s="140">
        <f t="shared" ref="N581:N644" si="19">AVERAGE(M578:M585)</f>
        <v>0.25</v>
      </c>
      <c r="O581" s="140">
        <f t="shared" si="18"/>
        <v>383.875</v>
      </c>
      <c r="Q581" s="140">
        <v>363</v>
      </c>
    </row>
    <row r="582" spans="12:17" x14ac:dyDescent="0.35">
      <c r="L582" s="140">
        <v>580</v>
      </c>
      <c r="M582" s="140">
        <v>0</v>
      </c>
      <c r="N582" s="140">
        <f t="shared" si="19"/>
        <v>0.25</v>
      </c>
      <c r="O582" s="140">
        <f t="shared" si="18"/>
        <v>383.875</v>
      </c>
      <c r="Q582" s="140">
        <v>341</v>
      </c>
    </row>
    <row r="583" spans="12:17" x14ac:dyDescent="0.35">
      <c r="L583" s="140">
        <v>581</v>
      </c>
      <c r="M583" s="140">
        <v>0</v>
      </c>
      <c r="N583" s="140">
        <f t="shared" si="19"/>
        <v>0.25</v>
      </c>
      <c r="O583" s="140">
        <f t="shared" si="18"/>
        <v>383.875</v>
      </c>
      <c r="Q583" s="140">
        <v>340</v>
      </c>
    </row>
    <row r="584" spans="12:17" x14ac:dyDescent="0.35">
      <c r="L584" s="140">
        <v>582</v>
      </c>
      <c r="M584" s="140">
        <v>1</v>
      </c>
      <c r="N584" s="140">
        <f t="shared" si="19"/>
        <v>0.5</v>
      </c>
      <c r="O584" s="140">
        <f t="shared" si="18"/>
        <v>383.875</v>
      </c>
      <c r="Q584" s="140">
        <v>345</v>
      </c>
    </row>
    <row r="585" spans="12:17" x14ac:dyDescent="0.35">
      <c r="L585" s="140">
        <v>583</v>
      </c>
      <c r="M585" s="140">
        <v>0</v>
      </c>
      <c r="N585" s="140">
        <f t="shared" si="19"/>
        <v>0.75</v>
      </c>
      <c r="O585" s="140">
        <f t="shared" si="18"/>
        <v>383.875</v>
      </c>
      <c r="Q585" s="140">
        <v>289</v>
      </c>
    </row>
    <row r="586" spans="12:17" x14ac:dyDescent="0.35">
      <c r="L586" s="140">
        <v>584</v>
      </c>
      <c r="M586" s="140">
        <v>0</v>
      </c>
      <c r="N586" s="140">
        <f t="shared" si="19"/>
        <v>0.75</v>
      </c>
      <c r="O586" s="140">
        <f t="shared" si="18"/>
        <v>383.875</v>
      </c>
      <c r="Q586" s="140">
        <v>318</v>
      </c>
    </row>
    <row r="587" spans="12:17" x14ac:dyDescent="0.35">
      <c r="L587" s="140">
        <v>585</v>
      </c>
      <c r="M587" s="140">
        <v>1</v>
      </c>
      <c r="N587" s="140">
        <f t="shared" si="19"/>
        <v>0.75</v>
      </c>
      <c r="O587" s="140">
        <f t="shared" si="18"/>
        <v>383.875</v>
      </c>
      <c r="Q587" s="140">
        <v>311</v>
      </c>
    </row>
    <row r="588" spans="12:17" x14ac:dyDescent="0.35">
      <c r="L588" s="140">
        <v>586</v>
      </c>
      <c r="M588" s="140">
        <v>2</v>
      </c>
      <c r="N588" s="140">
        <f t="shared" si="19"/>
        <v>1</v>
      </c>
      <c r="O588" s="140">
        <f t="shared" si="18"/>
        <v>383.875</v>
      </c>
      <c r="Q588" s="140">
        <v>327</v>
      </c>
    </row>
    <row r="589" spans="12:17" x14ac:dyDescent="0.35">
      <c r="L589" s="140">
        <v>587</v>
      </c>
      <c r="M589" s="140">
        <v>2</v>
      </c>
      <c r="N589" s="140">
        <f t="shared" si="19"/>
        <v>1.125</v>
      </c>
      <c r="O589" s="140">
        <f t="shared" si="18"/>
        <v>383.875</v>
      </c>
      <c r="Q589" s="140">
        <v>282</v>
      </c>
    </row>
    <row r="590" spans="12:17" x14ac:dyDescent="0.35">
      <c r="L590" s="140">
        <v>588</v>
      </c>
      <c r="M590" s="140">
        <v>0</v>
      </c>
      <c r="N590" s="140">
        <f t="shared" si="19"/>
        <v>1.125</v>
      </c>
      <c r="O590" s="140">
        <f t="shared" si="18"/>
        <v>383.875</v>
      </c>
      <c r="Q590" s="140">
        <v>295</v>
      </c>
    </row>
    <row r="591" spans="12:17" x14ac:dyDescent="0.35">
      <c r="L591" s="140">
        <v>589</v>
      </c>
      <c r="M591" s="140">
        <v>0</v>
      </c>
      <c r="N591" s="140">
        <f t="shared" si="19"/>
        <v>1.125</v>
      </c>
      <c r="O591" s="140">
        <f t="shared" si="18"/>
        <v>383.875</v>
      </c>
      <c r="Q591" s="140">
        <v>269</v>
      </c>
    </row>
    <row r="592" spans="12:17" x14ac:dyDescent="0.35">
      <c r="L592" s="140">
        <v>590</v>
      </c>
      <c r="M592" s="140">
        <v>3</v>
      </c>
      <c r="N592" s="140">
        <f t="shared" si="19"/>
        <v>0.875</v>
      </c>
      <c r="O592" s="140">
        <f t="shared" si="18"/>
        <v>383.875</v>
      </c>
      <c r="Q592" s="140">
        <v>287</v>
      </c>
    </row>
    <row r="593" spans="12:17" x14ac:dyDescent="0.35">
      <c r="L593" s="140">
        <v>591</v>
      </c>
      <c r="M593" s="140">
        <v>1</v>
      </c>
      <c r="N593" s="140">
        <f t="shared" si="19"/>
        <v>0.625</v>
      </c>
      <c r="O593" s="140">
        <f t="shared" si="18"/>
        <v>383.875</v>
      </c>
      <c r="Q593" s="140">
        <v>290</v>
      </c>
    </row>
    <row r="594" spans="12:17" x14ac:dyDescent="0.35">
      <c r="L594" s="140">
        <v>592</v>
      </c>
      <c r="M594" s="140">
        <v>0</v>
      </c>
      <c r="N594" s="140">
        <f t="shared" si="19"/>
        <v>0.75</v>
      </c>
      <c r="O594" s="140">
        <f t="shared" si="18"/>
        <v>383.875</v>
      </c>
      <c r="Q594" s="140">
        <v>268</v>
      </c>
    </row>
    <row r="595" spans="12:17" x14ac:dyDescent="0.35">
      <c r="L595" s="140">
        <v>593</v>
      </c>
      <c r="M595" s="140">
        <v>1</v>
      </c>
      <c r="N595" s="140">
        <f t="shared" si="19"/>
        <v>0.875</v>
      </c>
      <c r="O595" s="140">
        <f t="shared" si="18"/>
        <v>383.875</v>
      </c>
      <c r="Q595" s="140">
        <v>280</v>
      </c>
    </row>
    <row r="596" spans="12:17" x14ac:dyDescent="0.35">
      <c r="L596" s="140">
        <v>594</v>
      </c>
      <c r="M596" s="140">
        <v>0</v>
      </c>
      <c r="N596" s="140">
        <f t="shared" si="19"/>
        <v>0.5</v>
      </c>
      <c r="O596" s="140">
        <f t="shared" si="18"/>
        <v>383.875</v>
      </c>
      <c r="Q596" s="140">
        <v>263</v>
      </c>
    </row>
    <row r="597" spans="12:17" x14ac:dyDescent="0.35">
      <c r="L597" s="140">
        <v>595</v>
      </c>
      <c r="M597" s="140">
        <v>0</v>
      </c>
      <c r="N597" s="140">
        <f t="shared" si="19"/>
        <v>0.375</v>
      </c>
      <c r="O597" s="140">
        <f t="shared" si="18"/>
        <v>383.875</v>
      </c>
      <c r="Q597" s="140">
        <v>237</v>
      </c>
    </row>
    <row r="598" spans="12:17" x14ac:dyDescent="0.35">
      <c r="L598" s="140">
        <v>596</v>
      </c>
      <c r="M598" s="140">
        <v>1</v>
      </c>
      <c r="N598" s="140">
        <f t="shared" si="19"/>
        <v>0.375</v>
      </c>
      <c r="O598" s="140">
        <f t="shared" si="18"/>
        <v>383.875</v>
      </c>
      <c r="Q598" s="140">
        <v>233</v>
      </c>
    </row>
    <row r="599" spans="12:17" x14ac:dyDescent="0.35">
      <c r="L599" s="140">
        <v>597</v>
      </c>
      <c r="M599" s="140">
        <v>1</v>
      </c>
      <c r="N599" s="140">
        <f t="shared" si="19"/>
        <v>0.25</v>
      </c>
      <c r="O599" s="140">
        <f t="shared" si="18"/>
        <v>383.875</v>
      </c>
      <c r="Q599" s="140">
        <v>229</v>
      </c>
    </row>
    <row r="600" spans="12:17" x14ac:dyDescent="0.35">
      <c r="L600" s="140">
        <v>598</v>
      </c>
      <c r="M600" s="140">
        <v>0</v>
      </c>
      <c r="N600" s="140">
        <f t="shared" si="19"/>
        <v>0.25</v>
      </c>
      <c r="O600" s="140">
        <f t="shared" si="18"/>
        <v>383.875</v>
      </c>
      <c r="Q600" s="140">
        <v>230</v>
      </c>
    </row>
    <row r="601" spans="12:17" x14ac:dyDescent="0.35">
      <c r="L601" s="140">
        <v>599</v>
      </c>
      <c r="M601" s="140">
        <v>0</v>
      </c>
      <c r="N601" s="140">
        <f t="shared" si="19"/>
        <v>0.375</v>
      </c>
      <c r="O601" s="140">
        <f t="shared" si="18"/>
        <v>383.875</v>
      </c>
      <c r="Q601" s="140">
        <v>235</v>
      </c>
    </row>
    <row r="602" spans="12:17" x14ac:dyDescent="0.35">
      <c r="L602" s="140">
        <v>600</v>
      </c>
      <c r="M602" s="140">
        <v>0</v>
      </c>
      <c r="N602" s="140">
        <f t="shared" si="19"/>
        <v>0.375</v>
      </c>
      <c r="O602" s="140">
        <f t="shared" si="18"/>
        <v>383.875</v>
      </c>
      <c r="Q602" s="140">
        <v>230</v>
      </c>
    </row>
    <row r="603" spans="12:17" x14ac:dyDescent="0.35">
      <c r="L603" s="140">
        <v>601</v>
      </c>
      <c r="M603" s="140">
        <v>0</v>
      </c>
      <c r="N603" s="140">
        <f t="shared" si="19"/>
        <v>0.25</v>
      </c>
      <c r="O603" s="140">
        <f t="shared" si="18"/>
        <v>383.875</v>
      </c>
      <c r="Q603" s="140">
        <v>227</v>
      </c>
    </row>
    <row r="604" spans="12:17" x14ac:dyDescent="0.35">
      <c r="L604" s="140">
        <v>602</v>
      </c>
      <c r="M604" s="140">
        <v>0</v>
      </c>
      <c r="N604" s="140">
        <f t="shared" si="19"/>
        <v>0.375</v>
      </c>
      <c r="O604" s="140">
        <f t="shared" si="18"/>
        <v>383.875</v>
      </c>
      <c r="Q604" s="140">
        <v>191</v>
      </c>
    </row>
    <row r="605" spans="12:17" x14ac:dyDescent="0.35">
      <c r="L605" s="140">
        <v>603</v>
      </c>
      <c r="M605" s="140">
        <v>1</v>
      </c>
      <c r="N605" s="140">
        <f t="shared" si="19"/>
        <v>0.5</v>
      </c>
      <c r="O605" s="140">
        <f t="shared" si="18"/>
        <v>383.875</v>
      </c>
      <c r="Q605" s="140">
        <v>206</v>
      </c>
    </row>
    <row r="606" spans="12:17" x14ac:dyDescent="0.35">
      <c r="L606" s="140">
        <v>604</v>
      </c>
      <c r="M606" s="140">
        <v>1</v>
      </c>
      <c r="N606" s="140">
        <f t="shared" si="19"/>
        <v>0.5</v>
      </c>
      <c r="O606" s="140">
        <f t="shared" si="18"/>
        <v>383.875</v>
      </c>
      <c r="Q606" s="140">
        <v>190</v>
      </c>
    </row>
    <row r="607" spans="12:17" x14ac:dyDescent="0.35">
      <c r="L607" s="140">
        <v>605</v>
      </c>
      <c r="M607" s="140">
        <v>0</v>
      </c>
      <c r="N607" s="140">
        <f t="shared" si="19"/>
        <v>0.625</v>
      </c>
      <c r="O607" s="140">
        <f t="shared" si="18"/>
        <v>383.875</v>
      </c>
      <c r="Q607" s="140">
        <v>157</v>
      </c>
    </row>
    <row r="608" spans="12:17" x14ac:dyDescent="0.35">
      <c r="L608" s="140">
        <v>606</v>
      </c>
      <c r="M608" s="140">
        <v>1</v>
      </c>
      <c r="N608" s="140">
        <f t="shared" si="19"/>
        <v>0.625</v>
      </c>
      <c r="O608" s="140">
        <f t="shared" si="18"/>
        <v>383.875</v>
      </c>
      <c r="Q608" s="140">
        <v>175</v>
      </c>
    </row>
    <row r="609" spans="12:17" x14ac:dyDescent="0.35">
      <c r="L609" s="140">
        <v>607</v>
      </c>
      <c r="M609" s="140">
        <v>1</v>
      </c>
      <c r="N609" s="140">
        <f t="shared" si="19"/>
        <v>0.75</v>
      </c>
      <c r="O609" s="140">
        <f t="shared" si="18"/>
        <v>383.875</v>
      </c>
      <c r="Q609" s="140">
        <v>190</v>
      </c>
    </row>
    <row r="610" spans="12:17" x14ac:dyDescent="0.35">
      <c r="L610" s="140">
        <v>608</v>
      </c>
      <c r="M610" s="140">
        <v>0</v>
      </c>
      <c r="N610" s="140">
        <f t="shared" si="19"/>
        <v>0.625</v>
      </c>
      <c r="O610" s="140">
        <f t="shared" si="18"/>
        <v>383.875</v>
      </c>
      <c r="Q610" s="140">
        <v>181</v>
      </c>
    </row>
    <row r="611" spans="12:17" x14ac:dyDescent="0.35">
      <c r="L611" s="140">
        <v>609</v>
      </c>
      <c r="M611" s="140">
        <v>1</v>
      </c>
      <c r="N611" s="140">
        <f t="shared" si="19"/>
        <v>0.625</v>
      </c>
      <c r="O611" s="140">
        <f t="shared" si="18"/>
        <v>383.875</v>
      </c>
      <c r="Q611" s="140">
        <v>170</v>
      </c>
    </row>
    <row r="612" spans="12:17" x14ac:dyDescent="0.35">
      <c r="L612" s="140">
        <v>610</v>
      </c>
      <c r="M612" s="140">
        <v>0</v>
      </c>
      <c r="N612" s="140">
        <f t="shared" si="19"/>
        <v>0.5</v>
      </c>
      <c r="O612" s="140">
        <f t="shared" si="18"/>
        <v>383.875</v>
      </c>
      <c r="Q612" s="140">
        <v>155</v>
      </c>
    </row>
    <row r="613" spans="12:17" x14ac:dyDescent="0.35">
      <c r="L613" s="140">
        <v>611</v>
      </c>
      <c r="M613" s="140">
        <v>2</v>
      </c>
      <c r="N613" s="140">
        <f t="shared" si="19"/>
        <v>0.375</v>
      </c>
      <c r="O613" s="140">
        <f t="shared" si="18"/>
        <v>383.875</v>
      </c>
      <c r="Q613" s="140">
        <v>196</v>
      </c>
    </row>
    <row r="614" spans="12:17" x14ac:dyDescent="0.35">
      <c r="L614" s="140">
        <v>612</v>
      </c>
      <c r="M614" s="140">
        <v>0</v>
      </c>
      <c r="N614" s="140">
        <f t="shared" si="19"/>
        <v>0.375</v>
      </c>
      <c r="O614" s="140">
        <f t="shared" si="18"/>
        <v>383.875</v>
      </c>
      <c r="Q614" s="140">
        <v>181</v>
      </c>
    </row>
    <row r="615" spans="12:17" x14ac:dyDescent="0.35">
      <c r="L615" s="140">
        <v>613</v>
      </c>
      <c r="M615" s="140">
        <v>0</v>
      </c>
      <c r="N615" s="140">
        <f t="shared" si="19"/>
        <v>0.375</v>
      </c>
      <c r="O615" s="140">
        <f t="shared" si="18"/>
        <v>383.875</v>
      </c>
      <c r="Q615" s="140">
        <v>173</v>
      </c>
    </row>
    <row r="616" spans="12:17" x14ac:dyDescent="0.35">
      <c r="L616" s="140">
        <v>614</v>
      </c>
      <c r="M616" s="140">
        <v>0</v>
      </c>
      <c r="N616" s="140">
        <f t="shared" si="19"/>
        <v>0.375</v>
      </c>
      <c r="O616" s="140">
        <f t="shared" si="18"/>
        <v>383.875</v>
      </c>
      <c r="Q616" s="140">
        <v>163</v>
      </c>
    </row>
    <row r="617" spans="12:17" x14ac:dyDescent="0.35">
      <c r="L617" s="140">
        <v>615</v>
      </c>
      <c r="M617" s="140">
        <v>0</v>
      </c>
      <c r="N617" s="140">
        <f t="shared" si="19"/>
        <v>0.125</v>
      </c>
      <c r="O617" s="140">
        <f t="shared" si="18"/>
        <v>383.875</v>
      </c>
      <c r="Q617" s="140">
        <v>180</v>
      </c>
    </row>
    <row r="618" spans="12:17" x14ac:dyDescent="0.35">
      <c r="L618" s="140">
        <v>616</v>
      </c>
      <c r="M618" s="140">
        <v>0</v>
      </c>
      <c r="N618" s="140">
        <f t="shared" si="19"/>
        <v>0.125</v>
      </c>
      <c r="O618" s="140">
        <f t="shared" si="18"/>
        <v>383.875</v>
      </c>
      <c r="Q618" s="140">
        <v>142</v>
      </c>
    </row>
    <row r="619" spans="12:17" x14ac:dyDescent="0.35">
      <c r="L619" s="140">
        <v>617</v>
      </c>
      <c r="M619" s="140">
        <v>1</v>
      </c>
      <c r="N619" s="140">
        <f t="shared" si="19"/>
        <v>0.125</v>
      </c>
      <c r="O619" s="140">
        <f t="shared" si="18"/>
        <v>383.875</v>
      </c>
      <c r="Q619" s="140">
        <v>138</v>
      </c>
    </row>
    <row r="620" spans="12:17" x14ac:dyDescent="0.35">
      <c r="L620" s="140">
        <v>618</v>
      </c>
      <c r="M620" s="140">
        <v>0</v>
      </c>
      <c r="N620" s="140">
        <f t="shared" si="19"/>
        <v>0.25</v>
      </c>
      <c r="O620" s="140">
        <f t="shared" si="18"/>
        <v>383.875</v>
      </c>
      <c r="Q620" s="140">
        <v>139</v>
      </c>
    </row>
    <row r="621" spans="12:17" x14ac:dyDescent="0.35">
      <c r="L621" s="140">
        <v>619</v>
      </c>
      <c r="M621" s="140">
        <v>0</v>
      </c>
      <c r="N621" s="140">
        <f t="shared" si="19"/>
        <v>0.25</v>
      </c>
      <c r="O621" s="140">
        <f t="shared" si="18"/>
        <v>383.875</v>
      </c>
      <c r="Q621" s="140">
        <v>137</v>
      </c>
    </row>
    <row r="622" spans="12:17" x14ac:dyDescent="0.35">
      <c r="L622" s="140">
        <v>620</v>
      </c>
      <c r="M622" s="140">
        <v>0</v>
      </c>
      <c r="N622" s="140">
        <f t="shared" si="19"/>
        <v>0.375</v>
      </c>
      <c r="O622" s="140">
        <f t="shared" si="18"/>
        <v>383.875</v>
      </c>
      <c r="Q622" s="140">
        <v>139</v>
      </c>
    </row>
    <row r="623" spans="12:17" x14ac:dyDescent="0.35">
      <c r="L623" s="140">
        <v>621</v>
      </c>
      <c r="M623" s="140">
        <v>0</v>
      </c>
      <c r="N623" s="140">
        <f t="shared" si="19"/>
        <v>0.25</v>
      </c>
      <c r="O623" s="140">
        <f t="shared" si="18"/>
        <v>383.875</v>
      </c>
      <c r="Q623" s="140">
        <v>127</v>
      </c>
    </row>
    <row r="624" spans="12:17" x14ac:dyDescent="0.35">
      <c r="L624" s="140">
        <v>622</v>
      </c>
      <c r="M624" s="140">
        <v>1</v>
      </c>
      <c r="N624" s="140">
        <f t="shared" si="19"/>
        <v>0.25</v>
      </c>
      <c r="O624" s="140">
        <f t="shared" si="18"/>
        <v>383.875</v>
      </c>
      <c r="Q624" s="140">
        <v>125</v>
      </c>
    </row>
    <row r="625" spans="12:17" x14ac:dyDescent="0.35">
      <c r="L625" s="140">
        <v>623</v>
      </c>
      <c r="M625" s="140">
        <v>0</v>
      </c>
      <c r="N625" s="140">
        <f t="shared" si="19"/>
        <v>0.25</v>
      </c>
      <c r="O625" s="140">
        <f t="shared" si="18"/>
        <v>383.875</v>
      </c>
      <c r="Q625" s="140">
        <v>140</v>
      </c>
    </row>
    <row r="626" spans="12:17" x14ac:dyDescent="0.35">
      <c r="L626" s="140">
        <v>624</v>
      </c>
      <c r="M626" s="140">
        <v>1</v>
      </c>
      <c r="N626" s="140">
        <f t="shared" si="19"/>
        <v>0.25</v>
      </c>
      <c r="O626" s="140">
        <f t="shared" si="18"/>
        <v>383.875</v>
      </c>
      <c r="Q626" s="140">
        <v>140</v>
      </c>
    </row>
    <row r="627" spans="12:17" x14ac:dyDescent="0.35">
      <c r="L627" s="140">
        <v>625</v>
      </c>
      <c r="M627" s="140">
        <v>0</v>
      </c>
      <c r="N627" s="140">
        <f t="shared" si="19"/>
        <v>0.25</v>
      </c>
      <c r="O627" s="140">
        <f t="shared" si="18"/>
        <v>383.875</v>
      </c>
      <c r="Q627" s="140">
        <v>110</v>
      </c>
    </row>
    <row r="628" spans="12:17" x14ac:dyDescent="0.35">
      <c r="L628" s="140">
        <v>626</v>
      </c>
      <c r="M628" s="140">
        <v>0</v>
      </c>
      <c r="N628" s="140">
        <f t="shared" si="19"/>
        <v>0.25</v>
      </c>
      <c r="O628" s="140">
        <f t="shared" si="18"/>
        <v>383.875</v>
      </c>
      <c r="Q628" s="140">
        <v>120</v>
      </c>
    </row>
    <row r="629" spans="12:17" x14ac:dyDescent="0.35">
      <c r="L629" s="140">
        <v>627</v>
      </c>
      <c r="M629" s="140">
        <v>0</v>
      </c>
      <c r="N629" s="140">
        <f t="shared" si="19"/>
        <v>0.25</v>
      </c>
      <c r="O629" s="140">
        <f t="shared" si="18"/>
        <v>383.875</v>
      </c>
      <c r="Q629" s="140">
        <v>123</v>
      </c>
    </row>
    <row r="630" spans="12:17" x14ac:dyDescent="0.35">
      <c r="L630" s="140">
        <v>628</v>
      </c>
      <c r="M630" s="140">
        <v>0</v>
      </c>
      <c r="N630" s="140">
        <f t="shared" si="19"/>
        <v>0.125</v>
      </c>
      <c r="O630" s="140">
        <f t="shared" si="18"/>
        <v>383.875</v>
      </c>
      <c r="Q630" s="140">
        <v>87</v>
      </c>
    </row>
    <row r="631" spans="12:17" x14ac:dyDescent="0.35">
      <c r="L631" s="140">
        <v>629</v>
      </c>
      <c r="M631" s="140">
        <v>0</v>
      </c>
      <c r="N631" s="140">
        <f t="shared" si="19"/>
        <v>0.125</v>
      </c>
      <c r="O631" s="140">
        <f t="shared" si="18"/>
        <v>383.875</v>
      </c>
      <c r="Q631" s="140">
        <v>105</v>
      </c>
    </row>
    <row r="632" spans="12:17" x14ac:dyDescent="0.35">
      <c r="L632" s="140">
        <v>630</v>
      </c>
      <c r="M632" s="140">
        <v>1</v>
      </c>
      <c r="N632" s="140">
        <f t="shared" si="19"/>
        <v>0.125</v>
      </c>
      <c r="O632" s="140">
        <f t="shared" si="18"/>
        <v>383.875</v>
      </c>
      <c r="Q632" s="140">
        <v>100</v>
      </c>
    </row>
    <row r="633" spans="12:17" x14ac:dyDescent="0.35">
      <c r="L633" s="140">
        <v>631</v>
      </c>
      <c r="M633" s="140">
        <v>0</v>
      </c>
      <c r="N633" s="140">
        <f t="shared" si="19"/>
        <v>0.25</v>
      </c>
      <c r="O633" s="140">
        <f t="shared" si="18"/>
        <v>383.875</v>
      </c>
      <c r="Q633" s="140">
        <v>93</v>
      </c>
    </row>
    <row r="634" spans="12:17" x14ac:dyDescent="0.35">
      <c r="L634" s="140">
        <v>632</v>
      </c>
      <c r="M634" s="140">
        <v>0</v>
      </c>
      <c r="N634" s="140">
        <f t="shared" si="19"/>
        <v>0.25</v>
      </c>
      <c r="O634" s="140">
        <f t="shared" si="18"/>
        <v>383.875</v>
      </c>
      <c r="Q634" s="140">
        <v>114</v>
      </c>
    </row>
    <row r="635" spans="12:17" x14ac:dyDescent="0.35">
      <c r="L635" s="140">
        <v>633</v>
      </c>
      <c r="M635" s="140">
        <v>0</v>
      </c>
      <c r="N635" s="140">
        <f t="shared" si="19"/>
        <v>0.25</v>
      </c>
      <c r="O635" s="140">
        <f t="shared" si="18"/>
        <v>383.875</v>
      </c>
      <c r="Q635" s="140">
        <v>88</v>
      </c>
    </row>
    <row r="636" spans="12:17" x14ac:dyDescent="0.35">
      <c r="L636" s="140">
        <v>634</v>
      </c>
      <c r="M636" s="140">
        <v>0</v>
      </c>
      <c r="N636" s="140">
        <f t="shared" si="19"/>
        <v>0.25</v>
      </c>
      <c r="O636" s="140">
        <f t="shared" si="18"/>
        <v>383.875</v>
      </c>
      <c r="Q636" s="140">
        <v>92</v>
      </c>
    </row>
    <row r="637" spans="12:17" x14ac:dyDescent="0.35">
      <c r="L637" s="140">
        <v>635</v>
      </c>
      <c r="M637" s="140">
        <v>1</v>
      </c>
      <c r="N637" s="140">
        <f t="shared" si="19"/>
        <v>0.25</v>
      </c>
      <c r="O637" s="140">
        <f t="shared" si="18"/>
        <v>383.875</v>
      </c>
      <c r="Q637" s="140">
        <v>94</v>
      </c>
    </row>
    <row r="638" spans="12:17" x14ac:dyDescent="0.35">
      <c r="L638" s="140">
        <v>636</v>
      </c>
      <c r="M638" s="140">
        <v>0</v>
      </c>
      <c r="N638" s="140">
        <f t="shared" si="19"/>
        <v>0.25</v>
      </c>
      <c r="O638" s="140">
        <f t="shared" si="18"/>
        <v>383.875</v>
      </c>
      <c r="Q638" s="140">
        <v>100</v>
      </c>
    </row>
    <row r="639" spans="12:17" x14ac:dyDescent="0.35">
      <c r="L639" s="140">
        <v>637</v>
      </c>
      <c r="M639" s="140">
        <v>0</v>
      </c>
      <c r="N639" s="140">
        <f t="shared" si="19"/>
        <v>0.25</v>
      </c>
      <c r="O639" s="140">
        <f t="shared" si="18"/>
        <v>383.875</v>
      </c>
      <c r="Q639" s="140">
        <v>92</v>
      </c>
    </row>
    <row r="640" spans="12:17" x14ac:dyDescent="0.35">
      <c r="L640" s="140">
        <v>638</v>
      </c>
      <c r="M640" s="140">
        <v>1</v>
      </c>
      <c r="N640" s="140">
        <f t="shared" si="19"/>
        <v>0.25</v>
      </c>
      <c r="O640" s="140">
        <f t="shared" si="18"/>
        <v>383.875</v>
      </c>
      <c r="Q640" s="140">
        <v>76</v>
      </c>
    </row>
    <row r="641" spans="12:17" x14ac:dyDescent="0.35">
      <c r="L641" s="140">
        <v>639</v>
      </c>
      <c r="M641" s="140">
        <v>0</v>
      </c>
      <c r="N641" s="140">
        <f t="shared" si="19"/>
        <v>0.125</v>
      </c>
      <c r="O641" s="140">
        <f t="shared" si="18"/>
        <v>383.875</v>
      </c>
      <c r="Q641" s="140">
        <v>81</v>
      </c>
    </row>
    <row r="642" spans="12:17" x14ac:dyDescent="0.35">
      <c r="L642" s="140">
        <v>640</v>
      </c>
      <c r="M642" s="140">
        <v>0</v>
      </c>
      <c r="N642" s="140">
        <f t="shared" si="19"/>
        <v>0.125</v>
      </c>
      <c r="O642" s="140">
        <f t="shared" ref="O642:O685" si="20">MAX($A$35)/2</f>
        <v>383.875</v>
      </c>
      <c r="Q642" s="140">
        <v>73</v>
      </c>
    </row>
    <row r="643" spans="12:17" x14ac:dyDescent="0.35">
      <c r="L643" s="140">
        <v>641</v>
      </c>
      <c r="M643" s="140">
        <v>0</v>
      </c>
      <c r="N643" s="140">
        <f t="shared" si="19"/>
        <v>0.125</v>
      </c>
      <c r="O643" s="140">
        <f t="shared" si="20"/>
        <v>383.875</v>
      </c>
      <c r="Q643" s="140">
        <v>76</v>
      </c>
    </row>
    <row r="644" spans="12:17" x14ac:dyDescent="0.35">
      <c r="L644" s="140">
        <v>642</v>
      </c>
      <c r="M644" s="140">
        <v>0</v>
      </c>
      <c r="N644" s="140">
        <f t="shared" si="19"/>
        <v>0</v>
      </c>
      <c r="O644" s="140">
        <f t="shared" si="20"/>
        <v>383.875</v>
      </c>
      <c r="Q644" s="140">
        <v>64</v>
      </c>
    </row>
    <row r="645" spans="12:17" x14ac:dyDescent="0.35">
      <c r="L645" s="140">
        <v>643</v>
      </c>
      <c r="M645" s="140">
        <v>0</v>
      </c>
      <c r="N645" s="140">
        <f t="shared" ref="N645:N685" si="21">AVERAGE(M642:M649)</f>
        <v>0</v>
      </c>
      <c r="O645" s="140">
        <f t="shared" si="20"/>
        <v>383.875</v>
      </c>
      <c r="Q645" s="140">
        <v>73</v>
      </c>
    </row>
    <row r="646" spans="12:17" x14ac:dyDescent="0.35">
      <c r="L646" s="140">
        <v>644</v>
      </c>
      <c r="M646" s="140">
        <v>0</v>
      </c>
      <c r="N646" s="140">
        <f t="shared" si="21"/>
        <v>0</v>
      </c>
      <c r="O646" s="140">
        <f t="shared" si="20"/>
        <v>383.875</v>
      </c>
      <c r="Q646" s="140">
        <v>67</v>
      </c>
    </row>
    <row r="647" spans="12:17" x14ac:dyDescent="0.35">
      <c r="L647" s="140">
        <v>645</v>
      </c>
      <c r="M647" s="140">
        <v>0</v>
      </c>
      <c r="N647" s="140">
        <f t="shared" si="21"/>
        <v>0</v>
      </c>
      <c r="O647" s="140">
        <f t="shared" si="20"/>
        <v>383.875</v>
      </c>
      <c r="Q647" s="140">
        <v>56</v>
      </c>
    </row>
    <row r="648" spans="12:17" x14ac:dyDescent="0.35">
      <c r="L648" s="140">
        <v>646</v>
      </c>
      <c r="M648" s="140">
        <v>0</v>
      </c>
      <c r="N648" s="140">
        <f t="shared" si="21"/>
        <v>0</v>
      </c>
      <c r="O648" s="140">
        <f t="shared" si="20"/>
        <v>383.875</v>
      </c>
      <c r="Q648" s="140">
        <v>68</v>
      </c>
    </row>
    <row r="649" spans="12:17" x14ac:dyDescent="0.35">
      <c r="L649" s="140">
        <v>647</v>
      </c>
      <c r="M649" s="140">
        <v>0</v>
      </c>
      <c r="N649" s="140">
        <f t="shared" si="21"/>
        <v>0.125</v>
      </c>
      <c r="O649" s="140">
        <f t="shared" si="20"/>
        <v>383.875</v>
      </c>
      <c r="Q649" s="140">
        <v>66</v>
      </c>
    </row>
    <row r="650" spans="12:17" x14ac:dyDescent="0.35">
      <c r="L650" s="140">
        <v>648</v>
      </c>
      <c r="M650" s="140">
        <v>0</v>
      </c>
      <c r="N650" s="140">
        <f t="shared" si="21"/>
        <v>0.125</v>
      </c>
      <c r="O650" s="140">
        <f t="shared" si="20"/>
        <v>383.875</v>
      </c>
      <c r="Q650" s="140">
        <v>63</v>
      </c>
    </row>
    <row r="651" spans="12:17" x14ac:dyDescent="0.35">
      <c r="L651" s="140">
        <v>649</v>
      </c>
      <c r="M651" s="140">
        <v>0</v>
      </c>
      <c r="N651" s="140">
        <f t="shared" si="21"/>
        <v>0.125</v>
      </c>
      <c r="O651" s="140">
        <f t="shared" si="20"/>
        <v>383.875</v>
      </c>
      <c r="Q651" s="140">
        <v>62</v>
      </c>
    </row>
    <row r="652" spans="12:17" x14ac:dyDescent="0.35">
      <c r="L652" s="140">
        <v>650</v>
      </c>
      <c r="M652" s="140">
        <v>0</v>
      </c>
      <c r="N652" s="140">
        <f t="shared" si="21"/>
        <v>0.125</v>
      </c>
      <c r="O652" s="140">
        <f t="shared" si="20"/>
        <v>383.875</v>
      </c>
      <c r="Q652" s="140">
        <v>54</v>
      </c>
    </row>
    <row r="653" spans="12:17" x14ac:dyDescent="0.35">
      <c r="L653" s="140">
        <v>651</v>
      </c>
      <c r="M653" s="140">
        <v>1</v>
      </c>
      <c r="N653" s="140">
        <f t="shared" si="21"/>
        <v>0.125</v>
      </c>
      <c r="O653" s="140">
        <f t="shared" si="20"/>
        <v>383.875</v>
      </c>
      <c r="Q653" s="140">
        <v>59</v>
      </c>
    </row>
    <row r="654" spans="12:17" x14ac:dyDescent="0.35">
      <c r="L654" s="140">
        <v>652</v>
      </c>
      <c r="M654" s="140">
        <v>0</v>
      </c>
      <c r="N654" s="140">
        <f t="shared" si="21"/>
        <v>0.125</v>
      </c>
      <c r="O654" s="140">
        <f t="shared" si="20"/>
        <v>383.875</v>
      </c>
      <c r="Q654" s="140">
        <v>43</v>
      </c>
    </row>
    <row r="655" spans="12:17" x14ac:dyDescent="0.35">
      <c r="L655" s="140">
        <v>653</v>
      </c>
      <c r="M655" s="140">
        <v>0</v>
      </c>
      <c r="N655" s="140">
        <f t="shared" si="21"/>
        <v>0.25</v>
      </c>
      <c r="O655" s="140">
        <f t="shared" si="20"/>
        <v>383.875</v>
      </c>
      <c r="Q655" s="140">
        <v>51</v>
      </c>
    </row>
    <row r="656" spans="12:17" x14ac:dyDescent="0.35">
      <c r="L656" s="140">
        <v>654</v>
      </c>
      <c r="M656" s="140">
        <v>0</v>
      </c>
      <c r="N656" s="140">
        <f t="shared" si="21"/>
        <v>0.25</v>
      </c>
      <c r="O656" s="140">
        <f t="shared" si="20"/>
        <v>383.875</v>
      </c>
      <c r="Q656" s="140">
        <v>55</v>
      </c>
    </row>
    <row r="657" spans="12:17" x14ac:dyDescent="0.35">
      <c r="L657" s="140">
        <v>655</v>
      </c>
      <c r="M657" s="140">
        <v>0</v>
      </c>
      <c r="N657" s="140">
        <f t="shared" si="21"/>
        <v>0.25</v>
      </c>
      <c r="O657" s="140">
        <f t="shared" si="20"/>
        <v>383.875</v>
      </c>
      <c r="Q657" s="140">
        <v>53</v>
      </c>
    </row>
    <row r="658" spans="12:17" x14ac:dyDescent="0.35">
      <c r="L658" s="140">
        <v>656</v>
      </c>
      <c r="M658" s="140">
        <v>0</v>
      </c>
      <c r="N658" s="140">
        <f t="shared" si="21"/>
        <v>0.25</v>
      </c>
      <c r="O658" s="140">
        <f t="shared" si="20"/>
        <v>383.875</v>
      </c>
      <c r="Q658" s="140">
        <v>46</v>
      </c>
    </row>
    <row r="659" spans="12:17" x14ac:dyDescent="0.35">
      <c r="L659" s="140">
        <v>657</v>
      </c>
      <c r="M659" s="140">
        <v>1</v>
      </c>
      <c r="N659" s="140">
        <f t="shared" si="21"/>
        <v>0.25</v>
      </c>
      <c r="O659" s="140">
        <f t="shared" si="20"/>
        <v>383.875</v>
      </c>
      <c r="Q659" s="140">
        <v>43</v>
      </c>
    </row>
    <row r="660" spans="12:17" x14ac:dyDescent="0.35">
      <c r="L660" s="140">
        <v>658</v>
      </c>
      <c r="M660" s="140">
        <v>0</v>
      </c>
      <c r="N660" s="140">
        <f t="shared" si="21"/>
        <v>0.375</v>
      </c>
      <c r="O660" s="140">
        <f t="shared" si="20"/>
        <v>383.875</v>
      </c>
      <c r="Q660" s="140">
        <v>36</v>
      </c>
    </row>
    <row r="661" spans="12:17" x14ac:dyDescent="0.35">
      <c r="L661" s="140">
        <v>659</v>
      </c>
      <c r="M661" s="140">
        <v>1</v>
      </c>
      <c r="N661" s="140">
        <f t="shared" si="21"/>
        <v>0.5</v>
      </c>
      <c r="O661" s="140">
        <f t="shared" si="20"/>
        <v>383.875</v>
      </c>
      <c r="Q661" s="140">
        <v>54</v>
      </c>
    </row>
    <row r="662" spans="12:17" x14ac:dyDescent="0.35">
      <c r="L662" s="140">
        <v>660</v>
      </c>
      <c r="M662" s="140">
        <v>0</v>
      </c>
      <c r="N662" s="140">
        <f t="shared" si="21"/>
        <v>0.5</v>
      </c>
      <c r="O662" s="140">
        <f t="shared" si="20"/>
        <v>383.875</v>
      </c>
      <c r="Q662" s="140">
        <v>37</v>
      </c>
    </row>
    <row r="663" spans="12:17" x14ac:dyDescent="0.35">
      <c r="L663" s="140">
        <v>661</v>
      </c>
      <c r="M663" s="140">
        <v>0</v>
      </c>
      <c r="N663" s="140">
        <f t="shared" si="21"/>
        <v>0.375</v>
      </c>
      <c r="O663" s="140">
        <f t="shared" si="20"/>
        <v>383.875</v>
      </c>
      <c r="Q663" s="140">
        <v>43</v>
      </c>
    </row>
    <row r="664" spans="12:17" x14ac:dyDescent="0.35">
      <c r="L664" s="140">
        <v>662</v>
      </c>
      <c r="M664" s="140">
        <v>1</v>
      </c>
      <c r="N664" s="140">
        <f t="shared" si="21"/>
        <v>0.375</v>
      </c>
      <c r="O664" s="140">
        <f t="shared" si="20"/>
        <v>383.875</v>
      </c>
      <c r="Q664" s="140">
        <v>40</v>
      </c>
    </row>
    <row r="665" spans="12:17" x14ac:dyDescent="0.35">
      <c r="L665" s="140">
        <v>663</v>
      </c>
      <c r="M665" s="140">
        <v>1</v>
      </c>
      <c r="N665" s="140">
        <f t="shared" si="21"/>
        <v>0.25</v>
      </c>
      <c r="O665" s="140">
        <f t="shared" si="20"/>
        <v>383.875</v>
      </c>
      <c r="Q665" s="140">
        <v>43</v>
      </c>
    </row>
    <row r="666" spans="12:17" x14ac:dyDescent="0.35">
      <c r="L666" s="140">
        <v>664</v>
      </c>
      <c r="M666" s="140">
        <v>0</v>
      </c>
      <c r="N666" s="140">
        <f t="shared" si="21"/>
        <v>0.375</v>
      </c>
      <c r="O666" s="140">
        <f t="shared" si="20"/>
        <v>383.875</v>
      </c>
      <c r="Q666" s="140">
        <v>40</v>
      </c>
    </row>
    <row r="667" spans="12:17" x14ac:dyDescent="0.35">
      <c r="L667" s="140">
        <v>665</v>
      </c>
      <c r="M667" s="140">
        <v>0</v>
      </c>
      <c r="N667" s="140">
        <f t="shared" si="21"/>
        <v>0.375</v>
      </c>
      <c r="O667" s="140">
        <f t="shared" si="20"/>
        <v>383.875</v>
      </c>
      <c r="Q667" s="140">
        <v>38</v>
      </c>
    </row>
    <row r="668" spans="12:17" x14ac:dyDescent="0.35">
      <c r="L668" s="140">
        <v>666</v>
      </c>
      <c r="M668" s="140">
        <v>0</v>
      </c>
      <c r="N668" s="140">
        <f t="shared" si="21"/>
        <v>0.25</v>
      </c>
      <c r="O668" s="140">
        <f t="shared" si="20"/>
        <v>383.875</v>
      </c>
      <c r="Q668" s="140">
        <v>36</v>
      </c>
    </row>
    <row r="669" spans="12:17" x14ac:dyDescent="0.35">
      <c r="L669" s="140">
        <v>667</v>
      </c>
      <c r="M669" s="140">
        <v>0</v>
      </c>
      <c r="N669" s="140">
        <f t="shared" si="21"/>
        <v>0.125</v>
      </c>
      <c r="O669" s="140">
        <f t="shared" si="20"/>
        <v>383.875</v>
      </c>
      <c r="Q669" s="140">
        <v>32</v>
      </c>
    </row>
    <row r="670" spans="12:17" x14ac:dyDescent="0.35">
      <c r="L670" s="140">
        <v>668</v>
      </c>
      <c r="M670" s="140">
        <v>1</v>
      </c>
      <c r="N670" s="140">
        <f t="shared" si="21"/>
        <v>0.25</v>
      </c>
      <c r="O670" s="140">
        <f t="shared" si="20"/>
        <v>383.875</v>
      </c>
      <c r="Q670" s="140">
        <v>31</v>
      </c>
    </row>
    <row r="671" spans="12:17" x14ac:dyDescent="0.35">
      <c r="L671" s="140">
        <v>669</v>
      </c>
      <c r="M671" s="140">
        <v>0</v>
      </c>
      <c r="N671" s="140">
        <f t="shared" si="21"/>
        <v>0.25</v>
      </c>
      <c r="O671" s="140">
        <f t="shared" si="20"/>
        <v>383.875</v>
      </c>
      <c r="Q671" s="140">
        <v>35</v>
      </c>
    </row>
    <row r="672" spans="12:17" x14ac:dyDescent="0.35">
      <c r="L672" s="140">
        <v>670</v>
      </c>
      <c r="M672" s="140">
        <v>0</v>
      </c>
      <c r="N672" s="140">
        <f t="shared" si="21"/>
        <v>0.25</v>
      </c>
      <c r="O672" s="140">
        <f t="shared" si="20"/>
        <v>383.875</v>
      </c>
      <c r="Q672" s="140">
        <v>25</v>
      </c>
    </row>
    <row r="673" spans="12:17" x14ac:dyDescent="0.35">
      <c r="L673" s="140">
        <v>671</v>
      </c>
      <c r="M673" s="140">
        <v>0</v>
      </c>
      <c r="N673" s="140">
        <f t="shared" si="21"/>
        <v>0.25</v>
      </c>
      <c r="O673" s="140">
        <f t="shared" si="20"/>
        <v>383.875</v>
      </c>
      <c r="Q673" s="140">
        <v>30</v>
      </c>
    </row>
    <row r="674" spans="12:17" x14ac:dyDescent="0.35">
      <c r="L674" s="140">
        <v>672</v>
      </c>
      <c r="M674" s="140">
        <v>1</v>
      </c>
      <c r="N674" s="140">
        <f t="shared" si="21"/>
        <v>0.25</v>
      </c>
      <c r="O674" s="140">
        <f t="shared" si="20"/>
        <v>383.875</v>
      </c>
      <c r="Q674" s="140">
        <v>28</v>
      </c>
    </row>
    <row r="675" spans="12:17" x14ac:dyDescent="0.35">
      <c r="L675" s="140">
        <v>673</v>
      </c>
      <c r="M675" s="140">
        <v>0</v>
      </c>
      <c r="N675" s="140">
        <f t="shared" si="21"/>
        <v>0.25</v>
      </c>
      <c r="O675" s="140">
        <f t="shared" si="20"/>
        <v>383.875</v>
      </c>
      <c r="Q675" s="140">
        <v>23</v>
      </c>
    </row>
    <row r="676" spans="12:17" x14ac:dyDescent="0.35">
      <c r="L676" s="140">
        <v>674</v>
      </c>
      <c r="M676" s="140">
        <v>0</v>
      </c>
      <c r="N676" s="140">
        <f t="shared" si="21"/>
        <v>0.25</v>
      </c>
      <c r="O676" s="140">
        <f t="shared" si="20"/>
        <v>383.875</v>
      </c>
      <c r="Q676" s="140">
        <v>32</v>
      </c>
    </row>
    <row r="677" spans="12:17" x14ac:dyDescent="0.35">
      <c r="L677" s="140">
        <v>675</v>
      </c>
      <c r="M677" s="140">
        <v>0</v>
      </c>
      <c r="N677" s="140">
        <f t="shared" si="21"/>
        <v>0.25</v>
      </c>
      <c r="O677" s="140">
        <f t="shared" si="20"/>
        <v>383.875</v>
      </c>
      <c r="Q677" s="140">
        <v>28</v>
      </c>
    </row>
    <row r="678" spans="12:17" x14ac:dyDescent="0.35">
      <c r="L678" s="140">
        <v>676</v>
      </c>
      <c r="M678" s="140">
        <v>1</v>
      </c>
      <c r="N678" s="140">
        <f t="shared" si="21"/>
        <v>0.125</v>
      </c>
      <c r="O678" s="140">
        <f t="shared" si="20"/>
        <v>383.875</v>
      </c>
      <c r="Q678" s="140">
        <v>26</v>
      </c>
    </row>
    <row r="679" spans="12:17" x14ac:dyDescent="0.35">
      <c r="L679" s="140">
        <v>677</v>
      </c>
      <c r="M679" s="140">
        <v>0</v>
      </c>
      <c r="N679" s="140">
        <f t="shared" si="21"/>
        <v>0.125</v>
      </c>
      <c r="O679" s="140">
        <f t="shared" si="20"/>
        <v>383.875</v>
      </c>
      <c r="Q679" s="140">
        <v>18</v>
      </c>
    </row>
    <row r="680" spans="12:17" x14ac:dyDescent="0.35">
      <c r="L680" s="140">
        <v>678</v>
      </c>
      <c r="M680" s="140">
        <v>0</v>
      </c>
      <c r="N680" s="140">
        <f t="shared" si="21"/>
        <v>0.125</v>
      </c>
      <c r="O680" s="140">
        <f t="shared" si="20"/>
        <v>383.875</v>
      </c>
      <c r="Q680" s="140">
        <v>17</v>
      </c>
    </row>
    <row r="681" spans="12:17" x14ac:dyDescent="0.35">
      <c r="L681" s="140">
        <v>679</v>
      </c>
      <c r="M681" s="140">
        <v>0</v>
      </c>
      <c r="N681" s="140">
        <f t="shared" si="21"/>
        <v>0.125</v>
      </c>
      <c r="O681" s="140">
        <f t="shared" si="20"/>
        <v>383.875</v>
      </c>
      <c r="Q681" s="140">
        <v>28</v>
      </c>
    </row>
    <row r="682" spans="12:17" x14ac:dyDescent="0.35">
      <c r="L682" s="140">
        <v>680</v>
      </c>
      <c r="M682" s="140">
        <v>0</v>
      </c>
      <c r="N682" s="140">
        <f t="shared" si="21"/>
        <v>0</v>
      </c>
      <c r="O682" s="140">
        <f t="shared" si="20"/>
        <v>383.875</v>
      </c>
      <c r="Q682" s="140">
        <v>16</v>
      </c>
    </row>
    <row r="683" spans="12:17" x14ac:dyDescent="0.35">
      <c r="L683" s="140">
        <v>681</v>
      </c>
      <c r="M683" s="140">
        <v>0</v>
      </c>
      <c r="N683" s="140">
        <f t="shared" si="21"/>
        <v>0</v>
      </c>
      <c r="O683" s="140">
        <f t="shared" si="20"/>
        <v>383.875</v>
      </c>
      <c r="Q683" s="140">
        <v>27</v>
      </c>
    </row>
    <row r="684" spans="12:17" x14ac:dyDescent="0.35">
      <c r="L684" s="140">
        <v>682</v>
      </c>
      <c r="M684" s="140">
        <v>0</v>
      </c>
      <c r="N684" s="140">
        <f t="shared" si="21"/>
        <v>0</v>
      </c>
      <c r="O684" s="140">
        <f t="shared" si="20"/>
        <v>383.875</v>
      </c>
      <c r="Q684" s="140">
        <v>22</v>
      </c>
    </row>
    <row r="685" spans="12:17" x14ac:dyDescent="0.35">
      <c r="L685" s="140">
        <v>683</v>
      </c>
      <c r="M685" s="140">
        <v>0</v>
      </c>
      <c r="N685" s="140">
        <f t="shared" si="21"/>
        <v>0</v>
      </c>
      <c r="O685" s="140">
        <f t="shared" si="20"/>
        <v>383.875</v>
      </c>
      <c r="Q685" s="140">
        <v>17</v>
      </c>
    </row>
    <row r="686" spans="12:17" x14ac:dyDescent="0.35">
      <c r="L686" s="140">
        <v>684</v>
      </c>
      <c r="M686" s="140">
        <v>0</v>
      </c>
      <c r="O686" s="140">
        <f t="shared" ref="O686:O749" si="22">MAX(N686:N1684)</f>
        <v>0</v>
      </c>
      <c r="Q686" s="140">
        <v>23</v>
      </c>
    </row>
    <row r="687" spans="12:17" x14ac:dyDescent="0.35">
      <c r="L687" s="140">
        <v>685</v>
      </c>
      <c r="M687" s="140">
        <v>0</v>
      </c>
      <c r="O687" s="140">
        <f t="shared" si="22"/>
        <v>0</v>
      </c>
      <c r="Q687" s="140">
        <v>34</v>
      </c>
    </row>
    <row r="688" spans="12:17" x14ac:dyDescent="0.35">
      <c r="L688" s="140">
        <v>686</v>
      </c>
      <c r="M688" s="140">
        <v>0</v>
      </c>
      <c r="O688" s="140">
        <f t="shared" si="22"/>
        <v>0</v>
      </c>
      <c r="Q688" s="140">
        <v>23</v>
      </c>
    </row>
    <row r="689" spans="12:17" x14ac:dyDescent="0.35">
      <c r="L689" s="140">
        <v>687</v>
      </c>
      <c r="M689" s="140">
        <v>0</v>
      </c>
      <c r="O689" s="140">
        <f t="shared" si="22"/>
        <v>0</v>
      </c>
      <c r="Q689" s="140">
        <v>26</v>
      </c>
    </row>
    <row r="690" spans="12:17" x14ac:dyDescent="0.35">
      <c r="L690" s="140">
        <v>688</v>
      </c>
      <c r="M690" s="140">
        <v>0</v>
      </c>
      <c r="O690" s="140">
        <f t="shared" si="22"/>
        <v>0</v>
      </c>
      <c r="Q690" s="140">
        <v>27</v>
      </c>
    </row>
    <row r="691" spans="12:17" x14ac:dyDescent="0.35">
      <c r="L691" s="140">
        <v>689</v>
      </c>
      <c r="M691" s="140">
        <v>2</v>
      </c>
      <c r="O691" s="140">
        <f t="shared" si="22"/>
        <v>0</v>
      </c>
      <c r="Q691" s="140">
        <v>27</v>
      </c>
    </row>
    <row r="692" spans="12:17" x14ac:dyDescent="0.35">
      <c r="L692" s="140">
        <v>690</v>
      </c>
      <c r="M692" s="140">
        <v>0</v>
      </c>
      <c r="O692" s="140">
        <f t="shared" si="22"/>
        <v>0</v>
      </c>
      <c r="Q692" s="140">
        <v>22</v>
      </c>
    </row>
    <row r="693" spans="12:17" x14ac:dyDescent="0.35">
      <c r="L693" s="140">
        <v>691</v>
      </c>
      <c r="M693" s="140">
        <v>1</v>
      </c>
      <c r="O693" s="140">
        <f t="shared" si="22"/>
        <v>0</v>
      </c>
      <c r="Q693" s="140">
        <v>16</v>
      </c>
    </row>
    <row r="694" spans="12:17" x14ac:dyDescent="0.35">
      <c r="L694" s="140">
        <v>692</v>
      </c>
      <c r="M694" s="140">
        <v>0</v>
      </c>
      <c r="O694" s="140">
        <f t="shared" si="22"/>
        <v>0</v>
      </c>
      <c r="Q694" s="140">
        <v>28</v>
      </c>
    </row>
    <row r="695" spans="12:17" x14ac:dyDescent="0.35">
      <c r="L695" s="140">
        <v>693</v>
      </c>
      <c r="M695" s="140">
        <v>0</v>
      </c>
      <c r="O695" s="140">
        <f t="shared" si="22"/>
        <v>0</v>
      </c>
      <c r="Q695" s="140">
        <v>23</v>
      </c>
    </row>
    <row r="696" spans="12:17" x14ac:dyDescent="0.35">
      <c r="L696" s="140">
        <v>694</v>
      </c>
      <c r="M696" s="140">
        <v>1</v>
      </c>
      <c r="O696" s="140">
        <f t="shared" si="22"/>
        <v>0</v>
      </c>
      <c r="Q696" s="140">
        <v>17</v>
      </c>
    </row>
    <row r="697" spans="12:17" x14ac:dyDescent="0.35">
      <c r="L697" s="140">
        <v>695</v>
      </c>
      <c r="M697" s="140">
        <v>0</v>
      </c>
      <c r="O697" s="140">
        <f t="shared" si="22"/>
        <v>0</v>
      </c>
      <c r="Q697" s="140">
        <v>18</v>
      </c>
    </row>
    <row r="698" spans="12:17" x14ac:dyDescent="0.35">
      <c r="L698" s="140">
        <v>696</v>
      </c>
      <c r="M698" s="140">
        <v>0</v>
      </c>
      <c r="O698" s="140">
        <f t="shared" si="22"/>
        <v>0</v>
      </c>
      <c r="Q698" s="140">
        <v>27</v>
      </c>
    </row>
    <row r="699" spans="12:17" x14ac:dyDescent="0.35">
      <c r="L699" s="140">
        <v>697</v>
      </c>
      <c r="M699" s="140">
        <v>0</v>
      </c>
      <c r="O699" s="140">
        <f t="shared" si="22"/>
        <v>0</v>
      </c>
      <c r="Q699" s="140">
        <v>25</v>
      </c>
    </row>
    <row r="700" spans="12:17" x14ac:dyDescent="0.35">
      <c r="L700" s="140">
        <v>698</v>
      </c>
      <c r="M700" s="140">
        <v>0</v>
      </c>
      <c r="O700" s="140">
        <f t="shared" si="22"/>
        <v>0</v>
      </c>
      <c r="Q700" s="140">
        <v>9</v>
      </c>
    </row>
    <row r="701" spans="12:17" x14ac:dyDescent="0.35">
      <c r="L701" s="140">
        <v>699</v>
      </c>
      <c r="M701" s="140">
        <v>0</v>
      </c>
      <c r="O701" s="140">
        <f t="shared" si="22"/>
        <v>0</v>
      </c>
      <c r="Q701" s="140">
        <v>20</v>
      </c>
    </row>
    <row r="702" spans="12:17" x14ac:dyDescent="0.35">
      <c r="L702" s="140">
        <v>700</v>
      </c>
      <c r="M702" s="140">
        <v>0</v>
      </c>
      <c r="O702" s="140">
        <f t="shared" si="22"/>
        <v>0</v>
      </c>
      <c r="Q702" s="140">
        <v>14</v>
      </c>
    </row>
    <row r="703" spans="12:17" x14ac:dyDescent="0.35">
      <c r="L703" s="140">
        <v>701</v>
      </c>
      <c r="M703" s="140">
        <v>1</v>
      </c>
      <c r="O703" s="140">
        <f t="shared" si="22"/>
        <v>0</v>
      </c>
      <c r="Q703" s="140">
        <v>14</v>
      </c>
    </row>
    <row r="704" spans="12:17" x14ac:dyDescent="0.35">
      <c r="L704" s="140">
        <v>702</v>
      </c>
      <c r="M704" s="140">
        <v>1</v>
      </c>
      <c r="O704" s="140">
        <f t="shared" si="22"/>
        <v>0</v>
      </c>
      <c r="Q704" s="140">
        <v>14</v>
      </c>
    </row>
    <row r="705" spans="12:17" x14ac:dyDescent="0.35">
      <c r="L705" s="140">
        <v>703</v>
      </c>
      <c r="M705" s="140">
        <v>0</v>
      </c>
      <c r="O705" s="140">
        <f t="shared" si="22"/>
        <v>0</v>
      </c>
      <c r="Q705" s="140">
        <v>11</v>
      </c>
    </row>
    <row r="706" spans="12:17" x14ac:dyDescent="0.35">
      <c r="L706" s="140">
        <v>704</v>
      </c>
      <c r="M706" s="140">
        <v>0</v>
      </c>
      <c r="O706" s="140">
        <f t="shared" si="22"/>
        <v>0</v>
      </c>
      <c r="Q706" s="140">
        <v>12</v>
      </c>
    </row>
    <row r="707" spans="12:17" x14ac:dyDescent="0.35">
      <c r="L707" s="140">
        <v>705</v>
      </c>
      <c r="M707" s="140">
        <v>0</v>
      </c>
      <c r="O707" s="140">
        <f t="shared" si="22"/>
        <v>0</v>
      </c>
      <c r="Q707" s="140">
        <v>12</v>
      </c>
    </row>
    <row r="708" spans="12:17" x14ac:dyDescent="0.35">
      <c r="L708" s="140">
        <v>706</v>
      </c>
      <c r="M708" s="140">
        <v>0</v>
      </c>
      <c r="O708" s="140">
        <f t="shared" si="22"/>
        <v>0</v>
      </c>
      <c r="Q708" s="140">
        <v>22</v>
      </c>
    </row>
    <row r="709" spans="12:17" x14ac:dyDescent="0.35">
      <c r="L709" s="140">
        <v>707</v>
      </c>
      <c r="M709" s="140">
        <v>1</v>
      </c>
      <c r="O709" s="140">
        <f t="shared" si="22"/>
        <v>0</v>
      </c>
      <c r="Q709" s="140">
        <v>21</v>
      </c>
    </row>
    <row r="710" spans="12:17" x14ac:dyDescent="0.35">
      <c r="L710" s="140">
        <v>708</v>
      </c>
      <c r="M710" s="140">
        <v>0</v>
      </c>
      <c r="O710" s="140">
        <f t="shared" si="22"/>
        <v>0</v>
      </c>
      <c r="Q710" s="140">
        <v>13</v>
      </c>
    </row>
    <row r="711" spans="12:17" x14ac:dyDescent="0.35">
      <c r="L711" s="140">
        <v>709</v>
      </c>
      <c r="M711" s="140">
        <v>0</v>
      </c>
      <c r="O711" s="140">
        <f t="shared" si="22"/>
        <v>0</v>
      </c>
      <c r="Q711" s="140">
        <v>14</v>
      </c>
    </row>
    <row r="712" spans="12:17" x14ac:dyDescent="0.35">
      <c r="L712" s="140">
        <v>710</v>
      </c>
      <c r="M712" s="140">
        <v>0</v>
      </c>
      <c r="O712" s="140">
        <f t="shared" si="22"/>
        <v>0</v>
      </c>
      <c r="Q712" s="140">
        <v>22</v>
      </c>
    </row>
    <row r="713" spans="12:17" x14ac:dyDescent="0.35">
      <c r="L713" s="140">
        <v>711</v>
      </c>
      <c r="M713" s="140">
        <v>0</v>
      </c>
      <c r="O713" s="140">
        <f t="shared" si="22"/>
        <v>0</v>
      </c>
      <c r="Q713" s="140">
        <v>21</v>
      </c>
    </row>
    <row r="714" spans="12:17" x14ac:dyDescent="0.35">
      <c r="L714" s="140">
        <v>712</v>
      </c>
      <c r="M714" s="140">
        <v>0</v>
      </c>
      <c r="O714" s="140">
        <f t="shared" si="22"/>
        <v>0</v>
      </c>
      <c r="Q714" s="140">
        <v>14</v>
      </c>
    </row>
    <row r="715" spans="12:17" x14ac:dyDescent="0.35">
      <c r="L715" s="140">
        <v>713</v>
      </c>
      <c r="M715" s="140">
        <v>0</v>
      </c>
      <c r="O715" s="140">
        <f t="shared" si="22"/>
        <v>0</v>
      </c>
      <c r="Q715" s="140">
        <v>12</v>
      </c>
    </row>
    <row r="716" spans="12:17" x14ac:dyDescent="0.35">
      <c r="L716" s="140">
        <v>714</v>
      </c>
      <c r="M716" s="140">
        <v>0</v>
      </c>
      <c r="O716" s="140">
        <f t="shared" si="22"/>
        <v>0</v>
      </c>
      <c r="Q716" s="140">
        <v>17</v>
      </c>
    </row>
    <row r="717" spans="12:17" x14ac:dyDescent="0.35">
      <c r="L717" s="140">
        <v>715</v>
      </c>
      <c r="M717" s="140">
        <v>1</v>
      </c>
      <c r="O717" s="140">
        <f t="shared" si="22"/>
        <v>0</v>
      </c>
      <c r="Q717" s="140">
        <v>13</v>
      </c>
    </row>
    <row r="718" spans="12:17" x14ac:dyDescent="0.35">
      <c r="L718" s="140">
        <v>716</v>
      </c>
      <c r="M718" s="140">
        <v>0</v>
      </c>
      <c r="O718" s="140">
        <f t="shared" si="22"/>
        <v>0</v>
      </c>
      <c r="Q718" s="140">
        <v>20</v>
      </c>
    </row>
    <row r="719" spans="12:17" x14ac:dyDescent="0.35">
      <c r="L719" s="140">
        <v>717</v>
      </c>
      <c r="M719" s="140">
        <v>0</v>
      </c>
      <c r="O719" s="140">
        <f t="shared" si="22"/>
        <v>0</v>
      </c>
      <c r="Q719" s="140">
        <v>10</v>
      </c>
    </row>
    <row r="720" spans="12:17" x14ac:dyDescent="0.35">
      <c r="L720" s="140">
        <v>718</v>
      </c>
      <c r="M720" s="140">
        <v>0</v>
      </c>
      <c r="O720" s="140">
        <f t="shared" si="22"/>
        <v>0</v>
      </c>
      <c r="Q720" s="140">
        <v>8</v>
      </c>
    </row>
    <row r="721" spans="12:17" x14ac:dyDescent="0.35">
      <c r="L721" s="140">
        <v>719</v>
      </c>
      <c r="M721" s="140">
        <v>0</v>
      </c>
      <c r="O721" s="140">
        <f t="shared" si="22"/>
        <v>0</v>
      </c>
      <c r="Q721" s="140">
        <v>12</v>
      </c>
    </row>
    <row r="722" spans="12:17" x14ac:dyDescent="0.35">
      <c r="L722" s="140">
        <v>720</v>
      </c>
      <c r="M722" s="140">
        <v>0</v>
      </c>
      <c r="O722" s="140">
        <f t="shared" si="22"/>
        <v>0</v>
      </c>
      <c r="Q722" s="140">
        <v>8</v>
      </c>
    </row>
    <row r="723" spans="12:17" x14ac:dyDescent="0.35">
      <c r="L723" s="140">
        <v>721</v>
      </c>
      <c r="M723" s="140">
        <v>0</v>
      </c>
      <c r="O723" s="140">
        <f t="shared" si="22"/>
        <v>0</v>
      </c>
      <c r="Q723" s="140">
        <v>16</v>
      </c>
    </row>
    <row r="724" spans="12:17" x14ac:dyDescent="0.35">
      <c r="L724" s="140">
        <v>722</v>
      </c>
      <c r="M724" s="140">
        <v>0</v>
      </c>
      <c r="O724" s="140">
        <f t="shared" si="22"/>
        <v>0</v>
      </c>
      <c r="Q724" s="140">
        <v>19</v>
      </c>
    </row>
    <row r="725" spans="12:17" x14ac:dyDescent="0.35">
      <c r="L725" s="140">
        <v>723</v>
      </c>
      <c r="M725" s="140">
        <v>0</v>
      </c>
      <c r="O725" s="140">
        <f t="shared" si="22"/>
        <v>0</v>
      </c>
      <c r="Q725" s="140">
        <v>12</v>
      </c>
    </row>
    <row r="726" spans="12:17" x14ac:dyDescent="0.35">
      <c r="L726" s="140">
        <v>724</v>
      </c>
      <c r="M726" s="140">
        <v>0</v>
      </c>
      <c r="O726" s="140">
        <f t="shared" si="22"/>
        <v>0</v>
      </c>
      <c r="Q726" s="140">
        <v>13</v>
      </c>
    </row>
    <row r="727" spans="12:17" x14ac:dyDescent="0.35">
      <c r="L727" s="140">
        <v>725</v>
      </c>
      <c r="M727" s="140">
        <v>0</v>
      </c>
      <c r="O727" s="140">
        <f t="shared" si="22"/>
        <v>0</v>
      </c>
      <c r="Q727" s="140">
        <v>8</v>
      </c>
    </row>
    <row r="728" spans="12:17" x14ac:dyDescent="0.35">
      <c r="L728" s="140">
        <v>726</v>
      </c>
      <c r="M728" s="140">
        <v>1</v>
      </c>
      <c r="O728" s="140">
        <f t="shared" si="22"/>
        <v>0</v>
      </c>
      <c r="Q728" s="140">
        <v>8</v>
      </c>
    </row>
    <row r="729" spans="12:17" x14ac:dyDescent="0.35">
      <c r="L729" s="140">
        <v>727</v>
      </c>
      <c r="M729" s="140">
        <v>0</v>
      </c>
      <c r="O729" s="140">
        <f t="shared" si="22"/>
        <v>0</v>
      </c>
      <c r="Q729" s="140">
        <v>18</v>
      </c>
    </row>
    <row r="730" spans="12:17" x14ac:dyDescent="0.35">
      <c r="L730" s="140">
        <v>728</v>
      </c>
      <c r="M730" s="140">
        <v>0</v>
      </c>
      <c r="O730" s="140">
        <f t="shared" si="22"/>
        <v>0</v>
      </c>
      <c r="Q730" s="140">
        <v>21</v>
      </c>
    </row>
    <row r="731" spans="12:17" x14ac:dyDescent="0.35">
      <c r="L731" s="140">
        <v>729</v>
      </c>
      <c r="M731" s="140">
        <v>0</v>
      </c>
      <c r="O731" s="140">
        <f t="shared" si="22"/>
        <v>0</v>
      </c>
      <c r="Q731" s="140">
        <v>15</v>
      </c>
    </row>
    <row r="732" spans="12:17" x14ac:dyDescent="0.35">
      <c r="L732" s="140">
        <v>730</v>
      </c>
      <c r="M732" s="140">
        <v>0</v>
      </c>
      <c r="O732" s="140">
        <f t="shared" si="22"/>
        <v>0</v>
      </c>
      <c r="Q732" s="140">
        <v>13</v>
      </c>
    </row>
    <row r="733" spans="12:17" x14ac:dyDescent="0.35">
      <c r="L733" s="140">
        <v>731</v>
      </c>
      <c r="M733" s="140">
        <v>0</v>
      </c>
      <c r="O733" s="140">
        <f t="shared" si="22"/>
        <v>0</v>
      </c>
      <c r="Q733" s="140">
        <v>19</v>
      </c>
    </row>
    <row r="734" spans="12:17" x14ac:dyDescent="0.35">
      <c r="L734" s="140">
        <v>732</v>
      </c>
      <c r="M734" s="140">
        <v>0</v>
      </c>
      <c r="O734" s="140">
        <f t="shared" si="22"/>
        <v>0</v>
      </c>
      <c r="Q734" s="140">
        <v>5</v>
      </c>
    </row>
    <row r="735" spans="12:17" x14ac:dyDescent="0.35">
      <c r="L735" s="140">
        <v>733</v>
      </c>
      <c r="M735" s="140">
        <v>0</v>
      </c>
      <c r="O735" s="140">
        <f t="shared" si="22"/>
        <v>0</v>
      </c>
      <c r="Q735" s="140">
        <v>12</v>
      </c>
    </row>
    <row r="736" spans="12:17" x14ac:dyDescent="0.35">
      <c r="L736" s="140">
        <v>734</v>
      </c>
      <c r="M736" s="140">
        <v>0</v>
      </c>
      <c r="O736" s="140">
        <f t="shared" si="22"/>
        <v>0</v>
      </c>
      <c r="Q736" s="140">
        <v>15</v>
      </c>
    </row>
    <row r="737" spans="12:17" x14ac:dyDescent="0.35">
      <c r="L737" s="140">
        <v>735</v>
      </c>
      <c r="M737" s="140">
        <v>0</v>
      </c>
      <c r="O737" s="140">
        <f t="shared" si="22"/>
        <v>0</v>
      </c>
      <c r="Q737" s="140">
        <v>8</v>
      </c>
    </row>
    <row r="738" spans="12:17" x14ac:dyDescent="0.35">
      <c r="L738" s="140">
        <v>736</v>
      </c>
      <c r="M738" s="140">
        <v>0</v>
      </c>
      <c r="O738" s="140">
        <f t="shared" si="22"/>
        <v>0</v>
      </c>
      <c r="Q738" s="140">
        <v>11</v>
      </c>
    </row>
    <row r="739" spans="12:17" x14ac:dyDescent="0.35">
      <c r="L739" s="140">
        <v>737</v>
      </c>
      <c r="M739" s="140">
        <v>0</v>
      </c>
      <c r="O739" s="140">
        <f t="shared" si="22"/>
        <v>0</v>
      </c>
      <c r="Q739" s="140">
        <v>14</v>
      </c>
    </row>
    <row r="740" spans="12:17" x14ac:dyDescent="0.35">
      <c r="L740" s="140">
        <v>738</v>
      </c>
      <c r="M740" s="140">
        <v>0</v>
      </c>
      <c r="O740" s="140">
        <f t="shared" si="22"/>
        <v>0</v>
      </c>
      <c r="Q740" s="140">
        <v>13</v>
      </c>
    </row>
    <row r="741" spans="12:17" x14ac:dyDescent="0.35">
      <c r="L741" s="140">
        <v>739</v>
      </c>
      <c r="M741" s="140">
        <v>0</v>
      </c>
      <c r="O741" s="140">
        <f t="shared" si="22"/>
        <v>0</v>
      </c>
      <c r="Q741" s="140">
        <v>15</v>
      </c>
    </row>
    <row r="742" spans="12:17" x14ac:dyDescent="0.35">
      <c r="L742" s="140">
        <v>740</v>
      </c>
      <c r="M742" s="140">
        <v>0</v>
      </c>
      <c r="O742" s="140">
        <f t="shared" si="22"/>
        <v>0</v>
      </c>
      <c r="Q742" s="140">
        <v>9</v>
      </c>
    </row>
    <row r="743" spans="12:17" x14ac:dyDescent="0.35">
      <c r="L743" s="140">
        <v>741</v>
      </c>
      <c r="M743" s="140">
        <v>0</v>
      </c>
      <c r="O743" s="140">
        <f t="shared" si="22"/>
        <v>0</v>
      </c>
      <c r="Q743" s="140">
        <v>14</v>
      </c>
    </row>
    <row r="744" spans="12:17" x14ac:dyDescent="0.35">
      <c r="L744" s="140">
        <v>742</v>
      </c>
      <c r="M744" s="140">
        <v>0</v>
      </c>
      <c r="O744" s="140">
        <f t="shared" si="22"/>
        <v>0</v>
      </c>
      <c r="Q744" s="140">
        <v>8</v>
      </c>
    </row>
    <row r="745" spans="12:17" x14ac:dyDescent="0.35">
      <c r="L745" s="140">
        <v>743</v>
      </c>
      <c r="M745" s="140">
        <v>0</v>
      </c>
      <c r="O745" s="140">
        <f t="shared" si="22"/>
        <v>0</v>
      </c>
      <c r="Q745" s="140">
        <v>10</v>
      </c>
    </row>
    <row r="746" spans="12:17" x14ac:dyDescent="0.35">
      <c r="L746" s="140">
        <v>744</v>
      </c>
      <c r="M746" s="140">
        <v>1</v>
      </c>
      <c r="O746" s="140">
        <f t="shared" si="22"/>
        <v>0</v>
      </c>
      <c r="Q746" s="140">
        <v>8</v>
      </c>
    </row>
    <row r="747" spans="12:17" x14ac:dyDescent="0.35">
      <c r="L747" s="140">
        <v>745</v>
      </c>
      <c r="M747" s="140">
        <v>0</v>
      </c>
      <c r="O747" s="140">
        <f t="shared" si="22"/>
        <v>0</v>
      </c>
      <c r="Q747" s="140">
        <v>14</v>
      </c>
    </row>
    <row r="748" spans="12:17" x14ac:dyDescent="0.35">
      <c r="L748" s="140">
        <v>746</v>
      </c>
      <c r="M748" s="140">
        <v>0</v>
      </c>
      <c r="O748" s="140">
        <f t="shared" si="22"/>
        <v>0</v>
      </c>
      <c r="Q748" s="140">
        <v>12</v>
      </c>
    </row>
    <row r="749" spans="12:17" x14ac:dyDescent="0.35">
      <c r="L749" s="140">
        <v>747</v>
      </c>
      <c r="M749" s="140">
        <v>0</v>
      </c>
      <c r="O749" s="140">
        <f t="shared" si="22"/>
        <v>0</v>
      </c>
      <c r="Q749" s="140">
        <v>14</v>
      </c>
    </row>
    <row r="750" spans="12:17" x14ac:dyDescent="0.35">
      <c r="L750" s="140">
        <v>748</v>
      </c>
      <c r="M750" s="140">
        <v>0</v>
      </c>
      <c r="O750" s="140">
        <f t="shared" ref="O750:O813" si="23">MAX(N750:N1748)</f>
        <v>0</v>
      </c>
      <c r="Q750" s="140">
        <v>13</v>
      </c>
    </row>
    <row r="751" spans="12:17" x14ac:dyDescent="0.35">
      <c r="L751" s="140">
        <v>749</v>
      </c>
      <c r="M751" s="140">
        <v>1</v>
      </c>
      <c r="O751" s="140">
        <f t="shared" si="23"/>
        <v>0</v>
      </c>
      <c r="Q751" s="140">
        <v>15</v>
      </c>
    </row>
    <row r="752" spans="12:17" x14ac:dyDescent="0.35">
      <c r="L752" s="140">
        <v>750</v>
      </c>
      <c r="M752" s="140">
        <v>0</v>
      </c>
      <c r="O752" s="140">
        <f t="shared" si="23"/>
        <v>0</v>
      </c>
      <c r="Q752" s="140">
        <v>13</v>
      </c>
    </row>
    <row r="753" spans="12:17" x14ac:dyDescent="0.35">
      <c r="L753" s="140">
        <v>751</v>
      </c>
      <c r="M753" s="140">
        <v>0</v>
      </c>
      <c r="O753" s="140">
        <f t="shared" si="23"/>
        <v>0</v>
      </c>
      <c r="Q753" s="140">
        <v>13</v>
      </c>
    </row>
    <row r="754" spans="12:17" x14ac:dyDescent="0.35">
      <c r="L754" s="140">
        <v>752</v>
      </c>
      <c r="M754" s="140">
        <v>0</v>
      </c>
      <c r="O754" s="140">
        <f t="shared" si="23"/>
        <v>0</v>
      </c>
      <c r="Q754" s="140">
        <v>10</v>
      </c>
    </row>
    <row r="755" spans="12:17" x14ac:dyDescent="0.35">
      <c r="L755" s="140">
        <v>753</v>
      </c>
      <c r="M755" s="140">
        <v>1</v>
      </c>
      <c r="O755" s="140">
        <f t="shared" si="23"/>
        <v>0</v>
      </c>
      <c r="Q755" s="140">
        <v>9</v>
      </c>
    </row>
    <row r="756" spans="12:17" x14ac:dyDescent="0.35">
      <c r="L756" s="140">
        <v>754</v>
      </c>
      <c r="M756" s="140">
        <v>0</v>
      </c>
      <c r="O756" s="140">
        <f t="shared" si="23"/>
        <v>0</v>
      </c>
      <c r="Q756" s="140">
        <v>13</v>
      </c>
    </row>
    <row r="757" spans="12:17" x14ac:dyDescent="0.35">
      <c r="L757" s="140">
        <v>755</v>
      </c>
      <c r="M757" s="140">
        <v>0</v>
      </c>
      <c r="O757" s="140">
        <f t="shared" si="23"/>
        <v>0</v>
      </c>
      <c r="Q757" s="140">
        <v>7</v>
      </c>
    </row>
    <row r="758" spans="12:17" x14ac:dyDescent="0.35">
      <c r="L758" s="140">
        <v>756</v>
      </c>
      <c r="M758" s="140">
        <v>0</v>
      </c>
      <c r="O758" s="140">
        <f t="shared" si="23"/>
        <v>0</v>
      </c>
      <c r="Q758" s="140">
        <v>7</v>
      </c>
    </row>
    <row r="759" spans="12:17" x14ac:dyDescent="0.35">
      <c r="L759" s="140">
        <v>757</v>
      </c>
      <c r="M759" s="140">
        <v>0</v>
      </c>
      <c r="O759" s="140">
        <f t="shared" si="23"/>
        <v>0</v>
      </c>
      <c r="Q759" s="140">
        <v>19</v>
      </c>
    </row>
    <row r="760" spans="12:17" x14ac:dyDescent="0.35">
      <c r="L760" s="140">
        <v>758</v>
      </c>
      <c r="M760" s="140">
        <v>0</v>
      </c>
      <c r="O760" s="140">
        <f t="shared" si="23"/>
        <v>0</v>
      </c>
      <c r="Q760" s="140">
        <v>19</v>
      </c>
    </row>
    <row r="761" spans="12:17" x14ac:dyDescent="0.35">
      <c r="L761" s="140">
        <v>759</v>
      </c>
      <c r="M761" s="140">
        <v>1</v>
      </c>
      <c r="O761" s="140">
        <f t="shared" si="23"/>
        <v>0</v>
      </c>
      <c r="Q761" s="140">
        <v>12</v>
      </c>
    </row>
    <row r="762" spans="12:17" x14ac:dyDescent="0.35">
      <c r="L762" s="140">
        <v>760</v>
      </c>
      <c r="M762" s="140">
        <v>0</v>
      </c>
      <c r="O762" s="140">
        <f t="shared" si="23"/>
        <v>0</v>
      </c>
      <c r="Q762" s="140">
        <v>14</v>
      </c>
    </row>
    <row r="763" spans="12:17" x14ac:dyDescent="0.35">
      <c r="L763" s="140">
        <v>761</v>
      </c>
      <c r="M763" s="140">
        <v>0</v>
      </c>
      <c r="O763" s="140">
        <f t="shared" si="23"/>
        <v>0</v>
      </c>
      <c r="Q763" s="140">
        <v>12</v>
      </c>
    </row>
    <row r="764" spans="12:17" x14ac:dyDescent="0.35">
      <c r="L764" s="140">
        <v>762</v>
      </c>
      <c r="M764" s="140">
        <v>0</v>
      </c>
      <c r="O764" s="140">
        <f t="shared" si="23"/>
        <v>0</v>
      </c>
      <c r="Q764" s="140">
        <v>15</v>
      </c>
    </row>
    <row r="765" spans="12:17" x14ac:dyDescent="0.35">
      <c r="L765" s="140">
        <v>763</v>
      </c>
      <c r="M765" s="140">
        <v>0</v>
      </c>
      <c r="O765" s="140">
        <f t="shared" si="23"/>
        <v>0</v>
      </c>
      <c r="Q765" s="140">
        <v>10</v>
      </c>
    </row>
    <row r="766" spans="12:17" x14ac:dyDescent="0.35">
      <c r="L766" s="140">
        <v>764</v>
      </c>
      <c r="M766" s="140">
        <v>0</v>
      </c>
      <c r="O766" s="140">
        <f t="shared" si="23"/>
        <v>0</v>
      </c>
      <c r="Q766" s="140">
        <v>11</v>
      </c>
    </row>
    <row r="767" spans="12:17" x14ac:dyDescent="0.35">
      <c r="L767" s="140">
        <v>765</v>
      </c>
      <c r="M767" s="140">
        <v>0</v>
      </c>
      <c r="O767" s="140">
        <f t="shared" si="23"/>
        <v>0</v>
      </c>
      <c r="Q767" s="140">
        <v>6</v>
      </c>
    </row>
    <row r="768" spans="12:17" x14ac:dyDescent="0.35">
      <c r="L768" s="140">
        <v>766</v>
      </c>
      <c r="M768" s="140">
        <v>0</v>
      </c>
      <c r="O768" s="140">
        <f t="shared" si="23"/>
        <v>0</v>
      </c>
      <c r="Q768" s="140">
        <v>17</v>
      </c>
    </row>
    <row r="769" spans="12:17" x14ac:dyDescent="0.35">
      <c r="L769" s="140">
        <v>767</v>
      </c>
      <c r="M769" s="140">
        <v>0</v>
      </c>
      <c r="O769" s="140">
        <f t="shared" si="23"/>
        <v>0</v>
      </c>
      <c r="Q769" s="140">
        <v>12</v>
      </c>
    </row>
    <row r="770" spans="12:17" x14ac:dyDescent="0.35">
      <c r="L770" s="140">
        <v>768</v>
      </c>
      <c r="M770" s="140">
        <v>0</v>
      </c>
      <c r="O770" s="140">
        <f t="shared" si="23"/>
        <v>0</v>
      </c>
      <c r="Q770" s="140">
        <v>14</v>
      </c>
    </row>
    <row r="771" spans="12:17" x14ac:dyDescent="0.35">
      <c r="L771" s="140">
        <v>769</v>
      </c>
      <c r="M771" s="140">
        <v>0</v>
      </c>
      <c r="O771" s="140">
        <f t="shared" si="23"/>
        <v>0</v>
      </c>
      <c r="Q771" s="140">
        <v>10</v>
      </c>
    </row>
    <row r="772" spans="12:17" x14ac:dyDescent="0.35">
      <c r="L772" s="140">
        <v>770</v>
      </c>
      <c r="M772" s="140">
        <v>0</v>
      </c>
      <c r="O772" s="140">
        <f t="shared" si="23"/>
        <v>0</v>
      </c>
      <c r="Q772" s="140">
        <v>9</v>
      </c>
    </row>
    <row r="773" spans="12:17" x14ac:dyDescent="0.35">
      <c r="L773" s="140">
        <v>771</v>
      </c>
      <c r="M773" s="140">
        <v>0</v>
      </c>
      <c r="O773" s="140">
        <f t="shared" si="23"/>
        <v>0</v>
      </c>
      <c r="Q773" s="140">
        <v>11</v>
      </c>
    </row>
    <row r="774" spans="12:17" x14ac:dyDescent="0.35">
      <c r="L774" s="140">
        <v>772</v>
      </c>
      <c r="M774" s="140">
        <v>0</v>
      </c>
      <c r="O774" s="140">
        <f t="shared" si="23"/>
        <v>0</v>
      </c>
      <c r="Q774" s="140">
        <v>11</v>
      </c>
    </row>
    <row r="775" spans="12:17" x14ac:dyDescent="0.35">
      <c r="L775" s="140">
        <v>773</v>
      </c>
      <c r="M775" s="140">
        <v>0</v>
      </c>
      <c r="O775" s="140">
        <f t="shared" si="23"/>
        <v>0</v>
      </c>
      <c r="Q775" s="140">
        <v>14</v>
      </c>
    </row>
    <row r="776" spans="12:17" x14ac:dyDescent="0.35">
      <c r="L776" s="140">
        <v>774</v>
      </c>
      <c r="M776" s="140">
        <v>0</v>
      </c>
      <c r="O776" s="140">
        <f t="shared" si="23"/>
        <v>0</v>
      </c>
      <c r="Q776" s="140">
        <v>14</v>
      </c>
    </row>
    <row r="777" spans="12:17" x14ac:dyDescent="0.35">
      <c r="L777" s="140">
        <v>775</v>
      </c>
      <c r="M777" s="140">
        <v>0</v>
      </c>
      <c r="O777" s="140">
        <f t="shared" si="23"/>
        <v>0</v>
      </c>
      <c r="Q777" s="140">
        <v>10</v>
      </c>
    </row>
    <row r="778" spans="12:17" x14ac:dyDescent="0.35">
      <c r="L778" s="140">
        <v>776</v>
      </c>
      <c r="M778" s="140">
        <v>0</v>
      </c>
      <c r="O778" s="140">
        <f t="shared" si="23"/>
        <v>0</v>
      </c>
      <c r="Q778" s="140">
        <v>14</v>
      </c>
    </row>
    <row r="779" spans="12:17" x14ac:dyDescent="0.35">
      <c r="L779" s="140">
        <v>777</v>
      </c>
      <c r="M779" s="140">
        <v>0</v>
      </c>
      <c r="O779" s="140">
        <f t="shared" si="23"/>
        <v>0</v>
      </c>
      <c r="Q779" s="140">
        <v>8</v>
      </c>
    </row>
    <row r="780" spans="12:17" x14ac:dyDescent="0.35">
      <c r="L780" s="140">
        <v>778</v>
      </c>
      <c r="M780" s="140">
        <v>0</v>
      </c>
      <c r="O780" s="140">
        <f t="shared" si="23"/>
        <v>0</v>
      </c>
      <c r="Q780" s="140">
        <v>4</v>
      </c>
    </row>
    <row r="781" spans="12:17" x14ac:dyDescent="0.35">
      <c r="L781" s="140">
        <v>779</v>
      </c>
      <c r="M781" s="140">
        <v>1</v>
      </c>
      <c r="O781" s="140">
        <f t="shared" si="23"/>
        <v>0</v>
      </c>
      <c r="Q781" s="140">
        <v>15</v>
      </c>
    </row>
    <row r="782" spans="12:17" x14ac:dyDescent="0.35">
      <c r="L782" s="140">
        <v>780</v>
      </c>
      <c r="M782" s="140">
        <v>0</v>
      </c>
      <c r="O782" s="140">
        <f t="shared" si="23"/>
        <v>0</v>
      </c>
      <c r="Q782" s="140">
        <v>11</v>
      </c>
    </row>
    <row r="783" spans="12:17" x14ac:dyDescent="0.35">
      <c r="L783" s="140">
        <v>781</v>
      </c>
      <c r="M783" s="140">
        <v>0</v>
      </c>
      <c r="O783" s="140">
        <f t="shared" si="23"/>
        <v>0</v>
      </c>
      <c r="Q783" s="140">
        <v>10</v>
      </c>
    </row>
    <row r="784" spans="12:17" x14ac:dyDescent="0.35">
      <c r="L784" s="140">
        <v>782</v>
      </c>
      <c r="M784" s="140">
        <v>0</v>
      </c>
      <c r="O784" s="140">
        <f t="shared" si="23"/>
        <v>0</v>
      </c>
      <c r="Q784" s="140">
        <v>9</v>
      </c>
    </row>
    <row r="785" spans="12:17" x14ac:dyDescent="0.35">
      <c r="L785" s="140">
        <v>783</v>
      </c>
      <c r="M785" s="140">
        <v>0</v>
      </c>
      <c r="O785" s="140">
        <f t="shared" si="23"/>
        <v>0</v>
      </c>
      <c r="Q785" s="140">
        <v>16</v>
      </c>
    </row>
    <row r="786" spans="12:17" x14ac:dyDescent="0.35">
      <c r="L786" s="140">
        <v>784</v>
      </c>
      <c r="M786" s="140">
        <v>0</v>
      </c>
      <c r="O786" s="140">
        <f t="shared" si="23"/>
        <v>0</v>
      </c>
      <c r="Q786" s="140">
        <v>13</v>
      </c>
    </row>
    <row r="787" spans="12:17" x14ac:dyDescent="0.35">
      <c r="L787" s="140">
        <v>785</v>
      </c>
      <c r="M787" s="140">
        <v>0</v>
      </c>
      <c r="O787" s="140">
        <f t="shared" si="23"/>
        <v>0</v>
      </c>
      <c r="Q787" s="140">
        <v>11</v>
      </c>
    </row>
    <row r="788" spans="12:17" x14ac:dyDescent="0.35">
      <c r="L788" s="140">
        <v>786</v>
      </c>
      <c r="M788" s="140">
        <v>0</v>
      </c>
      <c r="O788" s="140">
        <f t="shared" si="23"/>
        <v>0</v>
      </c>
      <c r="Q788" s="140">
        <v>10</v>
      </c>
    </row>
    <row r="789" spans="12:17" x14ac:dyDescent="0.35">
      <c r="L789" s="140">
        <v>787</v>
      </c>
      <c r="M789" s="140">
        <v>0</v>
      </c>
      <c r="O789" s="140">
        <f t="shared" si="23"/>
        <v>0</v>
      </c>
      <c r="Q789" s="140">
        <v>13</v>
      </c>
    </row>
    <row r="790" spans="12:17" x14ac:dyDescent="0.35">
      <c r="L790" s="140">
        <v>788</v>
      </c>
      <c r="M790" s="140">
        <v>0</v>
      </c>
      <c r="O790" s="140">
        <f t="shared" si="23"/>
        <v>0</v>
      </c>
      <c r="Q790" s="140">
        <v>9</v>
      </c>
    </row>
    <row r="791" spans="12:17" x14ac:dyDescent="0.35">
      <c r="L791" s="140">
        <v>789</v>
      </c>
      <c r="M791" s="140">
        <v>0</v>
      </c>
      <c r="O791" s="140">
        <f t="shared" si="23"/>
        <v>0</v>
      </c>
      <c r="Q791" s="140">
        <v>11</v>
      </c>
    </row>
    <row r="792" spans="12:17" x14ac:dyDescent="0.35">
      <c r="L792" s="140">
        <v>790</v>
      </c>
      <c r="M792" s="140">
        <v>0</v>
      </c>
      <c r="O792" s="140">
        <f t="shared" si="23"/>
        <v>0</v>
      </c>
      <c r="Q792" s="140">
        <v>12</v>
      </c>
    </row>
    <row r="793" spans="12:17" x14ac:dyDescent="0.35">
      <c r="L793" s="140">
        <v>791</v>
      </c>
      <c r="M793" s="140">
        <v>0</v>
      </c>
      <c r="O793" s="140">
        <f t="shared" si="23"/>
        <v>0</v>
      </c>
      <c r="Q793" s="140">
        <v>8</v>
      </c>
    </row>
    <row r="794" spans="12:17" x14ac:dyDescent="0.35">
      <c r="L794" s="140">
        <v>792</v>
      </c>
      <c r="M794" s="140">
        <v>0</v>
      </c>
      <c r="O794" s="140">
        <f t="shared" si="23"/>
        <v>0</v>
      </c>
      <c r="Q794" s="140">
        <v>15</v>
      </c>
    </row>
    <row r="795" spans="12:17" x14ac:dyDescent="0.35">
      <c r="L795" s="140">
        <v>793</v>
      </c>
      <c r="M795" s="140">
        <v>0</v>
      </c>
      <c r="O795" s="140">
        <f t="shared" si="23"/>
        <v>0</v>
      </c>
      <c r="Q795" s="140">
        <v>11</v>
      </c>
    </row>
    <row r="796" spans="12:17" x14ac:dyDescent="0.35">
      <c r="L796" s="140">
        <v>794</v>
      </c>
      <c r="M796" s="140">
        <v>0</v>
      </c>
      <c r="O796" s="140">
        <f t="shared" si="23"/>
        <v>0</v>
      </c>
      <c r="Q796" s="140">
        <v>16</v>
      </c>
    </row>
    <row r="797" spans="12:17" x14ac:dyDescent="0.35">
      <c r="L797" s="140">
        <v>795</v>
      </c>
      <c r="M797" s="140">
        <v>0</v>
      </c>
      <c r="O797" s="140">
        <f t="shared" si="23"/>
        <v>0</v>
      </c>
      <c r="Q797" s="140">
        <v>15</v>
      </c>
    </row>
    <row r="798" spans="12:17" x14ac:dyDescent="0.35">
      <c r="L798" s="140">
        <v>796</v>
      </c>
      <c r="M798" s="140">
        <v>0</v>
      </c>
      <c r="O798" s="140">
        <f t="shared" si="23"/>
        <v>0</v>
      </c>
      <c r="Q798" s="140">
        <v>6</v>
      </c>
    </row>
    <row r="799" spans="12:17" x14ac:dyDescent="0.35">
      <c r="L799" s="140">
        <v>797</v>
      </c>
      <c r="M799" s="140">
        <v>0</v>
      </c>
      <c r="O799" s="140">
        <f t="shared" si="23"/>
        <v>0</v>
      </c>
      <c r="Q799" s="140">
        <v>10</v>
      </c>
    </row>
    <row r="800" spans="12:17" x14ac:dyDescent="0.35">
      <c r="L800" s="140">
        <v>798</v>
      </c>
      <c r="M800" s="140">
        <v>0</v>
      </c>
      <c r="O800" s="140">
        <f t="shared" si="23"/>
        <v>0</v>
      </c>
      <c r="Q800" s="140">
        <v>8</v>
      </c>
    </row>
    <row r="801" spans="12:17" x14ac:dyDescent="0.35">
      <c r="L801" s="140">
        <v>799</v>
      </c>
      <c r="M801" s="140">
        <v>0</v>
      </c>
      <c r="O801" s="140">
        <f t="shared" si="23"/>
        <v>0</v>
      </c>
      <c r="Q801" s="140">
        <v>7</v>
      </c>
    </row>
    <row r="802" spans="12:17" x14ac:dyDescent="0.35">
      <c r="L802" s="140">
        <v>800</v>
      </c>
      <c r="M802" s="140">
        <v>0</v>
      </c>
      <c r="O802" s="140">
        <f t="shared" si="23"/>
        <v>0</v>
      </c>
      <c r="Q802" s="140">
        <v>11</v>
      </c>
    </row>
    <row r="803" spans="12:17" x14ac:dyDescent="0.35">
      <c r="L803" s="140">
        <v>801</v>
      </c>
      <c r="M803" s="140">
        <v>0</v>
      </c>
      <c r="O803" s="140">
        <f t="shared" si="23"/>
        <v>0</v>
      </c>
      <c r="Q803" s="140">
        <v>13</v>
      </c>
    </row>
    <row r="804" spans="12:17" x14ac:dyDescent="0.35">
      <c r="L804" s="140">
        <v>802</v>
      </c>
      <c r="M804" s="140">
        <v>0</v>
      </c>
      <c r="O804" s="140">
        <f t="shared" si="23"/>
        <v>0</v>
      </c>
      <c r="Q804" s="140">
        <v>11</v>
      </c>
    </row>
    <row r="805" spans="12:17" x14ac:dyDescent="0.35">
      <c r="L805" s="140">
        <v>803</v>
      </c>
      <c r="M805" s="140">
        <v>0</v>
      </c>
      <c r="O805" s="140">
        <f t="shared" si="23"/>
        <v>0</v>
      </c>
      <c r="Q805" s="140">
        <v>8</v>
      </c>
    </row>
    <row r="806" spans="12:17" x14ac:dyDescent="0.35">
      <c r="L806" s="140">
        <v>804</v>
      </c>
      <c r="M806" s="140">
        <v>1</v>
      </c>
      <c r="O806" s="140">
        <f t="shared" si="23"/>
        <v>0</v>
      </c>
      <c r="Q806" s="140">
        <v>13</v>
      </c>
    </row>
    <row r="807" spans="12:17" x14ac:dyDescent="0.35">
      <c r="L807" s="140">
        <v>805</v>
      </c>
      <c r="M807" s="140">
        <v>0</v>
      </c>
      <c r="O807" s="140">
        <f t="shared" si="23"/>
        <v>0</v>
      </c>
      <c r="Q807" s="140">
        <v>14</v>
      </c>
    </row>
    <row r="808" spans="12:17" x14ac:dyDescent="0.35">
      <c r="L808" s="140">
        <v>806</v>
      </c>
      <c r="M808" s="140">
        <v>0</v>
      </c>
      <c r="O808" s="140">
        <f t="shared" si="23"/>
        <v>0</v>
      </c>
      <c r="Q808" s="140">
        <v>9</v>
      </c>
    </row>
    <row r="809" spans="12:17" x14ac:dyDescent="0.35">
      <c r="L809" s="140">
        <v>807</v>
      </c>
      <c r="M809" s="140">
        <v>0</v>
      </c>
      <c r="O809" s="140">
        <f t="shared" si="23"/>
        <v>0</v>
      </c>
      <c r="Q809" s="140">
        <v>12</v>
      </c>
    </row>
    <row r="810" spans="12:17" x14ac:dyDescent="0.35">
      <c r="L810" s="140">
        <v>808</v>
      </c>
      <c r="M810" s="140">
        <v>0</v>
      </c>
      <c r="O810" s="140">
        <f t="shared" si="23"/>
        <v>0</v>
      </c>
      <c r="Q810" s="140">
        <v>7</v>
      </c>
    </row>
    <row r="811" spans="12:17" x14ac:dyDescent="0.35">
      <c r="L811" s="140">
        <v>809</v>
      </c>
      <c r="M811" s="140">
        <v>0</v>
      </c>
      <c r="O811" s="140">
        <f t="shared" si="23"/>
        <v>0</v>
      </c>
      <c r="Q811" s="140">
        <v>15</v>
      </c>
    </row>
    <row r="812" spans="12:17" x14ac:dyDescent="0.35">
      <c r="L812" s="140">
        <v>810</v>
      </c>
      <c r="M812" s="140">
        <v>0</v>
      </c>
      <c r="O812" s="140">
        <f t="shared" si="23"/>
        <v>0</v>
      </c>
      <c r="Q812" s="140">
        <v>16</v>
      </c>
    </row>
    <row r="813" spans="12:17" x14ac:dyDescent="0.35">
      <c r="L813" s="140">
        <v>811</v>
      </c>
      <c r="M813" s="140">
        <v>0</v>
      </c>
      <c r="O813" s="140">
        <f t="shared" si="23"/>
        <v>0</v>
      </c>
      <c r="Q813" s="140">
        <v>6</v>
      </c>
    </row>
    <row r="814" spans="12:17" x14ac:dyDescent="0.35">
      <c r="L814" s="140">
        <v>812</v>
      </c>
      <c r="M814" s="140">
        <v>0</v>
      </c>
      <c r="O814" s="140">
        <f t="shared" ref="O814:O877" si="24">MAX(N814:N1812)</f>
        <v>0</v>
      </c>
      <c r="Q814" s="140">
        <v>15</v>
      </c>
    </row>
    <row r="815" spans="12:17" x14ac:dyDescent="0.35">
      <c r="L815" s="140">
        <v>813</v>
      </c>
      <c r="M815" s="140">
        <v>0</v>
      </c>
      <c r="O815" s="140">
        <f t="shared" si="24"/>
        <v>0</v>
      </c>
      <c r="Q815" s="140">
        <v>13</v>
      </c>
    </row>
    <row r="816" spans="12:17" x14ac:dyDescent="0.35">
      <c r="L816" s="140">
        <v>814</v>
      </c>
      <c r="M816" s="140">
        <v>0</v>
      </c>
      <c r="O816" s="140">
        <f t="shared" si="24"/>
        <v>0</v>
      </c>
      <c r="Q816" s="140">
        <v>11</v>
      </c>
    </row>
    <row r="817" spans="12:17" x14ac:dyDescent="0.35">
      <c r="L817" s="140">
        <v>815</v>
      </c>
      <c r="M817" s="140">
        <v>0</v>
      </c>
      <c r="O817" s="140">
        <f t="shared" si="24"/>
        <v>0</v>
      </c>
      <c r="Q817" s="140">
        <v>15</v>
      </c>
    </row>
    <row r="818" spans="12:17" x14ac:dyDescent="0.35">
      <c r="L818" s="140">
        <v>816</v>
      </c>
      <c r="M818" s="140">
        <v>0</v>
      </c>
      <c r="O818" s="140">
        <f t="shared" si="24"/>
        <v>0</v>
      </c>
      <c r="Q818" s="140">
        <v>16</v>
      </c>
    </row>
    <row r="819" spans="12:17" x14ac:dyDescent="0.35">
      <c r="L819" s="140">
        <v>817</v>
      </c>
      <c r="M819" s="140">
        <v>0</v>
      </c>
      <c r="O819" s="140">
        <f t="shared" si="24"/>
        <v>0</v>
      </c>
      <c r="Q819" s="140">
        <v>12</v>
      </c>
    </row>
    <row r="820" spans="12:17" x14ac:dyDescent="0.35">
      <c r="L820" s="140">
        <v>818</v>
      </c>
      <c r="M820" s="140">
        <v>0</v>
      </c>
      <c r="O820" s="140">
        <f t="shared" si="24"/>
        <v>0</v>
      </c>
      <c r="Q820" s="140">
        <v>9</v>
      </c>
    </row>
    <row r="821" spans="12:17" x14ac:dyDescent="0.35">
      <c r="L821" s="140">
        <v>819</v>
      </c>
      <c r="M821" s="140">
        <v>0</v>
      </c>
      <c r="O821" s="140">
        <f t="shared" si="24"/>
        <v>0</v>
      </c>
      <c r="Q821" s="140">
        <v>4</v>
      </c>
    </row>
    <row r="822" spans="12:17" x14ac:dyDescent="0.35">
      <c r="L822" s="140">
        <v>820</v>
      </c>
      <c r="M822" s="140">
        <v>0</v>
      </c>
      <c r="O822" s="140">
        <f t="shared" si="24"/>
        <v>0</v>
      </c>
      <c r="Q822" s="140">
        <v>7</v>
      </c>
    </row>
    <row r="823" spans="12:17" x14ac:dyDescent="0.35">
      <c r="L823" s="140">
        <v>821</v>
      </c>
      <c r="M823" s="140">
        <v>0</v>
      </c>
      <c r="O823" s="140">
        <f t="shared" si="24"/>
        <v>0</v>
      </c>
      <c r="Q823" s="140">
        <v>9</v>
      </c>
    </row>
    <row r="824" spans="12:17" x14ac:dyDescent="0.35">
      <c r="L824" s="140">
        <v>822</v>
      </c>
      <c r="M824" s="140">
        <v>0</v>
      </c>
      <c r="O824" s="140">
        <f t="shared" si="24"/>
        <v>0</v>
      </c>
      <c r="Q824" s="140">
        <v>9</v>
      </c>
    </row>
    <row r="825" spans="12:17" x14ac:dyDescent="0.35">
      <c r="L825" s="140">
        <v>823</v>
      </c>
      <c r="M825" s="140">
        <v>0</v>
      </c>
      <c r="O825" s="140">
        <f t="shared" si="24"/>
        <v>0</v>
      </c>
      <c r="Q825" s="140">
        <v>5</v>
      </c>
    </row>
    <row r="826" spans="12:17" x14ac:dyDescent="0.35">
      <c r="L826" s="140">
        <v>824</v>
      </c>
      <c r="M826" s="140">
        <v>0</v>
      </c>
      <c r="O826" s="140">
        <f t="shared" si="24"/>
        <v>0</v>
      </c>
      <c r="Q826" s="140">
        <v>12</v>
      </c>
    </row>
    <row r="827" spans="12:17" x14ac:dyDescent="0.35">
      <c r="L827" s="140">
        <v>825</v>
      </c>
      <c r="M827" s="140">
        <v>0</v>
      </c>
      <c r="O827" s="140">
        <f t="shared" si="24"/>
        <v>0</v>
      </c>
      <c r="Q827" s="140">
        <v>17</v>
      </c>
    </row>
    <row r="828" spans="12:17" x14ac:dyDescent="0.35">
      <c r="L828" s="140">
        <v>826</v>
      </c>
      <c r="M828" s="140">
        <v>0</v>
      </c>
      <c r="O828" s="140">
        <f t="shared" si="24"/>
        <v>0</v>
      </c>
      <c r="Q828" s="140">
        <v>17</v>
      </c>
    </row>
    <row r="829" spans="12:17" x14ac:dyDescent="0.35">
      <c r="L829" s="140">
        <v>827</v>
      </c>
      <c r="M829" s="140">
        <v>0</v>
      </c>
      <c r="O829" s="140">
        <f t="shared" si="24"/>
        <v>0</v>
      </c>
      <c r="Q829" s="140">
        <v>10</v>
      </c>
    </row>
    <row r="830" spans="12:17" x14ac:dyDescent="0.35">
      <c r="L830" s="140">
        <v>828</v>
      </c>
      <c r="M830" s="140">
        <v>0</v>
      </c>
      <c r="O830" s="140">
        <f t="shared" si="24"/>
        <v>0</v>
      </c>
      <c r="Q830" s="140">
        <v>13</v>
      </c>
    </row>
    <row r="831" spans="12:17" x14ac:dyDescent="0.35">
      <c r="L831" s="140">
        <v>829</v>
      </c>
      <c r="M831" s="140">
        <v>0</v>
      </c>
      <c r="O831" s="140">
        <f t="shared" si="24"/>
        <v>0</v>
      </c>
      <c r="Q831" s="140">
        <v>13</v>
      </c>
    </row>
    <row r="832" spans="12:17" x14ac:dyDescent="0.35">
      <c r="L832" s="140">
        <v>830</v>
      </c>
      <c r="M832" s="140">
        <v>0</v>
      </c>
      <c r="O832" s="140">
        <f t="shared" si="24"/>
        <v>0</v>
      </c>
      <c r="Q832" s="140">
        <v>13</v>
      </c>
    </row>
    <row r="833" spans="12:17" x14ac:dyDescent="0.35">
      <c r="L833" s="140">
        <v>831</v>
      </c>
      <c r="M833" s="140">
        <v>0</v>
      </c>
      <c r="O833" s="140">
        <f t="shared" si="24"/>
        <v>0</v>
      </c>
      <c r="Q833" s="140">
        <v>12</v>
      </c>
    </row>
    <row r="834" spans="12:17" x14ac:dyDescent="0.35">
      <c r="L834" s="140">
        <v>832</v>
      </c>
      <c r="M834" s="140">
        <v>1</v>
      </c>
      <c r="O834" s="140">
        <f t="shared" si="24"/>
        <v>0</v>
      </c>
      <c r="Q834" s="140">
        <v>16</v>
      </c>
    </row>
    <row r="835" spans="12:17" x14ac:dyDescent="0.35">
      <c r="L835" s="140">
        <v>833</v>
      </c>
      <c r="M835" s="140">
        <v>0</v>
      </c>
      <c r="O835" s="140">
        <f t="shared" si="24"/>
        <v>0</v>
      </c>
      <c r="Q835" s="140">
        <v>13</v>
      </c>
    </row>
    <row r="836" spans="12:17" x14ac:dyDescent="0.35">
      <c r="L836" s="140">
        <v>834</v>
      </c>
      <c r="M836" s="140">
        <v>0</v>
      </c>
      <c r="O836" s="140">
        <f t="shared" si="24"/>
        <v>0</v>
      </c>
      <c r="Q836" s="140">
        <v>18</v>
      </c>
    </row>
    <row r="837" spans="12:17" x14ac:dyDescent="0.35">
      <c r="L837" s="140">
        <v>835</v>
      </c>
      <c r="M837" s="140">
        <v>0</v>
      </c>
      <c r="O837" s="140">
        <f t="shared" si="24"/>
        <v>0</v>
      </c>
      <c r="Q837" s="140">
        <v>18</v>
      </c>
    </row>
    <row r="838" spans="12:17" x14ac:dyDescent="0.35">
      <c r="L838" s="140">
        <v>836</v>
      </c>
      <c r="M838" s="140">
        <v>0</v>
      </c>
      <c r="O838" s="140">
        <f t="shared" si="24"/>
        <v>0</v>
      </c>
      <c r="Q838" s="140">
        <v>16</v>
      </c>
    </row>
    <row r="839" spans="12:17" x14ac:dyDescent="0.35">
      <c r="L839" s="140">
        <v>837</v>
      </c>
      <c r="M839" s="140">
        <v>0</v>
      </c>
      <c r="O839" s="140">
        <f t="shared" si="24"/>
        <v>0</v>
      </c>
      <c r="Q839" s="140">
        <v>8</v>
      </c>
    </row>
    <row r="840" spans="12:17" x14ac:dyDescent="0.35">
      <c r="L840" s="140">
        <v>838</v>
      </c>
      <c r="M840" s="140">
        <v>0</v>
      </c>
      <c r="O840" s="140">
        <f t="shared" si="24"/>
        <v>0</v>
      </c>
      <c r="Q840" s="140">
        <v>17</v>
      </c>
    </row>
    <row r="841" spans="12:17" x14ac:dyDescent="0.35">
      <c r="L841" s="140">
        <v>839</v>
      </c>
      <c r="M841" s="140">
        <v>0</v>
      </c>
      <c r="O841" s="140">
        <f t="shared" si="24"/>
        <v>0</v>
      </c>
      <c r="Q841" s="140">
        <v>9</v>
      </c>
    </row>
    <row r="842" spans="12:17" x14ac:dyDescent="0.35">
      <c r="L842" s="140">
        <v>840</v>
      </c>
      <c r="M842" s="140">
        <v>0</v>
      </c>
      <c r="O842" s="140">
        <f t="shared" si="24"/>
        <v>0</v>
      </c>
      <c r="Q842" s="140">
        <v>10</v>
      </c>
    </row>
    <row r="843" spans="12:17" x14ac:dyDescent="0.35">
      <c r="L843" s="140">
        <v>841</v>
      </c>
      <c r="M843" s="140">
        <v>0</v>
      </c>
      <c r="O843" s="140">
        <f t="shared" si="24"/>
        <v>0</v>
      </c>
      <c r="Q843" s="140">
        <v>14</v>
      </c>
    </row>
    <row r="844" spans="12:17" x14ac:dyDescent="0.35">
      <c r="L844" s="140">
        <v>842</v>
      </c>
      <c r="M844" s="140">
        <v>1</v>
      </c>
      <c r="O844" s="140">
        <f t="shared" si="24"/>
        <v>0</v>
      </c>
      <c r="Q844" s="140">
        <v>17</v>
      </c>
    </row>
    <row r="845" spans="12:17" x14ac:dyDescent="0.35">
      <c r="L845" s="140">
        <v>843</v>
      </c>
      <c r="M845" s="140">
        <v>0</v>
      </c>
      <c r="O845" s="140">
        <f t="shared" si="24"/>
        <v>0</v>
      </c>
      <c r="Q845" s="140">
        <v>9</v>
      </c>
    </row>
    <row r="846" spans="12:17" x14ac:dyDescent="0.35">
      <c r="L846" s="140">
        <v>844</v>
      </c>
      <c r="M846" s="140">
        <v>0</v>
      </c>
      <c r="O846" s="140">
        <f t="shared" si="24"/>
        <v>0</v>
      </c>
      <c r="Q846" s="140">
        <v>9</v>
      </c>
    </row>
    <row r="847" spans="12:17" x14ac:dyDescent="0.35">
      <c r="L847" s="140">
        <v>845</v>
      </c>
      <c r="M847" s="140">
        <v>0</v>
      </c>
      <c r="O847" s="140">
        <f t="shared" si="24"/>
        <v>0</v>
      </c>
      <c r="Q847" s="140">
        <v>13</v>
      </c>
    </row>
    <row r="848" spans="12:17" x14ac:dyDescent="0.35">
      <c r="L848" s="140">
        <v>846</v>
      </c>
      <c r="M848" s="140">
        <v>0</v>
      </c>
      <c r="O848" s="140">
        <f t="shared" si="24"/>
        <v>0</v>
      </c>
      <c r="Q848" s="140">
        <v>13</v>
      </c>
    </row>
    <row r="849" spans="12:17" x14ac:dyDescent="0.35">
      <c r="L849" s="140">
        <v>847</v>
      </c>
      <c r="M849" s="140">
        <v>0</v>
      </c>
      <c r="O849" s="140">
        <f t="shared" si="24"/>
        <v>0</v>
      </c>
      <c r="Q849" s="140">
        <v>16</v>
      </c>
    </row>
    <row r="850" spans="12:17" x14ac:dyDescent="0.35">
      <c r="L850" s="140">
        <v>848</v>
      </c>
      <c r="M850" s="140">
        <v>0</v>
      </c>
      <c r="O850" s="140">
        <f t="shared" si="24"/>
        <v>0</v>
      </c>
      <c r="Q850" s="140">
        <v>19</v>
      </c>
    </row>
    <row r="851" spans="12:17" x14ac:dyDescent="0.35">
      <c r="L851" s="140">
        <v>849</v>
      </c>
      <c r="M851" s="140">
        <v>0</v>
      </c>
      <c r="O851" s="140">
        <f t="shared" si="24"/>
        <v>0</v>
      </c>
      <c r="Q851" s="140">
        <v>16</v>
      </c>
    </row>
    <row r="852" spans="12:17" x14ac:dyDescent="0.35">
      <c r="L852" s="140">
        <v>850</v>
      </c>
      <c r="M852" s="140">
        <v>0</v>
      </c>
      <c r="O852" s="140">
        <f t="shared" si="24"/>
        <v>0</v>
      </c>
      <c r="Q852" s="140">
        <v>12</v>
      </c>
    </row>
    <row r="853" spans="12:17" x14ac:dyDescent="0.35">
      <c r="L853" s="140">
        <v>851</v>
      </c>
      <c r="M853" s="140">
        <v>0</v>
      </c>
      <c r="O853" s="140">
        <f t="shared" si="24"/>
        <v>0</v>
      </c>
      <c r="Q853" s="140">
        <v>14</v>
      </c>
    </row>
    <row r="854" spans="12:17" x14ac:dyDescent="0.35">
      <c r="L854" s="140">
        <v>852</v>
      </c>
      <c r="M854" s="140">
        <v>0</v>
      </c>
      <c r="O854" s="140">
        <f t="shared" si="24"/>
        <v>0</v>
      </c>
      <c r="Q854" s="140">
        <v>11</v>
      </c>
    </row>
    <row r="855" spans="12:17" x14ac:dyDescent="0.35">
      <c r="L855" s="140">
        <v>853</v>
      </c>
      <c r="M855" s="140">
        <v>0</v>
      </c>
      <c r="O855" s="140">
        <f t="shared" si="24"/>
        <v>0</v>
      </c>
      <c r="Q855" s="140">
        <v>10</v>
      </c>
    </row>
    <row r="856" spans="12:17" x14ac:dyDescent="0.35">
      <c r="L856" s="140">
        <v>854</v>
      </c>
      <c r="M856" s="140">
        <v>0</v>
      </c>
      <c r="O856" s="140">
        <f t="shared" si="24"/>
        <v>0</v>
      </c>
      <c r="Q856" s="140">
        <v>18</v>
      </c>
    </row>
    <row r="857" spans="12:17" x14ac:dyDescent="0.35">
      <c r="L857" s="140">
        <v>855</v>
      </c>
      <c r="M857" s="140">
        <v>0</v>
      </c>
      <c r="O857" s="140">
        <f t="shared" si="24"/>
        <v>0</v>
      </c>
      <c r="Q857" s="140">
        <v>14</v>
      </c>
    </row>
    <row r="858" spans="12:17" x14ac:dyDescent="0.35">
      <c r="L858" s="140">
        <v>856</v>
      </c>
      <c r="M858" s="140">
        <v>0</v>
      </c>
      <c r="O858" s="140">
        <f t="shared" si="24"/>
        <v>0</v>
      </c>
      <c r="Q858" s="140">
        <v>10</v>
      </c>
    </row>
    <row r="859" spans="12:17" x14ac:dyDescent="0.35">
      <c r="L859" s="140">
        <v>857</v>
      </c>
      <c r="M859" s="140">
        <v>0</v>
      </c>
      <c r="O859" s="140">
        <f t="shared" si="24"/>
        <v>0</v>
      </c>
      <c r="Q859" s="140">
        <v>10</v>
      </c>
    </row>
    <row r="860" spans="12:17" x14ac:dyDescent="0.35">
      <c r="L860" s="140">
        <v>858</v>
      </c>
      <c r="M860" s="140">
        <v>1</v>
      </c>
      <c r="O860" s="140">
        <f t="shared" si="24"/>
        <v>0</v>
      </c>
      <c r="Q860" s="140">
        <v>10</v>
      </c>
    </row>
    <row r="861" spans="12:17" x14ac:dyDescent="0.35">
      <c r="L861" s="140">
        <v>859</v>
      </c>
      <c r="M861" s="140">
        <v>0</v>
      </c>
      <c r="O861" s="140">
        <f t="shared" si="24"/>
        <v>0</v>
      </c>
      <c r="Q861" s="140">
        <v>16</v>
      </c>
    </row>
    <row r="862" spans="12:17" x14ac:dyDescent="0.35">
      <c r="L862" s="140">
        <v>860</v>
      </c>
      <c r="M862" s="140">
        <v>0</v>
      </c>
      <c r="O862" s="140">
        <f t="shared" si="24"/>
        <v>0</v>
      </c>
      <c r="Q862" s="140">
        <v>11</v>
      </c>
    </row>
    <row r="863" spans="12:17" x14ac:dyDescent="0.35">
      <c r="L863" s="140">
        <v>861</v>
      </c>
      <c r="M863" s="140">
        <v>0</v>
      </c>
      <c r="O863" s="140">
        <f t="shared" si="24"/>
        <v>0</v>
      </c>
      <c r="Q863" s="140">
        <v>12</v>
      </c>
    </row>
    <row r="864" spans="12:17" x14ac:dyDescent="0.35">
      <c r="L864" s="140">
        <v>862</v>
      </c>
      <c r="M864" s="140">
        <v>0</v>
      </c>
      <c r="O864" s="140">
        <f t="shared" si="24"/>
        <v>0</v>
      </c>
      <c r="Q864" s="140">
        <v>16</v>
      </c>
    </row>
    <row r="865" spans="12:17" x14ac:dyDescent="0.35">
      <c r="L865" s="140">
        <v>863</v>
      </c>
      <c r="M865" s="140">
        <v>0</v>
      </c>
      <c r="O865" s="140">
        <f t="shared" si="24"/>
        <v>0</v>
      </c>
      <c r="Q865" s="140">
        <v>14</v>
      </c>
    </row>
    <row r="866" spans="12:17" x14ac:dyDescent="0.35">
      <c r="L866" s="140">
        <v>864</v>
      </c>
      <c r="M866" s="140">
        <v>0</v>
      </c>
      <c r="O866" s="140">
        <f t="shared" si="24"/>
        <v>0</v>
      </c>
      <c r="Q866" s="140">
        <v>14</v>
      </c>
    </row>
    <row r="867" spans="12:17" x14ac:dyDescent="0.35">
      <c r="L867" s="140">
        <v>865</v>
      </c>
      <c r="M867" s="140">
        <v>0</v>
      </c>
      <c r="O867" s="140">
        <f t="shared" si="24"/>
        <v>0</v>
      </c>
      <c r="Q867" s="140">
        <v>14</v>
      </c>
    </row>
    <row r="868" spans="12:17" x14ac:dyDescent="0.35">
      <c r="L868" s="140">
        <v>866</v>
      </c>
      <c r="M868" s="140">
        <v>0</v>
      </c>
      <c r="O868" s="140">
        <f t="shared" si="24"/>
        <v>0</v>
      </c>
      <c r="Q868" s="140">
        <v>12</v>
      </c>
    </row>
    <row r="869" spans="12:17" x14ac:dyDescent="0.35">
      <c r="L869" s="140">
        <v>867</v>
      </c>
      <c r="M869" s="140">
        <v>1</v>
      </c>
      <c r="O869" s="140">
        <f t="shared" si="24"/>
        <v>0</v>
      </c>
      <c r="Q869" s="140">
        <v>21</v>
      </c>
    </row>
    <row r="870" spans="12:17" x14ac:dyDescent="0.35">
      <c r="L870" s="140">
        <v>868</v>
      </c>
      <c r="M870" s="140">
        <v>0</v>
      </c>
      <c r="O870" s="140">
        <f t="shared" si="24"/>
        <v>0</v>
      </c>
      <c r="Q870" s="140">
        <v>12</v>
      </c>
    </row>
    <row r="871" spans="12:17" x14ac:dyDescent="0.35">
      <c r="L871" s="140">
        <v>869</v>
      </c>
      <c r="M871" s="140">
        <v>0</v>
      </c>
      <c r="O871" s="140">
        <f t="shared" si="24"/>
        <v>0</v>
      </c>
      <c r="Q871" s="140">
        <v>11</v>
      </c>
    </row>
    <row r="872" spans="12:17" x14ac:dyDescent="0.35">
      <c r="L872" s="140">
        <v>870</v>
      </c>
      <c r="M872" s="140">
        <v>0</v>
      </c>
      <c r="O872" s="140">
        <f t="shared" si="24"/>
        <v>0</v>
      </c>
      <c r="Q872" s="140">
        <v>10</v>
      </c>
    </row>
    <row r="873" spans="12:17" x14ac:dyDescent="0.35">
      <c r="L873" s="140">
        <v>871</v>
      </c>
      <c r="M873" s="140">
        <v>0</v>
      </c>
      <c r="O873" s="140">
        <f t="shared" si="24"/>
        <v>0</v>
      </c>
      <c r="Q873" s="140">
        <v>11</v>
      </c>
    </row>
    <row r="874" spans="12:17" x14ac:dyDescent="0.35">
      <c r="L874" s="140">
        <v>872</v>
      </c>
      <c r="M874" s="140">
        <v>1</v>
      </c>
      <c r="O874" s="140">
        <f t="shared" si="24"/>
        <v>0</v>
      </c>
      <c r="Q874" s="140">
        <v>14</v>
      </c>
    </row>
    <row r="875" spans="12:17" x14ac:dyDescent="0.35">
      <c r="L875" s="140">
        <v>873</v>
      </c>
      <c r="M875" s="140">
        <v>0</v>
      </c>
      <c r="O875" s="140">
        <f t="shared" si="24"/>
        <v>0</v>
      </c>
      <c r="Q875" s="140">
        <v>12</v>
      </c>
    </row>
    <row r="876" spans="12:17" x14ac:dyDescent="0.35">
      <c r="L876" s="140">
        <v>874</v>
      </c>
      <c r="M876" s="140">
        <v>1</v>
      </c>
      <c r="O876" s="140">
        <f t="shared" si="24"/>
        <v>0</v>
      </c>
      <c r="Q876" s="140">
        <v>16</v>
      </c>
    </row>
    <row r="877" spans="12:17" x14ac:dyDescent="0.35">
      <c r="L877" s="140">
        <v>875</v>
      </c>
      <c r="M877" s="140">
        <v>0</v>
      </c>
      <c r="O877" s="140">
        <f t="shared" si="24"/>
        <v>0</v>
      </c>
      <c r="Q877" s="140">
        <v>13</v>
      </c>
    </row>
    <row r="878" spans="12:17" x14ac:dyDescent="0.35">
      <c r="L878" s="140">
        <v>876</v>
      </c>
      <c r="M878" s="140">
        <v>0</v>
      </c>
      <c r="O878" s="140">
        <f t="shared" ref="O878:O941" si="25">MAX(N878:N1876)</f>
        <v>0</v>
      </c>
      <c r="Q878" s="140">
        <v>13</v>
      </c>
    </row>
    <row r="879" spans="12:17" x14ac:dyDescent="0.35">
      <c r="L879" s="140">
        <v>877</v>
      </c>
      <c r="M879" s="140">
        <v>0</v>
      </c>
      <c r="O879" s="140">
        <f t="shared" si="25"/>
        <v>0</v>
      </c>
      <c r="Q879" s="140">
        <v>19</v>
      </c>
    </row>
    <row r="880" spans="12:17" x14ac:dyDescent="0.35">
      <c r="L880" s="140">
        <v>878</v>
      </c>
      <c r="M880" s="140">
        <v>0</v>
      </c>
      <c r="O880" s="140">
        <f t="shared" si="25"/>
        <v>0</v>
      </c>
      <c r="Q880" s="140">
        <v>17</v>
      </c>
    </row>
    <row r="881" spans="12:17" x14ac:dyDescent="0.35">
      <c r="L881" s="140">
        <v>879</v>
      </c>
      <c r="M881" s="140">
        <v>0</v>
      </c>
      <c r="O881" s="140">
        <f t="shared" si="25"/>
        <v>0</v>
      </c>
      <c r="Q881" s="140">
        <v>10</v>
      </c>
    </row>
    <row r="882" spans="12:17" x14ac:dyDescent="0.35">
      <c r="L882" s="140">
        <v>880</v>
      </c>
      <c r="M882" s="140">
        <v>0</v>
      </c>
      <c r="O882" s="140">
        <f t="shared" si="25"/>
        <v>0</v>
      </c>
      <c r="Q882" s="140">
        <v>13</v>
      </c>
    </row>
    <row r="883" spans="12:17" x14ac:dyDescent="0.35">
      <c r="L883" s="140">
        <v>881</v>
      </c>
      <c r="M883" s="140">
        <v>0</v>
      </c>
      <c r="O883" s="140">
        <f t="shared" si="25"/>
        <v>0</v>
      </c>
      <c r="Q883" s="140">
        <v>19</v>
      </c>
    </row>
    <row r="884" spans="12:17" x14ac:dyDescent="0.35">
      <c r="L884" s="140">
        <v>882</v>
      </c>
      <c r="M884" s="140">
        <v>0</v>
      </c>
      <c r="O884" s="140">
        <f t="shared" si="25"/>
        <v>0</v>
      </c>
      <c r="Q884" s="140">
        <v>16</v>
      </c>
    </row>
    <row r="885" spans="12:17" x14ac:dyDescent="0.35">
      <c r="L885" s="140">
        <v>883</v>
      </c>
      <c r="M885" s="140">
        <v>0</v>
      </c>
      <c r="O885" s="140">
        <f t="shared" si="25"/>
        <v>0</v>
      </c>
      <c r="Q885" s="140">
        <v>17</v>
      </c>
    </row>
    <row r="886" spans="12:17" x14ac:dyDescent="0.35">
      <c r="L886" s="140">
        <v>884</v>
      </c>
      <c r="M886" s="140">
        <v>0</v>
      </c>
      <c r="O886" s="140">
        <f t="shared" si="25"/>
        <v>0</v>
      </c>
      <c r="Q886" s="140">
        <v>9</v>
      </c>
    </row>
    <row r="887" spans="12:17" x14ac:dyDescent="0.35">
      <c r="L887" s="140">
        <v>885</v>
      </c>
      <c r="M887" s="140">
        <v>0</v>
      </c>
      <c r="O887" s="140">
        <f t="shared" si="25"/>
        <v>0</v>
      </c>
      <c r="Q887" s="140">
        <v>14</v>
      </c>
    </row>
    <row r="888" spans="12:17" x14ac:dyDescent="0.35">
      <c r="L888" s="140">
        <v>886</v>
      </c>
      <c r="M888" s="140">
        <v>0</v>
      </c>
      <c r="O888" s="140">
        <f t="shared" si="25"/>
        <v>0</v>
      </c>
      <c r="Q888" s="140">
        <v>16</v>
      </c>
    </row>
    <row r="889" spans="12:17" x14ac:dyDescent="0.35">
      <c r="L889" s="140">
        <v>887</v>
      </c>
      <c r="M889" s="140">
        <v>0</v>
      </c>
      <c r="O889" s="140">
        <f t="shared" si="25"/>
        <v>0</v>
      </c>
      <c r="Q889" s="140">
        <v>19</v>
      </c>
    </row>
    <row r="890" spans="12:17" x14ac:dyDescent="0.35">
      <c r="L890" s="140">
        <v>888</v>
      </c>
      <c r="M890" s="140">
        <v>0</v>
      </c>
      <c r="O890" s="140">
        <f t="shared" si="25"/>
        <v>0</v>
      </c>
      <c r="Q890" s="140">
        <v>14</v>
      </c>
    </row>
    <row r="891" spans="12:17" x14ac:dyDescent="0.35">
      <c r="L891" s="140">
        <v>889</v>
      </c>
      <c r="M891" s="140">
        <v>0</v>
      </c>
      <c r="O891" s="140">
        <f t="shared" si="25"/>
        <v>0</v>
      </c>
      <c r="Q891" s="140">
        <v>16</v>
      </c>
    </row>
    <row r="892" spans="12:17" x14ac:dyDescent="0.35">
      <c r="L892" s="140">
        <v>890</v>
      </c>
      <c r="M892" s="140">
        <v>1</v>
      </c>
      <c r="O892" s="140">
        <f t="shared" si="25"/>
        <v>0</v>
      </c>
      <c r="Q892" s="140">
        <v>9</v>
      </c>
    </row>
    <row r="893" spans="12:17" x14ac:dyDescent="0.35">
      <c r="L893" s="140">
        <v>891</v>
      </c>
      <c r="M893" s="140">
        <v>0</v>
      </c>
      <c r="O893" s="140">
        <f t="shared" si="25"/>
        <v>0</v>
      </c>
      <c r="Q893" s="140">
        <v>12</v>
      </c>
    </row>
    <row r="894" spans="12:17" x14ac:dyDescent="0.35">
      <c r="L894" s="140">
        <v>892</v>
      </c>
      <c r="M894" s="140">
        <v>0</v>
      </c>
      <c r="O894" s="140">
        <f t="shared" si="25"/>
        <v>0</v>
      </c>
      <c r="Q894" s="140">
        <v>13</v>
      </c>
    </row>
    <row r="895" spans="12:17" x14ac:dyDescent="0.35">
      <c r="L895" s="140">
        <v>893</v>
      </c>
      <c r="M895" s="140">
        <v>0</v>
      </c>
      <c r="O895" s="140">
        <f t="shared" si="25"/>
        <v>0</v>
      </c>
      <c r="Q895" s="140">
        <v>21</v>
      </c>
    </row>
    <row r="896" spans="12:17" x14ac:dyDescent="0.35">
      <c r="L896" s="140">
        <v>894</v>
      </c>
      <c r="M896" s="140">
        <v>0</v>
      </c>
      <c r="O896" s="140">
        <f t="shared" si="25"/>
        <v>0</v>
      </c>
      <c r="Q896" s="140">
        <v>11</v>
      </c>
    </row>
    <row r="897" spans="12:17" x14ac:dyDescent="0.35">
      <c r="L897" s="140">
        <v>895</v>
      </c>
      <c r="M897" s="140">
        <v>0</v>
      </c>
      <c r="O897" s="140">
        <f t="shared" si="25"/>
        <v>0</v>
      </c>
      <c r="Q897" s="140">
        <v>13</v>
      </c>
    </row>
    <row r="898" spans="12:17" x14ac:dyDescent="0.35">
      <c r="L898" s="140">
        <v>896</v>
      </c>
      <c r="M898" s="140">
        <v>0</v>
      </c>
      <c r="O898" s="140">
        <f t="shared" si="25"/>
        <v>0</v>
      </c>
      <c r="Q898" s="140">
        <v>15</v>
      </c>
    </row>
    <row r="899" spans="12:17" x14ac:dyDescent="0.35">
      <c r="L899" s="140">
        <v>897</v>
      </c>
      <c r="M899" s="140">
        <v>0</v>
      </c>
      <c r="O899" s="140">
        <f t="shared" si="25"/>
        <v>0</v>
      </c>
      <c r="Q899" s="140">
        <v>12</v>
      </c>
    </row>
    <row r="900" spans="12:17" x14ac:dyDescent="0.35">
      <c r="L900" s="140">
        <v>898</v>
      </c>
      <c r="M900" s="140">
        <v>0</v>
      </c>
      <c r="O900" s="140">
        <f t="shared" si="25"/>
        <v>0</v>
      </c>
      <c r="Q900" s="140">
        <v>11</v>
      </c>
    </row>
    <row r="901" spans="12:17" x14ac:dyDescent="0.35">
      <c r="L901" s="140">
        <v>899</v>
      </c>
      <c r="M901" s="140">
        <v>0</v>
      </c>
      <c r="O901" s="140">
        <f t="shared" si="25"/>
        <v>0</v>
      </c>
      <c r="Q901" s="140">
        <v>16</v>
      </c>
    </row>
    <row r="902" spans="12:17" x14ac:dyDescent="0.35">
      <c r="L902" s="140">
        <v>900</v>
      </c>
      <c r="M902" s="140">
        <v>0</v>
      </c>
      <c r="O902" s="140">
        <f t="shared" si="25"/>
        <v>0</v>
      </c>
      <c r="Q902" s="140">
        <v>13</v>
      </c>
    </row>
    <row r="903" spans="12:17" x14ac:dyDescent="0.35">
      <c r="L903" s="140">
        <v>901</v>
      </c>
      <c r="M903" s="140">
        <v>0</v>
      </c>
      <c r="O903" s="140">
        <f t="shared" si="25"/>
        <v>0</v>
      </c>
      <c r="Q903" s="140">
        <v>15</v>
      </c>
    </row>
    <row r="904" spans="12:17" x14ac:dyDescent="0.35">
      <c r="L904" s="140">
        <v>902</v>
      </c>
      <c r="M904" s="140">
        <v>0</v>
      </c>
      <c r="O904" s="140">
        <f t="shared" si="25"/>
        <v>0</v>
      </c>
      <c r="Q904" s="140">
        <v>13</v>
      </c>
    </row>
    <row r="905" spans="12:17" x14ac:dyDescent="0.35">
      <c r="L905" s="140">
        <v>903</v>
      </c>
      <c r="M905" s="140">
        <v>0</v>
      </c>
      <c r="O905" s="140">
        <f t="shared" si="25"/>
        <v>0</v>
      </c>
      <c r="Q905" s="140">
        <v>17</v>
      </c>
    </row>
    <row r="906" spans="12:17" x14ac:dyDescent="0.35">
      <c r="L906" s="140">
        <v>904</v>
      </c>
      <c r="M906" s="140">
        <v>0</v>
      </c>
      <c r="O906" s="140">
        <f t="shared" si="25"/>
        <v>0</v>
      </c>
      <c r="Q906" s="140">
        <v>16</v>
      </c>
    </row>
    <row r="907" spans="12:17" x14ac:dyDescent="0.35">
      <c r="L907" s="140">
        <v>905</v>
      </c>
      <c r="M907" s="140">
        <v>0</v>
      </c>
      <c r="O907" s="140">
        <f t="shared" si="25"/>
        <v>0</v>
      </c>
      <c r="Q907" s="140">
        <v>20</v>
      </c>
    </row>
    <row r="908" spans="12:17" x14ac:dyDescent="0.35">
      <c r="L908" s="140">
        <v>906</v>
      </c>
      <c r="M908" s="140">
        <v>0</v>
      </c>
      <c r="O908" s="140">
        <f t="shared" si="25"/>
        <v>0</v>
      </c>
      <c r="Q908" s="140">
        <v>18</v>
      </c>
    </row>
    <row r="909" spans="12:17" x14ac:dyDescent="0.35">
      <c r="L909" s="140">
        <v>907</v>
      </c>
      <c r="M909" s="140">
        <v>0</v>
      </c>
      <c r="O909" s="140">
        <f t="shared" si="25"/>
        <v>0</v>
      </c>
      <c r="Q909" s="140">
        <v>8</v>
      </c>
    </row>
    <row r="910" spans="12:17" x14ac:dyDescent="0.35">
      <c r="L910" s="140">
        <v>908</v>
      </c>
      <c r="M910" s="140">
        <v>0</v>
      </c>
      <c r="O910" s="140">
        <f t="shared" si="25"/>
        <v>0</v>
      </c>
      <c r="Q910" s="140">
        <v>11</v>
      </c>
    </row>
    <row r="911" spans="12:17" x14ac:dyDescent="0.35">
      <c r="L911" s="140">
        <v>909</v>
      </c>
      <c r="M911" s="140">
        <v>0</v>
      </c>
      <c r="O911" s="140">
        <f t="shared" si="25"/>
        <v>0</v>
      </c>
      <c r="Q911" s="140">
        <v>15</v>
      </c>
    </row>
    <row r="912" spans="12:17" x14ac:dyDescent="0.35">
      <c r="L912" s="140">
        <v>910</v>
      </c>
      <c r="M912" s="140">
        <v>0</v>
      </c>
      <c r="O912" s="140">
        <f t="shared" si="25"/>
        <v>0</v>
      </c>
      <c r="Q912" s="140">
        <v>16</v>
      </c>
    </row>
    <row r="913" spans="12:17" x14ac:dyDescent="0.35">
      <c r="L913" s="140">
        <v>911</v>
      </c>
      <c r="M913" s="140">
        <v>0</v>
      </c>
      <c r="O913" s="140">
        <f t="shared" si="25"/>
        <v>0</v>
      </c>
      <c r="Q913" s="140">
        <v>21</v>
      </c>
    </row>
    <row r="914" spans="12:17" x14ac:dyDescent="0.35">
      <c r="L914" s="140">
        <v>912</v>
      </c>
      <c r="M914" s="140">
        <v>1</v>
      </c>
      <c r="O914" s="140">
        <f t="shared" si="25"/>
        <v>0</v>
      </c>
      <c r="Q914" s="140">
        <v>16</v>
      </c>
    </row>
    <row r="915" spans="12:17" x14ac:dyDescent="0.35">
      <c r="L915" s="140">
        <v>913</v>
      </c>
      <c r="M915" s="140">
        <v>0</v>
      </c>
      <c r="O915" s="140">
        <f t="shared" si="25"/>
        <v>0</v>
      </c>
      <c r="Q915" s="140">
        <v>17</v>
      </c>
    </row>
    <row r="916" spans="12:17" x14ac:dyDescent="0.35">
      <c r="L916" s="140">
        <v>914</v>
      </c>
      <c r="M916" s="140">
        <v>0</v>
      </c>
      <c r="O916" s="140">
        <f t="shared" si="25"/>
        <v>0</v>
      </c>
      <c r="Q916" s="140">
        <v>16</v>
      </c>
    </row>
    <row r="917" spans="12:17" x14ac:dyDescent="0.35">
      <c r="L917" s="140">
        <v>915</v>
      </c>
      <c r="M917" s="140">
        <v>0</v>
      </c>
      <c r="O917" s="140">
        <f t="shared" si="25"/>
        <v>0</v>
      </c>
      <c r="Q917" s="140">
        <v>14</v>
      </c>
    </row>
    <row r="918" spans="12:17" x14ac:dyDescent="0.35">
      <c r="L918" s="140">
        <v>916</v>
      </c>
      <c r="M918" s="140">
        <v>0</v>
      </c>
      <c r="O918" s="140">
        <f t="shared" si="25"/>
        <v>0</v>
      </c>
      <c r="Q918" s="140">
        <v>11</v>
      </c>
    </row>
    <row r="919" spans="12:17" x14ac:dyDescent="0.35">
      <c r="L919" s="140">
        <v>917</v>
      </c>
      <c r="M919" s="140">
        <v>0</v>
      </c>
      <c r="O919" s="140">
        <f t="shared" si="25"/>
        <v>0</v>
      </c>
      <c r="Q919" s="140">
        <v>11</v>
      </c>
    </row>
    <row r="920" spans="12:17" x14ac:dyDescent="0.35">
      <c r="L920" s="140">
        <v>918</v>
      </c>
      <c r="M920" s="140">
        <v>0</v>
      </c>
      <c r="O920" s="140">
        <f t="shared" si="25"/>
        <v>0</v>
      </c>
      <c r="Q920" s="140">
        <v>10</v>
      </c>
    </row>
    <row r="921" spans="12:17" x14ac:dyDescent="0.35">
      <c r="L921" s="140">
        <v>919</v>
      </c>
      <c r="M921" s="140">
        <v>0</v>
      </c>
      <c r="O921" s="140">
        <f t="shared" si="25"/>
        <v>0</v>
      </c>
      <c r="Q921" s="140">
        <v>13</v>
      </c>
    </row>
    <row r="922" spans="12:17" x14ac:dyDescent="0.35">
      <c r="L922" s="140">
        <v>920</v>
      </c>
      <c r="M922" s="140">
        <v>0</v>
      </c>
      <c r="O922" s="140">
        <f t="shared" si="25"/>
        <v>0</v>
      </c>
      <c r="Q922" s="140">
        <v>24</v>
      </c>
    </row>
    <row r="923" spans="12:17" x14ac:dyDescent="0.35">
      <c r="L923" s="140">
        <v>921</v>
      </c>
      <c r="M923" s="140">
        <v>0</v>
      </c>
      <c r="O923" s="140">
        <f t="shared" si="25"/>
        <v>0</v>
      </c>
      <c r="Q923" s="140">
        <v>15</v>
      </c>
    </row>
    <row r="924" spans="12:17" x14ac:dyDescent="0.35">
      <c r="L924" s="140">
        <v>922</v>
      </c>
      <c r="M924" s="140">
        <v>0</v>
      </c>
      <c r="O924" s="140">
        <f t="shared" si="25"/>
        <v>0</v>
      </c>
      <c r="Q924" s="140">
        <v>13</v>
      </c>
    </row>
    <row r="925" spans="12:17" x14ac:dyDescent="0.35">
      <c r="L925" s="140">
        <v>923</v>
      </c>
      <c r="M925" s="140">
        <v>0</v>
      </c>
      <c r="O925" s="140">
        <f t="shared" si="25"/>
        <v>0</v>
      </c>
      <c r="Q925" s="140">
        <v>16</v>
      </c>
    </row>
    <row r="926" spans="12:17" x14ac:dyDescent="0.35">
      <c r="L926" s="140">
        <v>924</v>
      </c>
      <c r="M926" s="140">
        <v>1</v>
      </c>
      <c r="O926" s="140">
        <f t="shared" si="25"/>
        <v>0</v>
      </c>
      <c r="Q926" s="140">
        <v>23</v>
      </c>
    </row>
    <row r="927" spans="12:17" x14ac:dyDescent="0.35">
      <c r="L927" s="140">
        <v>925</v>
      </c>
      <c r="M927" s="140">
        <v>0</v>
      </c>
      <c r="O927" s="140">
        <f t="shared" si="25"/>
        <v>0</v>
      </c>
      <c r="Q927" s="140">
        <v>21</v>
      </c>
    </row>
    <row r="928" spans="12:17" x14ac:dyDescent="0.35">
      <c r="L928" s="140">
        <v>926</v>
      </c>
      <c r="M928" s="140">
        <v>1</v>
      </c>
      <c r="O928" s="140">
        <f t="shared" si="25"/>
        <v>0</v>
      </c>
      <c r="Q928" s="140">
        <v>27</v>
      </c>
    </row>
    <row r="929" spans="12:17" x14ac:dyDescent="0.35">
      <c r="L929" s="140">
        <v>927</v>
      </c>
      <c r="M929" s="140">
        <v>0</v>
      </c>
      <c r="O929" s="140">
        <f t="shared" si="25"/>
        <v>0</v>
      </c>
      <c r="Q929" s="140">
        <v>21</v>
      </c>
    </row>
    <row r="930" spans="12:17" x14ac:dyDescent="0.35">
      <c r="L930" s="140">
        <v>928</v>
      </c>
      <c r="M930" s="140">
        <v>0</v>
      </c>
      <c r="O930" s="140">
        <f t="shared" si="25"/>
        <v>0</v>
      </c>
      <c r="Q930" s="140">
        <v>18</v>
      </c>
    </row>
    <row r="931" spans="12:17" x14ac:dyDescent="0.35">
      <c r="L931" s="140">
        <v>929</v>
      </c>
      <c r="M931" s="140">
        <v>0</v>
      </c>
      <c r="O931" s="140">
        <f t="shared" si="25"/>
        <v>0</v>
      </c>
      <c r="Q931" s="140">
        <v>14</v>
      </c>
    </row>
    <row r="932" spans="12:17" x14ac:dyDescent="0.35">
      <c r="L932" s="140">
        <v>930</v>
      </c>
      <c r="M932" s="140">
        <v>0</v>
      </c>
      <c r="O932" s="140">
        <f t="shared" si="25"/>
        <v>0</v>
      </c>
      <c r="Q932" s="140">
        <v>23</v>
      </c>
    </row>
    <row r="933" spans="12:17" x14ac:dyDescent="0.35">
      <c r="L933" s="140">
        <v>931</v>
      </c>
      <c r="M933" s="140">
        <v>1</v>
      </c>
      <c r="O933" s="140">
        <f t="shared" si="25"/>
        <v>0</v>
      </c>
      <c r="Q933" s="140">
        <v>19</v>
      </c>
    </row>
    <row r="934" spans="12:17" x14ac:dyDescent="0.35">
      <c r="L934" s="140">
        <v>932</v>
      </c>
      <c r="M934" s="140">
        <v>0</v>
      </c>
      <c r="O934" s="140">
        <f t="shared" si="25"/>
        <v>0</v>
      </c>
      <c r="Q934" s="140">
        <v>19</v>
      </c>
    </row>
    <row r="935" spans="12:17" x14ac:dyDescent="0.35">
      <c r="L935" s="140">
        <v>933</v>
      </c>
      <c r="M935" s="140">
        <v>0</v>
      </c>
      <c r="O935" s="140">
        <f t="shared" si="25"/>
        <v>0</v>
      </c>
      <c r="Q935" s="140">
        <v>14</v>
      </c>
    </row>
    <row r="936" spans="12:17" x14ac:dyDescent="0.35">
      <c r="L936" s="140">
        <v>934</v>
      </c>
      <c r="M936" s="140">
        <v>0</v>
      </c>
      <c r="O936" s="140">
        <f t="shared" si="25"/>
        <v>0</v>
      </c>
      <c r="Q936" s="140">
        <v>18</v>
      </c>
    </row>
    <row r="937" spans="12:17" x14ac:dyDescent="0.35">
      <c r="L937" s="140">
        <v>935</v>
      </c>
      <c r="M937" s="140">
        <v>0</v>
      </c>
      <c r="O937" s="140">
        <f t="shared" si="25"/>
        <v>0</v>
      </c>
      <c r="Q937" s="140">
        <v>14</v>
      </c>
    </row>
    <row r="938" spans="12:17" x14ac:dyDescent="0.35">
      <c r="L938" s="140">
        <v>936</v>
      </c>
      <c r="M938" s="140">
        <v>0</v>
      </c>
      <c r="O938" s="140">
        <f t="shared" si="25"/>
        <v>0</v>
      </c>
      <c r="Q938" s="140">
        <v>22</v>
      </c>
    </row>
    <row r="939" spans="12:17" x14ac:dyDescent="0.35">
      <c r="L939" s="140">
        <v>937</v>
      </c>
      <c r="M939" s="140">
        <v>0</v>
      </c>
      <c r="O939" s="140">
        <f t="shared" si="25"/>
        <v>0</v>
      </c>
      <c r="Q939" s="140">
        <v>18</v>
      </c>
    </row>
    <row r="940" spans="12:17" x14ac:dyDescent="0.35">
      <c r="L940" s="140">
        <v>938</v>
      </c>
      <c r="M940" s="140">
        <v>0</v>
      </c>
      <c r="O940" s="140">
        <f t="shared" si="25"/>
        <v>0</v>
      </c>
      <c r="Q940" s="140">
        <v>14</v>
      </c>
    </row>
    <row r="941" spans="12:17" x14ac:dyDescent="0.35">
      <c r="L941" s="140">
        <v>939</v>
      </c>
      <c r="M941" s="140">
        <v>0</v>
      </c>
      <c r="O941" s="140">
        <f t="shared" si="25"/>
        <v>0</v>
      </c>
      <c r="Q941" s="140">
        <v>22</v>
      </c>
    </row>
    <row r="942" spans="12:17" x14ac:dyDescent="0.35">
      <c r="L942" s="140">
        <v>940</v>
      </c>
      <c r="M942" s="140">
        <v>1</v>
      </c>
      <c r="O942" s="140">
        <f t="shared" ref="O942:O1002" si="26">MAX(N942:N1940)</f>
        <v>0</v>
      </c>
      <c r="Q942" s="140">
        <v>14</v>
      </c>
    </row>
    <row r="943" spans="12:17" x14ac:dyDescent="0.35">
      <c r="L943" s="140">
        <v>941</v>
      </c>
      <c r="M943" s="140">
        <v>0</v>
      </c>
      <c r="O943" s="140">
        <f t="shared" si="26"/>
        <v>0</v>
      </c>
      <c r="Q943" s="140">
        <v>20</v>
      </c>
    </row>
    <row r="944" spans="12:17" x14ac:dyDescent="0.35">
      <c r="L944" s="140">
        <v>942</v>
      </c>
      <c r="M944" s="140">
        <v>0</v>
      </c>
      <c r="O944" s="140">
        <f t="shared" si="26"/>
        <v>0</v>
      </c>
      <c r="Q944" s="140">
        <v>9</v>
      </c>
    </row>
    <row r="945" spans="12:17" x14ac:dyDescent="0.35">
      <c r="L945" s="140">
        <v>943</v>
      </c>
      <c r="M945" s="140">
        <v>0</v>
      </c>
      <c r="O945" s="140">
        <f t="shared" si="26"/>
        <v>0</v>
      </c>
      <c r="Q945" s="140">
        <v>16</v>
      </c>
    </row>
    <row r="946" spans="12:17" x14ac:dyDescent="0.35">
      <c r="L946" s="140">
        <v>944</v>
      </c>
      <c r="M946" s="140">
        <v>0</v>
      </c>
      <c r="O946" s="140">
        <f t="shared" si="26"/>
        <v>0</v>
      </c>
      <c r="Q946" s="140">
        <v>16</v>
      </c>
    </row>
    <row r="947" spans="12:17" x14ac:dyDescent="0.35">
      <c r="L947" s="140">
        <v>945</v>
      </c>
      <c r="M947" s="140">
        <v>0</v>
      </c>
      <c r="O947" s="140">
        <f t="shared" si="26"/>
        <v>0</v>
      </c>
      <c r="Q947" s="140">
        <v>18</v>
      </c>
    </row>
    <row r="948" spans="12:17" x14ac:dyDescent="0.35">
      <c r="L948" s="140">
        <v>946</v>
      </c>
      <c r="M948" s="140">
        <v>0</v>
      </c>
      <c r="O948" s="140">
        <f t="shared" si="26"/>
        <v>0</v>
      </c>
      <c r="Q948" s="140">
        <v>16</v>
      </c>
    </row>
    <row r="949" spans="12:17" x14ac:dyDescent="0.35">
      <c r="L949" s="140">
        <v>947</v>
      </c>
      <c r="M949" s="140">
        <v>0</v>
      </c>
      <c r="O949" s="140">
        <f t="shared" si="26"/>
        <v>0</v>
      </c>
      <c r="Q949" s="140">
        <v>18</v>
      </c>
    </row>
    <row r="950" spans="12:17" x14ac:dyDescent="0.35">
      <c r="L950" s="140">
        <v>948</v>
      </c>
      <c r="M950" s="140">
        <v>0</v>
      </c>
      <c r="O950" s="140">
        <f t="shared" si="26"/>
        <v>0</v>
      </c>
      <c r="Q950" s="140">
        <v>19</v>
      </c>
    </row>
    <row r="951" spans="12:17" x14ac:dyDescent="0.35">
      <c r="L951" s="140">
        <v>949</v>
      </c>
      <c r="M951" s="140">
        <v>0</v>
      </c>
      <c r="O951" s="140">
        <f t="shared" si="26"/>
        <v>0</v>
      </c>
      <c r="Q951" s="140">
        <v>24</v>
      </c>
    </row>
    <row r="952" spans="12:17" x14ac:dyDescent="0.35">
      <c r="L952" s="140">
        <v>950</v>
      </c>
      <c r="M952" s="140">
        <v>0</v>
      </c>
      <c r="O952" s="140">
        <f t="shared" si="26"/>
        <v>0</v>
      </c>
      <c r="Q952" s="140">
        <v>20</v>
      </c>
    </row>
    <row r="953" spans="12:17" x14ac:dyDescent="0.35">
      <c r="L953" s="140">
        <v>951</v>
      </c>
      <c r="M953" s="140">
        <v>0</v>
      </c>
      <c r="O953" s="140">
        <f t="shared" si="26"/>
        <v>0</v>
      </c>
      <c r="Q953" s="140">
        <v>18</v>
      </c>
    </row>
    <row r="954" spans="12:17" x14ac:dyDescent="0.35">
      <c r="L954" s="140">
        <v>952</v>
      </c>
      <c r="M954" s="140">
        <v>0</v>
      </c>
      <c r="O954" s="140">
        <f t="shared" si="26"/>
        <v>0</v>
      </c>
      <c r="Q954" s="140">
        <v>8</v>
      </c>
    </row>
    <row r="955" spans="12:17" x14ac:dyDescent="0.35">
      <c r="L955" s="140">
        <v>953</v>
      </c>
      <c r="M955" s="140">
        <v>1</v>
      </c>
      <c r="O955" s="140">
        <f t="shared" si="26"/>
        <v>0</v>
      </c>
      <c r="Q955" s="140">
        <v>17</v>
      </c>
    </row>
    <row r="956" spans="12:17" x14ac:dyDescent="0.35">
      <c r="L956" s="140">
        <v>954</v>
      </c>
      <c r="M956" s="140">
        <v>0</v>
      </c>
      <c r="O956" s="140">
        <f t="shared" si="26"/>
        <v>0</v>
      </c>
      <c r="Q956" s="140">
        <v>16</v>
      </c>
    </row>
    <row r="957" spans="12:17" x14ac:dyDescent="0.35">
      <c r="L957" s="140">
        <v>955</v>
      </c>
      <c r="M957" s="140">
        <v>0</v>
      </c>
      <c r="O957" s="140">
        <f t="shared" si="26"/>
        <v>0</v>
      </c>
      <c r="Q957" s="140">
        <v>8</v>
      </c>
    </row>
    <row r="958" spans="12:17" x14ac:dyDescent="0.35">
      <c r="L958" s="140">
        <v>956</v>
      </c>
      <c r="M958" s="140">
        <v>0</v>
      </c>
      <c r="O958" s="140">
        <f t="shared" si="26"/>
        <v>0</v>
      </c>
      <c r="Q958" s="140">
        <v>13</v>
      </c>
    </row>
    <row r="959" spans="12:17" x14ac:dyDescent="0.35">
      <c r="L959" s="140">
        <v>957</v>
      </c>
      <c r="M959" s="140">
        <v>0</v>
      </c>
      <c r="O959" s="140">
        <f t="shared" si="26"/>
        <v>0</v>
      </c>
      <c r="Q959" s="140">
        <v>19</v>
      </c>
    </row>
    <row r="960" spans="12:17" x14ac:dyDescent="0.35">
      <c r="L960" s="140">
        <v>958</v>
      </c>
      <c r="M960" s="140">
        <v>0</v>
      </c>
      <c r="O960" s="140">
        <f t="shared" si="26"/>
        <v>0</v>
      </c>
      <c r="Q960" s="140">
        <v>20</v>
      </c>
    </row>
    <row r="961" spans="12:17" x14ac:dyDescent="0.35">
      <c r="L961" s="140">
        <v>959</v>
      </c>
      <c r="M961" s="140">
        <v>0</v>
      </c>
      <c r="O961" s="140">
        <f t="shared" si="26"/>
        <v>0</v>
      </c>
      <c r="Q961" s="140">
        <v>22</v>
      </c>
    </row>
    <row r="962" spans="12:17" x14ac:dyDescent="0.35">
      <c r="L962" s="140">
        <v>960</v>
      </c>
      <c r="M962" s="140">
        <v>0</v>
      </c>
      <c r="O962" s="140">
        <f t="shared" si="26"/>
        <v>0</v>
      </c>
      <c r="Q962" s="140">
        <v>17</v>
      </c>
    </row>
    <row r="963" spans="12:17" x14ac:dyDescent="0.35">
      <c r="L963" s="140">
        <v>961</v>
      </c>
      <c r="M963" s="140">
        <v>0</v>
      </c>
      <c r="O963" s="140">
        <f t="shared" si="26"/>
        <v>0</v>
      </c>
      <c r="Q963" s="140">
        <v>19</v>
      </c>
    </row>
    <row r="964" spans="12:17" x14ac:dyDescent="0.35">
      <c r="L964" s="140">
        <v>962</v>
      </c>
      <c r="M964" s="140">
        <v>0</v>
      </c>
      <c r="O964" s="140">
        <f t="shared" si="26"/>
        <v>0</v>
      </c>
      <c r="Q964" s="140">
        <v>18</v>
      </c>
    </row>
    <row r="965" spans="12:17" x14ac:dyDescent="0.35">
      <c r="L965" s="140">
        <v>963</v>
      </c>
      <c r="M965" s="140">
        <v>0</v>
      </c>
      <c r="O965" s="140">
        <f t="shared" si="26"/>
        <v>0</v>
      </c>
      <c r="Q965" s="140">
        <v>18</v>
      </c>
    </row>
    <row r="966" spans="12:17" x14ac:dyDescent="0.35">
      <c r="L966" s="140">
        <v>964</v>
      </c>
      <c r="M966" s="140">
        <v>0</v>
      </c>
      <c r="O966" s="140">
        <f t="shared" si="26"/>
        <v>0</v>
      </c>
      <c r="Q966" s="140">
        <v>19</v>
      </c>
    </row>
    <row r="967" spans="12:17" x14ac:dyDescent="0.35">
      <c r="L967" s="140">
        <v>965</v>
      </c>
      <c r="M967" s="140">
        <v>0</v>
      </c>
      <c r="O967" s="140">
        <f t="shared" si="26"/>
        <v>0</v>
      </c>
      <c r="Q967" s="140">
        <v>17</v>
      </c>
    </row>
    <row r="968" spans="12:17" x14ac:dyDescent="0.35">
      <c r="L968" s="140">
        <v>966</v>
      </c>
      <c r="M968" s="140">
        <v>0</v>
      </c>
      <c r="O968" s="140">
        <f t="shared" si="26"/>
        <v>0</v>
      </c>
      <c r="Q968" s="140">
        <v>13</v>
      </c>
    </row>
    <row r="969" spans="12:17" x14ac:dyDescent="0.35">
      <c r="L969" s="140">
        <v>967</v>
      </c>
      <c r="M969" s="140">
        <v>1</v>
      </c>
      <c r="O969" s="140">
        <f t="shared" si="26"/>
        <v>0</v>
      </c>
      <c r="Q969" s="140">
        <v>19</v>
      </c>
    </row>
    <row r="970" spans="12:17" x14ac:dyDescent="0.35">
      <c r="L970" s="140">
        <v>968</v>
      </c>
      <c r="M970" s="140">
        <v>0</v>
      </c>
      <c r="O970" s="140">
        <f t="shared" si="26"/>
        <v>0</v>
      </c>
      <c r="Q970" s="140">
        <v>19</v>
      </c>
    </row>
    <row r="971" spans="12:17" x14ac:dyDescent="0.35">
      <c r="L971" s="140">
        <v>969</v>
      </c>
      <c r="M971" s="140">
        <v>0</v>
      </c>
      <c r="O971" s="140">
        <f t="shared" si="26"/>
        <v>0</v>
      </c>
      <c r="Q971" s="140">
        <v>14</v>
      </c>
    </row>
    <row r="972" spans="12:17" x14ac:dyDescent="0.35">
      <c r="L972" s="140">
        <v>970</v>
      </c>
      <c r="M972" s="140">
        <v>0</v>
      </c>
      <c r="O972" s="140">
        <f t="shared" si="26"/>
        <v>0</v>
      </c>
      <c r="Q972" s="140">
        <v>28</v>
      </c>
    </row>
    <row r="973" spans="12:17" x14ac:dyDescent="0.35">
      <c r="L973" s="140">
        <v>971</v>
      </c>
      <c r="M973" s="140">
        <v>0</v>
      </c>
      <c r="O973" s="140">
        <f t="shared" si="26"/>
        <v>0</v>
      </c>
      <c r="Q973" s="140">
        <v>18</v>
      </c>
    </row>
    <row r="974" spans="12:17" x14ac:dyDescent="0.35">
      <c r="L974" s="140">
        <v>972</v>
      </c>
      <c r="M974" s="140">
        <v>0</v>
      </c>
      <c r="O974" s="140">
        <f t="shared" si="26"/>
        <v>0</v>
      </c>
      <c r="Q974" s="140">
        <v>27</v>
      </c>
    </row>
    <row r="975" spans="12:17" x14ac:dyDescent="0.35">
      <c r="L975" s="140">
        <v>973</v>
      </c>
      <c r="M975" s="140">
        <v>0</v>
      </c>
      <c r="O975" s="140">
        <f t="shared" si="26"/>
        <v>0</v>
      </c>
      <c r="Q975" s="140">
        <v>15</v>
      </c>
    </row>
    <row r="976" spans="12:17" x14ac:dyDescent="0.35">
      <c r="L976" s="140">
        <v>974</v>
      </c>
      <c r="M976" s="140">
        <v>0</v>
      </c>
      <c r="O976" s="140">
        <f t="shared" si="26"/>
        <v>0</v>
      </c>
      <c r="Q976" s="140">
        <v>21</v>
      </c>
    </row>
    <row r="977" spans="12:17" x14ac:dyDescent="0.35">
      <c r="L977" s="140">
        <v>975</v>
      </c>
      <c r="M977" s="140">
        <v>0</v>
      </c>
      <c r="O977" s="140">
        <f t="shared" si="26"/>
        <v>0</v>
      </c>
      <c r="Q977" s="140">
        <v>15</v>
      </c>
    </row>
    <row r="978" spans="12:17" x14ac:dyDescent="0.35">
      <c r="L978" s="140">
        <v>976</v>
      </c>
      <c r="M978" s="140">
        <v>0</v>
      </c>
      <c r="O978" s="140">
        <f t="shared" si="26"/>
        <v>0</v>
      </c>
      <c r="Q978" s="140">
        <v>12</v>
      </c>
    </row>
    <row r="979" spans="12:17" x14ac:dyDescent="0.35">
      <c r="L979" s="140">
        <v>977</v>
      </c>
      <c r="M979" s="140">
        <v>0</v>
      </c>
      <c r="O979" s="140">
        <f t="shared" si="26"/>
        <v>0</v>
      </c>
      <c r="Q979" s="140">
        <v>18</v>
      </c>
    </row>
    <row r="980" spans="12:17" x14ac:dyDescent="0.35">
      <c r="L980" s="140">
        <v>978</v>
      </c>
      <c r="M980" s="140">
        <v>0</v>
      </c>
      <c r="O980" s="140">
        <f t="shared" si="26"/>
        <v>0</v>
      </c>
      <c r="Q980" s="140">
        <v>19</v>
      </c>
    </row>
    <row r="981" spans="12:17" x14ac:dyDescent="0.35">
      <c r="L981" s="140">
        <v>979</v>
      </c>
      <c r="M981" s="140">
        <v>0</v>
      </c>
      <c r="O981" s="140">
        <f t="shared" si="26"/>
        <v>0</v>
      </c>
      <c r="Q981" s="140">
        <v>20</v>
      </c>
    </row>
    <row r="982" spans="12:17" x14ac:dyDescent="0.35">
      <c r="L982" s="140">
        <v>980</v>
      </c>
      <c r="M982" s="140">
        <v>1</v>
      </c>
      <c r="O982" s="140">
        <f t="shared" si="26"/>
        <v>0</v>
      </c>
      <c r="Q982" s="140">
        <v>19</v>
      </c>
    </row>
    <row r="983" spans="12:17" x14ac:dyDescent="0.35">
      <c r="L983" s="140">
        <v>981</v>
      </c>
      <c r="M983" s="140">
        <v>0</v>
      </c>
      <c r="O983" s="140">
        <f t="shared" si="26"/>
        <v>0</v>
      </c>
      <c r="Q983" s="140">
        <v>24</v>
      </c>
    </row>
    <row r="984" spans="12:17" x14ac:dyDescent="0.35">
      <c r="L984" s="140">
        <v>982</v>
      </c>
      <c r="M984" s="140">
        <v>0</v>
      </c>
      <c r="O984" s="140">
        <f t="shared" si="26"/>
        <v>0</v>
      </c>
      <c r="Q984" s="140">
        <v>17</v>
      </c>
    </row>
    <row r="985" spans="12:17" x14ac:dyDescent="0.35">
      <c r="L985" s="140">
        <v>983</v>
      </c>
      <c r="M985" s="140">
        <v>0</v>
      </c>
      <c r="O985" s="140">
        <f t="shared" si="26"/>
        <v>0</v>
      </c>
      <c r="Q985" s="140">
        <v>13</v>
      </c>
    </row>
    <row r="986" spans="12:17" x14ac:dyDescent="0.35">
      <c r="L986" s="140">
        <v>984</v>
      </c>
      <c r="M986" s="140">
        <v>0</v>
      </c>
      <c r="O986" s="140">
        <f t="shared" si="26"/>
        <v>0</v>
      </c>
      <c r="Q986" s="140">
        <v>20</v>
      </c>
    </row>
    <row r="987" spans="12:17" x14ac:dyDescent="0.35">
      <c r="L987" s="140">
        <v>985</v>
      </c>
      <c r="M987" s="140">
        <v>0</v>
      </c>
      <c r="O987" s="140">
        <f t="shared" si="26"/>
        <v>0</v>
      </c>
      <c r="Q987" s="140">
        <v>12</v>
      </c>
    </row>
    <row r="988" spans="12:17" x14ac:dyDescent="0.35">
      <c r="L988" s="140">
        <v>986</v>
      </c>
      <c r="M988" s="140">
        <v>0</v>
      </c>
      <c r="O988" s="140">
        <f t="shared" si="26"/>
        <v>0</v>
      </c>
      <c r="Q988" s="140">
        <v>20</v>
      </c>
    </row>
    <row r="989" spans="12:17" x14ac:dyDescent="0.35">
      <c r="L989" s="140">
        <v>987</v>
      </c>
      <c r="M989" s="140">
        <v>0</v>
      </c>
      <c r="O989" s="140">
        <f t="shared" si="26"/>
        <v>0</v>
      </c>
      <c r="Q989" s="140">
        <v>20</v>
      </c>
    </row>
    <row r="990" spans="12:17" x14ac:dyDescent="0.35">
      <c r="L990" s="140">
        <v>988</v>
      </c>
      <c r="M990" s="140">
        <v>0</v>
      </c>
      <c r="O990" s="140">
        <f t="shared" si="26"/>
        <v>0</v>
      </c>
      <c r="Q990" s="140">
        <v>23</v>
      </c>
    </row>
    <row r="991" spans="12:17" x14ac:dyDescent="0.35">
      <c r="L991" s="140">
        <v>989</v>
      </c>
      <c r="M991" s="140">
        <v>0</v>
      </c>
      <c r="O991" s="140">
        <f t="shared" si="26"/>
        <v>0</v>
      </c>
      <c r="Q991" s="140">
        <v>14</v>
      </c>
    </row>
    <row r="992" spans="12:17" x14ac:dyDescent="0.35">
      <c r="L992" s="140">
        <v>990</v>
      </c>
      <c r="M992" s="140">
        <v>1</v>
      </c>
      <c r="O992" s="140">
        <f t="shared" si="26"/>
        <v>0</v>
      </c>
      <c r="Q992" s="140">
        <v>16</v>
      </c>
    </row>
    <row r="993" spans="12:17" x14ac:dyDescent="0.35">
      <c r="L993" s="140">
        <v>991</v>
      </c>
      <c r="M993" s="140">
        <v>0</v>
      </c>
      <c r="O993" s="140">
        <f t="shared" si="26"/>
        <v>0</v>
      </c>
      <c r="Q993" s="140">
        <v>12</v>
      </c>
    </row>
    <row r="994" spans="12:17" x14ac:dyDescent="0.35">
      <c r="L994" s="140">
        <v>992</v>
      </c>
      <c r="M994" s="140">
        <v>0</v>
      </c>
      <c r="O994" s="140">
        <f t="shared" si="26"/>
        <v>0</v>
      </c>
      <c r="Q994" s="140">
        <v>23</v>
      </c>
    </row>
    <row r="995" spans="12:17" x14ac:dyDescent="0.35">
      <c r="L995" s="140">
        <v>993</v>
      </c>
      <c r="M995" s="140">
        <v>0</v>
      </c>
      <c r="O995" s="140">
        <f t="shared" si="26"/>
        <v>0</v>
      </c>
      <c r="Q995" s="140">
        <v>14</v>
      </c>
    </row>
    <row r="996" spans="12:17" x14ac:dyDescent="0.35">
      <c r="L996" s="140">
        <v>994</v>
      </c>
      <c r="M996" s="140">
        <v>0</v>
      </c>
      <c r="O996" s="140">
        <f t="shared" si="26"/>
        <v>0</v>
      </c>
      <c r="Q996" s="140">
        <v>19</v>
      </c>
    </row>
    <row r="997" spans="12:17" x14ac:dyDescent="0.35">
      <c r="L997" s="140">
        <v>995</v>
      </c>
      <c r="M997" s="140">
        <v>0</v>
      </c>
      <c r="O997" s="140">
        <f t="shared" si="26"/>
        <v>0</v>
      </c>
      <c r="Q997" s="140">
        <v>12</v>
      </c>
    </row>
    <row r="998" spans="12:17" x14ac:dyDescent="0.35">
      <c r="L998" s="140">
        <v>996</v>
      </c>
      <c r="M998" s="140">
        <v>0</v>
      </c>
      <c r="O998" s="140">
        <f t="shared" si="26"/>
        <v>0</v>
      </c>
      <c r="Q998" s="140">
        <v>18</v>
      </c>
    </row>
    <row r="999" spans="12:17" x14ac:dyDescent="0.35">
      <c r="L999" s="140">
        <v>997</v>
      </c>
      <c r="M999" s="140">
        <v>0</v>
      </c>
      <c r="O999" s="140">
        <f t="shared" si="26"/>
        <v>0</v>
      </c>
      <c r="Q999" s="140">
        <v>21</v>
      </c>
    </row>
    <row r="1000" spans="12:17" x14ac:dyDescent="0.35">
      <c r="L1000" s="140">
        <v>998</v>
      </c>
      <c r="M1000" s="140">
        <v>0</v>
      </c>
      <c r="O1000" s="140">
        <f t="shared" si="26"/>
        <v>0</v>
      </c>
      <c r="Q1000" s="140">
        <v>21</v>
      </c>
    </row>
    <row r="1001" spans="12:17" x14ac:dyDescent="0.35">
      <c r="L1001" s="140">
        <v>999</v>
      </c>
      <c r="M1001" s="140">
        <v>0</v>
      </c>
      <c r="O1001" s="140">
        <f t="shared" si="26"/>
        <v>0</v>
      </c>
      <c r="Q1001" s="140">
        <v>24</v>
      </c>
    </row>
    <row r="1002" spans="12:17" x14ac:dyDescent="0.35">
      <c r="L1002" s="140">
        <v>1000</v>
      </c>
      <c r="O1002" s="140">
        <f t="shared" si="26"/>
        <v>0</v>
      </c>
    </row>
  </sheetData>
  <mergeCells count="2">
    <mergeCell ref="R12:W12"/>
    <mergeCell ref="C1:H1"/>
  </mergeCells>
  <conditionalFormatting sqref="A43">
    <cfRule type="cellIs" dxfId="11" priority="2" operator="lessThan">
      <formula>0.3</formula>
    </cfRule>
  </conditionalFormatting>
  <conditionalFormatting sqref="A45">
    <cfRule type="cellIs" dxfId="10" priority="1" operator="lessThan">
      <formula>0.15</formula>
    </cfRule>
  </conditionalFormatting>
  <pageMargins left="0.78749999999999998" right="0.78749999999999998" top="1.05277777777778" bottom="1.74166666666667" header="0.78749999999999998" footer="0.78749999999999998"/>
  <pageSetup paperSize="9" scale="110" orientation="landscape" horizontalDpi="300" verticalDpi="300" r:id="rId1"/>
  <headerFooter>
    <oddHeader>&amp;C&amp;"Times New Roman,Regular"&amp;12&amp;Kffffff&amp;A</oddHeader>
    <oddFooter>&amp;C&amp;"Times New Roman,Regular"&amp;12&amp;KffffffPage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W71"/>
  <sheetViews>
    <sheetView zoomScale="70" zoomScaleNormal="70" workbookViewId="0">
      <selection activeCell="A47" sqref="A47:H51"/>
    </sheetView>
  </sheetViews>
  <sheetFormatPr defaultColWidth="11.53125" defaultRowHeight="12.75" x14ac:dyDescent="0.35"/>
  <sheetData>
    <row r="1" spans="1:49" x14ac:dyDescent="0.35">
      <c r="A1" t="s">
        <v>266</v>
      </c>
    </row>
    <row r="4" spans="1:49" ht="13.15" x14ac:dyDescent="0.4">
      <c r="A4" s="8"/>
    </row>
    <row r="5" spans="1:49" x14ac:dyDescent="0.35">
      <c r="A5" s="242"/>
    </row>
    <row r="6" spans="1:49" ht="13.15" x14ac:dyDescent="0.4">
      <c r="B6" s="8"/>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M7" s="65"/>
    </row>
    <row r="8" spans="1:49" ht="13.15" x14ac:dyDescent="0.4">
      <c r="A8" s="68" t="s">
        <v>139</v>
      </c>
      <c r="C8">
        <v>8.5653030000000001</v>
      </c>
      <c r="D8">
        <v>8.5077770000000008</v>
      </c>
      <c r="E8">
        <v>8.5646590000000007</v>
      </c>
      <c r="F8">
        <v>8.5678509999999992</v>
      </c>
      <c r="G8" s="78">
        <v>25.517626</v>
      </c>
      <c r="H8" s="78">
        <f>AVERAGE(B$8:F$8)*5</f>
        <v>42.756987500000001</v>
      </c>
      <c r="I8" s="79"/>
      <c r="K8" s="79"/>
    </row>
    <row r="9" spans="1:49" ht="40.15" x14ac:dyDescent="1.05">
      <c r="A9" s="83" t="s">
        <v>140</v>
      </c>
      <c r="C9">
        <v>40396</v>
      </c>
      <c r="D9">
        <v>40427</v>
      </c>
      <c r="E9">
        <v>40705</v>
      </c>
      <c r="F9">
        <v>40117</v>
      </c>
      <c r="G9" s="116">
        <f t="shared" ref="G9:G15" si="0">AVERAGE(B9:F9)/AVERAGE(B$8:F$8)</f>
        <v>4725.6895729616126</v>
      </c>
      <c r="H9" s="117">
        <f t="shared" ref="H9:H15" si="1">G9*H$8</f>
        <v>202056.25</v>
      </c>
      <c r="I9" s="118">
        <f t="shared" ref="I9:I15" si="2">STDEVP(B9:F9)/AVERAGE(B9:F9)</f>
        <v>5.1514926895682061E-3</v>
      </c>
      <c r="J9" s="118">
        <f t="shared" ref="J9:J15" si="3">IF(H9&gt;$A$21, $C$21, IF(H9&gt;$A$22, $C$22, IF(H9&gt;$A$23,$C$23,IF(H9&gt;$A$24,$C$24, IF(H9&gt;$A$25,$C$25,IF(H9&gt;$A$26,$C$26,$C$27))))))/100</f>
        <v>0.11</v>
      </c>
      <c r="K9" s="118">
        <f t="shared" ref="K9:K15" si="4">(MAX(B9:F9)-MIN(B9:F9))/H9*5</f>
        <v>1.4550403662346499E-2</v>
      </c>
      <c r="M9" s="75" t="s">
        <v>267</v>
      </c>
    </row>
    <row r="10" spans="1:49" ht="13.15" x14ac:dyDescent="0.4">
      <c r="A10" s="68" t="s">
        <v>141</v>
      </c>
      <c r="C10">
        <v>21946</v>
      </c>
      <c r="D10">
        <v>21790</v>
      </c>
      <c r="E10">
        <v>22053</v>
      </c>
      <c r="F10">
        <v>21746</v>
      </c>
      <c r="G10" s="80">
        <f t="shared" si="0"/>
        <v>2559.0846408437919</v>
      </c>
      <c r="H10" s="81">
        <f t="shared" si="1"/>
        <v>109418.75</v>
      </c>
      <c r="I10" s="79">
        <f t="shared" si="2"/>
        <v>5.6098595942707056E-3</v>
      </c>
      <c r="J10" s="79">
        <f t="shared" si="3"/>
        <v>0.11</v>
      </c>
      <c r="K10" s="79">
        <f t="shared" si="4"/>
        <v>1.4028674244587879E-2</v>
      </c>
    </row>
    <row r="11" spans="1:49" ht="40.15" x14ac:dyDescent="1.05">
      <c r="A11" s="68" t="s">
        <v>142</v>
      </c>
      <c r="C11">
        <v>10745</v>
      </c>
      <c r="D11">
        <v>10642</v>
      </c>
      <c r="E11">
        <v>10855</v>
      </c>
      <c r="F11">
        <v>10730</v>
      </c>
      <c r="G11" s="80">
        <f t="shared" si="0"/>
        <v>1256.2858877744836</v>
      </c>
      <c r="H11" s="81">
        <f t="shared" si="1"/>
        <v>53715</v>
      </c>
      <c r="I11" s="79">
        <f t="shared" si="2"/>
        <v>7.0458401515349931E-3</v>
      </c>
      <c r="J11" s="79">
        <f t="shared" si="3"/>
        <v>0.11</v>
      </c>
      <c r="K11" s="79">
        <f t="shared" si="4"/>
        <v>1.9826864004468023E-2</v>
      </c>
      <c r="M11" s="75" t="s">
        <v>92</v>
      </c>
    </row>
    <row r="12" spans="1:49" ht="13.15" x14ac:dyDescent="0.4">
      <c r="A12" s="68" t="s">
        <v>143</v>
      </c>
      <c r="C12">
        <v>5202</v>
      </c>
      <c r="D12">
        <v>5120</v>
      </c>
      <c r="E12">
        <v>5249</v>
      </c>
      <c r="F12">
        <v>5152</v>
      </c>
      <c r="G12" s="80">
        <f t="shared" si="0"/>
        <v>605.83664833730393</v>
      </c>
      <c r="H12" s="81">
        <f t="shared" si="1"/>
        <v>25903.75</v>
      </c>
      <c r="I12" s="79">
        <f t="shared" si="2"/>
        <v>9.4692856026857841E-3</v>
      </c>
      <c r="J12" s="79">
        <f t="shared" si="3"/>
        <v>0.11</v>
      </c>
      <c r="K12" s="79">
        <f t="shared" si="4"/>
        <v>2.4899869709984077E-2</v>
      </c>
      <c r="M12" s="29">
        <v>46007</v>
      </c>
    </row>
    <row r="13" spans="1:49" ht="13.15" x14ac:dyDescent="0.4">
      <c r="A13" s="68" t="s">
        <v>144</v>
      </c>
      <c r="C13">
        <v>2596</v>
      </c>
      <c r="D13">
        <v>2588</v>
      </c>
      <c r="E13">
        <v>2644</v>
      </c>
      <c r="F13">
        <v>2644</v>
      </c>
      <c r="G13" s="80">
        <f t="shared" si="0"/>
        <v>306.148790300065</v>
      </c>
      <c r="H13" s="81">
        <f t="shared" si="1"/>
        <v>13090</v>
      </c>
      <c r="I13" s="79">
        <f t="shared" si="2"/>
        <v>9.9898371509717504E-3</v>
      </c>
      <c r="J13" s="79">
        <f t="shared" si="3"/>
        <v>0.11</v>
      </c>
      <c r="K13" s="79">
        <f t="shared" si="4"/>
        <v>2.1390374331550804E-2</v>
      </c>
      <c r="M13" t="s">
        <v>392</v>
      </c>
    </row>
    <row r="14" spans="1:49" ht="13.15" x14ac:dyDescent="0.4">
      <c r="A14" s="87" t="s">
        <v>145</v>
      </c>
      <c r="C14">
        <v>1328</v>
      </c>
      <c r="D14">
        <v>1294</v>
      </c>
      <c r="E14">
        <v>1252</v>
      </c>
      <c r="F14">
        <v>1326</v>
      </c>
      <c r="G14" s="119">
        <f t="shared" si="0"/>
        <v>152.02193559590697</v>
      </c>
      <c r="H14" s="120">
        <f t="shared" si="1"/>
        <v>6499.9999999999991</v>
      </c>
      <c r="I14" s="121">
        <f t="shared" si="2"/>
        <v>2.3709284626803755E-2</v>
      </c>
      <c r="J14" s="121">
        <f t="shared" si="3"/>
        <v>0.113</v>
      </c>
      <c r="K14" s="121">
        <f t="shared" si="4"/>
        <v>5.8461538461538474E-2</v>
      </c>
      <c r="M14" s="42"/>
    </row>
    <row r="15" spans="1:49" ht="13.15" x14ac:dyDescent="0.4">
      <c r="A15" s="68" t="s">
        <v>146</v>
      </c>
      <c r="C15">
        <v>646</v>
      </c>
      <c r="D15">
        <v>589</v>
      </c>
      <c r="E15">
        <v>594</v>
      </c>
      <c r="F15">
        <v>583</v>
      </c>
      <c r="G15" s="80">
        <f t="shared" si="0"/>
        <v>70.514790126409167</v>
      </c>
      <c r="H15" s="81">
        <f t="shared" si="1"/>
        <v>3015.0000000000005</v>
      </c>
      <c r="I15" s="79">
        <f t="shared" si="2"/>
        <v>4.1674400905900702E-2</v>
      </c>
      <c r="J15" s="79">
        <f t="shared" si="3"/>
        <v>0.11900000000000001</v>
      </c>
      <c r="K15" s="79">
        <f t="shared" si="4"/>
        <v>0.10447761194029849</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170</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171</v>
      </c>
      <c r="C19" s="35"/>
      <c r="D19" s="84" t="s">
        <v>172</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173</v>
      </c>
      <c r="B20" s="87" t="s">
        <v>174</v>
      </c>
      <c r="C20" s="86" t="s">
        <v>175</v>
      </c>
      <c r="D20" s="86" t="s">
        <v>176</v>
      </c>
      <c r="E20" s="87" t="s">
        <v>177</v>
      </c>
      <c r="F20" s="87" t="s">
        <v>178</v>
      </c>
      <c r="G20" s="87" t="s">
        <v>179</v>
      </c>
      <c r="H20" s="88" t="s">
        <v>180</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x14ac:dyDescent="0.35">
      <c r="A31" s="68" t="s">
        <v>270</v>
      </c>
      <c r="B31" s="68" t="s">
        <v>140</v>
      </c>
      <c r="C31" s="68" t="s">
        <v>141</v>
      </c>
      <c r="D31" s="68" t="s">
        <v>142</v>
      </c>
      <c r="E31" s="68" t="s">
        <v>143</v>
      </c>
      <c r="F31" s="68" t="s">
        <v>144</v>
      </c>
      <c r="G31" s="68" t="s">
        <v>145</v>
      </c>
      <c r="H31" s="68" t="s">
        <v>146</v>
      </c>
      <c r="I31" s="79"/>
      <c r="J31" s="79"/>
      <c r="K31" s="79"/>
      <c r="M31" s="42"/>
    </row>
    <row r="32" spans="1:49" x14ac:dyDescent="0.35">
      <c r="A32">
        <v>7.9085020000000004</v>
      </c>
      <c r="B32">
        <v>39388</v>
      </c>
      <c r="C32">
        <v>21407</v>
      </c>
      <c r="D32">
        <v>10428</v>
      </c>
      <c r="E32">
        <v>5127</v>
      </c>
      <c r="F32">
        <v>2708</v>
      </c>
      <c r="G32">
        <v>1426</v>
      </c>
      <c r="H32">
        <v>711</v>
      </c>
      <c r="I32" s="79"/>
      <c r="J32" s="79"/>
      <c r="K32" s="79"/>
      <c r="M32" s="42"/>
    </row>
    <row r="33" spans="1:13" x14ac:dyDescent="0.35">
      <c r="A33">
        <v>8.5653030000000001</v>
      </c>
      <c r="B33">
        <v>40396</v>
      </c>
      <c r="C33">
        <v>21946</v>
      </c>
      <c r="D33">
        <v>10745</v>
      </c>
      <c r="E33">
        <v>5202</v>
      </c>
      <c r="F33">
        <v>2596</v>
      </c>
      <c r="G33">
        <v>1328</v>
      </c>
      <c r="H33">
        <v>646</v>
      </c>
      <c r="I33" s="79"/>
      <c r="J33" s="79"/>
      <c r="K33" s="79"/>
      <c r="M33" s="42"/>
    </row>
    <row r="34" spans="1:13" x14ac:dyDescent="0.35">
      <c r="A34">
        <v>8.5077770000000008</v>
      </c>
      <c r="B34">
        <v>40427</v>
      </c>
      <c r="C34">
        <v>21790</v>
      </c>
      <c r="D34">
        <v>10642</v>
      </c>
      <c r="E34">
        <v>5120</v>
      </c>
      <c r="F34">
        <v>2588</v>
      </c>
      <c r="G34">
        <v>1294</v>
      </c>
      <c r="H34">
        <v>589</v>
      </c>
      <c r="I34" s="79"/>
      <c r="J34" s="79"/>
      <c r="K34" s="79"/>
      <c r="M34" s="42"/>
    </row>
    <row r="35" spans="1:13" x14ac:dyDescent="0.35">
      <c r="A35">
        <v>8.5646590000000007</v>
      </c>
      <c r="B35">
        <v>40705</v>
      </c>
      <c r="C35">
        <v>22053</v>
      </c>
      <c r="D35">
        <v>10855</v>
      </c>
      <c r="E35">
        <v>5249</v>
      </c>
      <c r="F35">
        <v>2644</v>
      </c>
      <c r="G35">
        <v>1252</v>
      </c>
      <c r="H35">
        <v>594</v>
      </c>
      <c r="I35" s="79"/>
      <c r="J35" s="79"/>
      <c r="K35" s="79"/>
      <c r="M35" s="42"/>
    </row>
    <row r="36" spans="1:13" x14ac:dyDescent="0.35">
      <c r="A36">
        <v>8.5678509999999992</v>
      </c>
      <c r="B36">
        <v>40117</v>
      </c>
      <c r="C36">
        <v>21746</v>
      </c>
      <c r="D36">
        <v>10730</v>
      </c>
      <c r="E36">
        <v>5152</v>
      </c>
      <c r="F36">
        <v>2644</v>
      </c>
      <c r="G36">
        <v>1326</v>
      </c>
      <c r="H36">
        <v>583</v>
      </c>
      <c r="I36" s="79"/>
      <c r="J36" s="79"/>
      <c r="K36" s="79"/>
      <c r="M36" s="42"/>
    </row>
    <row r="37" spans="1:13" x14ac:dyDescent="0.35">
      <c r="A37">
        <v>7.9189910000000001</v>
      </c>
      <c r="B37">
        <v>37905</v>
      </c>
      <c r="C37">
        <v>20555</v>
      </c>
      <c r="D37">
        <v>10121</v>
      </c>
      <c r="E37">
        <v>4858</v>
      </c>
      <c r="F37">
        <v>2477</v>
      </c>
      <c r="G37">
        <v>1207</v>
      </c>
      <c r="H37">
        <v>561</v>
      </c>
      <c r="I37" s="79"/>
      <c r="J37" s="79"/>
      <c r="K37" s="79"/>
    </row>
    <row r="38" spans="1:13" x14ac:dyDescent="0.35">
      <c r="A38">
        <v>8.5659390000000002</v>
      </c>
      <c r="B38">
        <v>39539</v>
      </c>
      <c r="C38">
        <v>21543</v>
      </c>
      <c r="D38">
        <v>10621</v>
      </c>
      <c r="E38">
        <v>5128</v>
      </c>
      <c r="F38">
        <v>2618</v>
      </c>
      <c r="G38">
        <v>1299</v>
      </c>
      <c r="H38">
        <v>656</v>
      </c>
      <c r="I38" s="79"/>
      <c r="J38" s="79"/>
      <c r="K38" s="79"/>
    </row>
    <row r="39" spans="1:13" x14ac:dyDescent="0.35">
      <c r="A39">
        <v>8.5025910000000007</v>
      </c>
      <c r="B39">
        <v>40583</v>
      </c>
      <c r="C39">
        <v>21916</v>
      </c>
      <c r="D39">
        <v>10898</v>
      </c>
      <c r="E39">
        <v>5195</v>
      </c>
      <c r="F39">
        <v>2665</v>
      </c>
      <c r="G39">
        <v>1363</v>
      </c>
      <c r="H39">
        <v>678</v>
      </c>
    </row>
    <row r="40" spans="1:13" x14ac:dyDescent="0.35">
      <c r="A40">
        <v>8.576848</v>
      </c>
      <c r="B40">
        <v>40696</v>
      </c>
      <c r="C40">
        <v>21879</v>
      </c>
      <c r="D40">
        <v>10812</v>
      </c>
      <c r="E40">
        <v>5091</v>
      </c>
      <c r="F40">
        <v>2608</v>
      </c>
      <c r="G40">
        <v>1305</v>
      </c>
      <c r="H40">
        <v>642</v>
      </c>
    </row>
    <row r="41" spans="1:13" x14ac:dyDescent="0.35">
      <c r="A41">
        <v>8.5717929999999996</v>
      </c>
      <c r="B41">
        <v>39257</v>
      </c>
      <c r="C41">
        <v>21026</v>
      </c>
      <c r="D41">
        <v>10325</v>
      </c>
      <c r="E41">
        <v>4984</v>
      </c>
      <c r="F41">
        <v>2535</v>
      </c>
      <c r="G41">
        <v>1322</v>
      </c>
      <c r="H41">
        <v>635</v>
      </c>
    </row>
    <row r="42" spans="1:13" x14ac:dyDescent="0.35">
      <c r="A42">
        <v>7.91486</v>
      </c>
      <c r="B42">
        <v>35628</v>
      </c>
      <c r="C42">
        <v>18844</v>
      </c>
      <c r="D42">
        <v>9212</v>
      </c>
      <c r="E42">
        <v>4397</v>
      </c>
      <c r="F42">
        <v>2233</v>
      </c>
      <c r="G42">
        <v>1136</v>
      </c>
      <c r="H42">
        <v>582</v>
      </c>
    </row>
    <row r="43" spans="1:13" x14ac:dyDescent="0.35">
      <c r="A43">
        <v>8.5795429999999993</v>
      </c>
      <c r="B43">
        <v>37906</v>
      </c>
      <c r="C43">
        <v>20368</v>
      </c>
      <c r="D43">
        <v>9892</v>
      </c>
      <c r="E43">
        <v>4771</v>
      </c>
      <c r="F43">
        <v>2486</v>
      </c>
      <c r="G43" s="42">
        <v>1288</v>
      </c>
      <c r="H43" s="42">
        <v>650</v>
      </c>
    </row>
    <row r="44" spans="1:13" ht="13.15" x14ac:dyDescent="0.4">
      <c r="A44" s="8">
        <v>8.519558</v>
      </c>
      <c r="B44">
        <v>38247</v>
      </c>
      <c r="C44">
        <v>20600</v>
      </c>
      <c r="D44">
        <v>10048</v>
      </c>
      <c r="E44">
        <v>4790</v>
      </c>
      <c r="F44">
        <v>2449</v>
      </c>
      <c r="G44">
        <v>1269</v>
      </c>
      <c r="H44">
        <v>648</v>
      </c>
    </row>
    <row r="45" spans="1:13" x14ac:dyDescent="0.35">
      <c r="A45">
        <v>8.5935880000000004</v>
      </c>
      <c r="B45">
        <v>37202</v>
      </c>
      <c r="C45">
        <v>19865</v>
      </c>
      <c r="D45">
        <v>9587</v>
      </c>
      <c r="E45">
        <v>4643</v>
      </c>
      <c r="F45">
        <v>2465</v>
      </c>
      <c r="G45">
        <v>1239</v>
      </c>
      <c r="H45">
        <v>667</v>
      </c>
    </row>
    <row r="46" spans="1:13" x14ac:dyDescent="0.35">
      <c r="A46">
        <v>8.5778130000000008</v>
      </c>
      <c r="B46">
        <v>36935</v>
      </c>
      <c r="C46">
        <v>19693</v>
      </c>
      <c r="D46">
        <v>9578</v>
      </c>
      <c r="E46">
        <v>4617</v>
      </c>
      <c r="F46">
        <v>2377</v>
      </c>
      <c r="G46">
        <v>1183</v>
      </c>
      <c r="H46">
        <v>594</v>
      </c>
    </row>
    <row r="47" spans="1:13" x14ac:dyDescent="0.35">
      <c r="A47">
        <v>7.9096109999999999</v>
      </c>
      <c r="B47">
        <v>37107</v>
      </c>
      <c r="C47">
        <v>19916</v>
      </c>
      <c r="D47">
        <v>9579</v>
      </c>
      <c r="E47">
        <v>4546</v>
      </c>
      <c r="F47">
        <v>2322</v>
      </c>
      <c r="G47">
        <v>1121</v>
      </c>
      <c r="H47">
        <v>535</v>
      </c>
    </row>
    <row r="48" spans="1:13" x14ac:dyDescent="0.35">
      <c r="A48">
        <v>8.5622120000000006</v>
      </c>
      <c r="B48">
        <v>40722</v>
      </c>
      <c r="C48">
        <v>21911</v>
      </c>
      <c r="D48">
        <v>10647</v>
      </c>
      <c r="E48">
        <v>5096</v>
      </c>
      <c r="F48">
        <v>2592</v>
      </c>
      <c r="G48">
        <v>1298</v>
      </c>
      <c r="H48" s="245">
        <v>611</v>
      </c>
    </row>
    <row r="49" spans="1:10" ht="13.15" x14ac:dyDescent="0.4">
      <c r="A49" s="8">
        <v>8.5088539999999995</v>
      </c>
      <c r="B49">
        <v>41147</v>
      </c>
      <c r="C49">
        <v>22141</v>
      </c>
      <c r="D49">
        <v>10819</v>
      </c>
      <c r="E49">
        <v>5209</v>
      </c>
      <c r="F49">
        <v>2568</v>
      </c>
      <c r="G49">
        <v>1278</v>
      </c>
      <c r="H49" s="246">
        <v>578</v>
      </c>
    </row>
    <row r="50" spans="1:10" x14ac:dyDescent="0.35">
      <c r="A50">
        <v>8.5649069999999998</v>
      </c>
      <c r="B50">
        <v>40180</v>
      </c>
      <c r="C50">
        <v>21678</v>
      </c>
      <c r="D50">
        <v>10547</v>
      </c>
      <c r="E50">
        <v>5121</v>
      </c>
      <c r="F50">
        <v>2634</v>
      </c>
      <c r="G50">
        <v>1306</v>
      </c>
      <c r="H50">
        <v>623</v>
      </c>
    </row>
    <row r="51" spans="1:10" x14ac:dyDescent="0.35">
      <c r="A51">
        <v>8.5590030000000006</v>
      </c>
      <c r="B51">
        <v>38777</v>
      </c>
      <c r="C51">
        <v>21008</v>
      </c>
      <c r="D51">
        <v>10245</v>
      </c>
      <c r="E51">
        <v>4927</v>
      </c>
      <c r="F51">
        <v>2546</v>
      </c>
      <c r="G51">
        <v>1210</v>
      </c>
      <c r="H51">
        <v>589</v>
      </c>
    </row>
    <row r="64" spans="1:10" x14ac:dyDescent="0.35">
      <c r="I64" s="42"/>
      <c r="J64" s="42"/>
    </row>
    <row r="69" spans="10:11" x14ac:dyDescent="0.35">
      <c r="J69" s="82"/>
    </row>
    <row r="70" spans="10:11" ht="13.15" x14ac:dyDescent="0.4">
      <c r="J70" s="122"/>
    </row>
    <row r="71" spans="10:11" ht="13.15" x14ac:dyDescent="0.4">
      <c r="K71" s="65"/>
    </row>
  </sheetData>
  <conditionalFormatting sqref="H28:H30 H9:H18">
    <cfRule type="cellIs" dxfId="9" priority="2" operator="greaterThan">
      <formula>1000</formula>
    </cfRule>
  </conditionalFormatting>
  <conditionalFormatting sqref="K9:K38">
    <cfRule type="cellIs" dxfId="8"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W79"/>
  <sheetViews>
    <sheetView zoomScale="85" zoomScaleNormal="85" workbookViewId="0">
      <selection activeCell="B8" sqref="B8:B15"/>
    </sheetView>
  </sheetViews>
  <sheetFormatPr defaultColWidth="11.53125" defaultRowHeight="12.75" x14ac:dyDescent="0.35"/>
  <sheetData>
    <row r="1" spans="1:49" x14ac:dyDescent="0.35">
      <c r="A1" t="s">
        <v>266</v>
      </c>
    </row>
    <row r="2" spans="1:49" ht="40.15" x14ac:dyDescent="1.05">
      <c r="O2" s="75"/>
    </row>
    <row r="4" spans="1:49" ht="40.15" x14ac:dyDescent="1.05">
      <c r="A4" s="8" t="s">
        <v>28</v>
      </c>
      <c r="O4" s="75" t="s">
        <v>92</v>
      </c>
    </row>
    <row r="5" spans="1:49" x14ac:dyDescent="0.35">
      <c r="O5" s="29">
        <v>46007</v>
      </c>
    </row>
    <row r="6" spans="1:49" ht="13.15" x14ac:dyDescent="0.4">
      <c r="A6" t="s">
        <v>268</v>
      </c>
      <c r="B6" s="8"/>
      <c r="C6" s="8"/>
      <c r="D6" s="8"/>
      <c r="E6" s="8"/>
      <c r="F6" s="8"/>
      <c r="O6" t="s">
        <v>392</v>
      </c>
    </row>
    <row r="7" spans="1:49" ht="14.65" x14ac:dyDescent="0.5">
      <c r="B7" s="65" t="s">
        <v>40</v>
      </c>
      <c r="C7" s="65" t="s">
        <v>41</v>
      </c>
      <c r="D7" s="65" t="s">
        <v>43</v>
      </c>
      <c r="E7" s="65" t="s">
        <v>44</v>
      </c>
      <c r="F7" s="65" t="s">
        <v>46</v>
      </c>
      <c r="G7" s="65" t="s">
        <v>133</v>
      </c>
      <c r="H7" s="65" t="s">
        <v>134</v>
      </c>
      <c r="I7" s="65" t="s">
        <v>135</v>
      </c>
      <c r="J7" s="65" t="s">
        <v>136</v>
      </c>
      <c r="K7" s="65" t="s">
        <v>137</v>
      </c>
      <c r="M7" s="65"/>
    </row>
    <row r="8" spans="1:49" ht="13.15" x14ac:dyDescent="0.4">
      <c r="A8" s="68" t="s">
        <v>139</v>
      </c>
      <c r="C8">
        <v>8.5659390000000002</v>
      </c>
      <c r="D8">
        <v>8.5025910000000007</v>
      </c>
      <c r="E8">
        <v>8.576848</v>
      </c>
      <c r="F8">
        <v>8.5717929999999996</v>
      </c>
      <c r="G8" s="78">
        <v>25.517626</v>
      </c>
      <c r="H8" s="78">
        <f>AVERAGE(B$8:F$8)*5</f>
        <v>42.771463750000002</v>
      </c>
      <c r="I8" s="79"/>
      <c r="K8" s="79"/>
    </row>
    <row r="9" spans="1:49" ht="13.15" x14ac:dyDescent="0.4">
      <c r="A9" s="83" t="s">
        <v>140</v>
      </c>
      <c r="C9">
        <v>39539</v>
      </c>
      <c r="D9">
        <v>40583</v>
      </c>
      <c r="E9">
        <v>40696</v>
      </c>
      <c r="F9">
        <v>39257</v>
      </c>
      <c r="G9" s="116">
        <f t="shared" ref="G9:G15" si="0">AVERAGE(B9:F9)/AVERAGE(B$8:F$8)</f>
        <v>4678.2067401188715</v>
      </c>
      <c r="H9" s="117">
        <f t="shared" ref="H9:H15" si="1">G9*H$8</f>
        <v>200093.75</v>
      </c>
      <c r="I9" s="118">
        <f t="shared" ref="I9:I15" si="2">STDEVP(B9:F9)/AVERAGE(B9:F9)</f>
        <v>1.5741969896488076E-2</v>
      </c>
      <c r="J9" s="118">
        <f t="shared" ref="J9:J15" si="3">IF(H9&gt;$A$21, $C$21, IF(H9&gt;$A$22, $C$22, IF(H9&gt;$A$23,$C$23,IF(H9&gt;$A$24,$C$24, IF(H9&gt;$A$25,$C$25,IF(H9&gt;$A$26,$C$26,$C$27))))))/100</f>
        <v>0.11</v>
      </c>
      <c r="K9" s="118">
        <f t="shared" ref="K9:K15" si="4">(MAX(B9:F9)-MIN(B9:F9))/H9*5</f>
        <v>3.595814461970951E-2</v>
      </c>
      <c r="M9" s="42"/>
    </row>
    <row r="10" spans="1:49" ht="13.15" x14ac:dyDescent="0.4">
      <c r="A10" s="68" t="s">
        <v>141</v>
      </c>
      <c r="C10">
        <v>21543</v>
      </c>
      <c r="D10">
        <v>21916</v>
      </c>
      <c r="E10">
        <v>21879</v>
      </c>
      <c r="F10">
        <v>21026</v>
      </c>
      <c r="G10" s="80">
        <f t="shared" si="0"/>
        <v>2523.9959200601356</v>
      </c>
      <c r="H10" s="81">
        <f t="shared" si="1"/>
        <v>107955</v>
      </c>
      <c r="I10" s="79">
        <f t="shared" si="2"/>
        <v>1.6539564014695234E-2</v>
      </c>
      <c r="J10" s="79">
        <f t="shared" si="3"/>
        <v>0.11</v>
      </c>
      <c r="K10" s="79">
        <f t="shared" si="4"/>
        <v>4.1220879069982862E-2</v>
      </c>
      <c r="M10" s="42"/>
    </row>
    <row r="11" spans="1:49" ht="13.15" x14ac:dyDescent="0.4">
      <c r="A11" s="68" t="s">
        <v>142</v>
      </c>
      <c r="C11">
        <v>10621</v>
      </c>
      <c r="D11">
        <v>10898</v>
      </c>
      <c r="E11">
        <v>10812</v>
      </c>
      <c r="F11">
        <v>10325</v>
      </c>
      <c r="G11" s="80">
        <f t="shared" si="0"/>
        <v>1246.6255611838862</v>
      </c>
      <c r="H11" s="81">
        <f t="shared" si="1"/>
        <v>53320</v>
      </c>
      <c r="I11" s="79">
        <f t="shared" si="2"/>
        <v>2.0621097887987151E-2</v>
      </c>
      <c r="J11" s="79">
        <f t="shared" si="3"/>
        <v>0.11</v>
      </c>
      <c r="K11" s="79">
        <f t="shared" si="4"/>
        <v>5.3732183045761439E-2</v>
      </c>
      <c r="M11" s="42"/>
    </row>
    <row r="12" spans="1:49" ht="13.15" x14ac:dyDescent="0.4">
      <c r="A12" s="68" t="s">
        <v>143</v>
      </c>
      <c r="C12">
        <v>5128</v>
      </c>
      <c r="D12">
        <v>5195</v>
      </c>
      <c r="E12">
        <v>5091</v>
      </c>
      <c r="F12">
        <v>4984</v>
      </c>
      <c r="G12" s="80">
        <f t="shared" si="0"/>
        <v>596.13344422892237</v>
      </c>
      <c r="H12" s="81">
        <f t="shared" si="1"/>
        <v>25497.5</v>
      </c>
      <c r="I12" s="79">
        <f t="shared" si="2"/>
        <v>1.4980949752295582E-2</v>
      </c>
      <c r="J12" s="79">
        <f t="shared" si="3"/>
        <v>0.11</v>
      </c>
      <c r="K12" s="79">
        <f t="shared" si="4"/>
        <v>4.1376605549563683E-2</v>
      </c>
      <c r="M12" s="42"/>
    </row>
    <row r="13" spans="1:49" ht="13.15" x14ac:dyDescent="0.4">
      <c r="A13" s="68" t="s">
        <v>144</v>
      </c>
      <c r="C13">
        <v>2618</v>
      </c>
      <c r="D13">
        <v>2665</v>
      </c>
      <c r="E13">
        <v>2608</v>
      </c>
      <c r="F13">
        <v>2535</v>
      </c>
      <c r="G13" s="80">
        <f t="shared" si="0"/>
        <v>304.70081819446733</v>
      </c>
      <c r="H13" s="81">
        <f t="shared" si="1"/>
        <v>13032.5</v>
      </c>
      <c r="I13" s="79">
        <f t="shared" si="2"/>
        <v>1.7860630115487205E-2</v>
      </c>
      <c r="J13" s="79">
        <f t="shared" si="3"/>
        <v>0.11</v>
      </c>
      <c r="K13" s="79">
        <f t="shared" si="4"/>
        <v>4.9875311720698257E-2</v>
      </c>
      <c r="M13" s="42"/>
    </row>
    <row r="14" spans="1:49" ht="13.15" x14ac:dyDescent="0.4">
      <c r="A14" s="87" t="s">
        <v>145</v>
      </c>
      <c r="C14">
        <v>1299</v>
      </c>
      <c r="D14">
        <v>1363</v>
      </c>
      <c r="E14">
        <v>1305</v>
      </c>
      <c r="F14">
        <v>1322</v>
      </c>
      <c r="G14" s="119">
        <f t="shared" si="0"/>
        <v>154.57151615485688</v>
      </c>
      <c r="H14" s="120">
        <f t="shared" si="1"/>
        <v>6611.2500000000009</v>
      </c>
      <c r="I14" s="121">
        <f t="shared" si="2"/>
        <v>1.8902438433393554E-2</v>
      </c>
      <c r="J14" s="121">
        <f t="shared" si="3"/>
        <v>0.113</v>
      </c>
      <c r="K14" s="121">
        <f t="shared" si="4"/>
        <v>4.8402344488561164E-2</v>
      </c>
      <c r="M14" s="42"/>
    </row>
    <row r="15" spans="1:49" ht="13.15" x14ac:dyDescent="0.4">
      <c r="A15" s="68" t="s">
        <v>146</v>
      </c>
      <c r="C15">
        <v>656</v>
      </c>
      <c r="D15">
        <v>678</v>
      </c>
      <c r="E15">
        <v>642</v>
      </c>
      <c r="F15">
        <v>635</v>
      </c>
      <c r="G15" s="80">
        <f t="shared" si="0"/>
        <v>76.30671746650242</v>
      </c>
      <c r="H15" s="81">
        <f t="shared" si="1"/>
        <v>3263.7500000000005</v>
      </c>
      <c r="I15" s="79">
        <f t="shared" si="2"/>
        <v>2.5158429567085396E-2</v>
      </c>
      <c r="J15" s="79">
        <f t="shared" si="3"/>
        <v>0.11900000000000001</v>
      </c>
      <c r="K15" s="79">
        <f t="shared" si="4"/>
        <v>6.587514362313289E-2</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170</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171</v>
      </c>
      <c r="C19" s="35"/>
      <c r="D19" s="84" t="s">
        <v>172</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173</v>
      </c>
      <c r="B20" s="87" t="s">
        <v>174</v>
      </c>
      <c r="C20" s="86" t="s">
        <v>175</v>
      </c>
      <c r="D20" s="86" t="s">
        <v>176</v>
      </c>
      <c r="E20" s="87" t="s">
        <v>177</v>
      </c>
      <c r="F20" s="87" t="s">
        <v>178</v>
      </c>
      <c r="G20" s="87" t="s">
        <v>179</v>
      </c>
      <c r="H20" s="88" t="s">
        <v>180</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ht="13.15" x14ac:dyDescent="0.4">
      <c r="A31" s="68"/>
      <c r="G31" s="80"/>
      <c r="H31" s="81"/>
      <c r="I31" s="79"/>
      <c r="J31" s="79"/>
      <c r="K31" s="79"/>
      <c r="M31" s="42"/>
    </row>
    <row r="32" spans="1:49" ht="13.15" x14ac:dyDescent="0.4">
      <c r="A32" s="68"/>
      <c r="G32" s="80"/>
      <c r="H32" s="81"/>
      <c r="I32" s="79"/>
      <c r="J32" s="79"/>
      <c r="K32" s="79"/>
      <c r="M32" s="42"/>
    </row>
    <row r="33" spans="1:13" ht="13.15" x14ac:dyDescent="0.4">
      <c r="A33" s="68"/>
      <c r="G33" s="80"/>
      <c r="H33" s="81"/>
      <c r="I33" s="79"/>
      <c r="J33" s="79"/>
      <c r="K33" s="79"/>
      <c r="M33" s="42"/>
    </row>
    <row r="34" spans="1:13" ht="13.15" x14ac:dyDescent="0.4">
      <c r="A34" s="68"/>
      <c r="G34" s="80"/>
      <c r="H34" s="81"/>
      <c r="I34" s="79"/>
      <c r="J34" s="79"/>
      <c r="K34" s="79"/>
      <c r="M34" s="42"/>
    </row>
    <row r="35" spans="1:13" ht="13.15" x14ac:dyDescent="0.4">
      <c r="A35" s="68"/>
      <c r="G35" s="80"/>
      <c r="H35" s="81"/>
      <c r="I35" s="79"/>
      <c r="J35" s="79"/>
      <c r="K35" s="79"/>
      <c r="M35" s="42"/>
    </row>
    <row r="36" spans="1:13" ht="13.15" x14ac:dyDescent="0.4">
      <c r="A36" s="68"/>
      <c r="G36" s="80"/>
      <c r="H36" s="81"/>
      <c r="I36" s="79"/>
      <c r="J36" s="79"/>
      <c r="K36" s="79"/>
      <c r="M36" s="42"/>
    </row>
    <row r="37" spans="1:13" ht="13.15" x14ac:dyDescent="0.4">
      <c r="A37" s="68"/>
      <c r="G37" s="80"/>
      <c r="H37" s="81"/>
      <c r="I37" s="79"/>
      <c r="J37" s="79"/>
      <c r="K37" s="79"/>
    </row>
    <row r="38" spans="1:13" ht="13.15" x14ac:dyDescent="0.4">
      <c r="A38" s="68"/>
      <c r="G38" s="80"/>
      <c r="H38" s="81"/>
      <c r="I38" s="79"/>
      <c r="J38" s="79"/>
      <c r="K38" s="79"/>
    </row>
    <row r="52" spans="26:31" x14ac:dyDescent="0.35">
      <c r="Z52">
        <v>4</v>
      </c>
      <c r="AA52">
        <v>4</v>
      </c>
      <c r="AB52">
        <v>4</v>
      </c>
      <c r="AC52">
        <v>0</v>
      </c>
      <c r="AD52">
        <v>0</v>
      </c>
      <c r="AE52">
        <v>0</v>
      </c>
    </row>
    <row r="53" spans="26:31" x14ac:dyDescent="0.35">
      <c r="Z53">
        <v>5</v>
      </c>
      <c r="AA53">
        <v>5</v>
      </c>
      <c r="AB53">
        <v>4</v>
      </c>
      <c r="AC53">
        <v>1</v>
      </c>
      <c r="AD53">
        <v>0</v>
      </c>
      <c r="AE53">
        <v>0</v>
      </c>
    </row>
    <row r="54" spans="26:31" x14ac:dyDescent="0.35">
      <c r="Z54">
        <v>4</v>
      </c>
      <c r="AA54">
        <v>3</v>
      </c>
      <c r="AB54">
        <v>3</v>
      </c>
      <c r="AC54">
        <v>2</v>
      </c>
      <c r="AD54">
        <v>0</v>
      </c>
      <c r="AE54">
        <v>0</v>
      </c>
    </row>
    <row r="55" spans="26:31" x14ac:dyDescent="0.35">
      <c r="Z55">
        <v>5</v>
      </c>
      <c r="AA55">
        <v>5</v>
      </c>
      <c r="AB55">
        <v>5</v>
      </c>
      <c r="AC55">
        <v>0</v>
      </c>
      <c r="AD55">
        <v>0</v>
      </c>
      <c r="AE55">
        <v>0</v>
      </c>
    </row>
    <row r="56" spans="26:31" x14ac:dyDescent="0.35">
      <c r="Z56">
        <v>6</v>
      </c>
      <c r="AA56">
        <v>5</v>
      </c>
      <c r="AB56">
        <v>5</v>
      </c>
      <c r="AC56">
        <v>1</v>
      </c>
      <c r="AD56">
        <v>0</v>
      </c>
      <c r="AE56">
        <v>0</v>
      </c>
    </row>
    <row r="71" spans="1:11" x14ac:dyDescent="0.35">
      <c r="H71" s="42"/>
      <c r="J71" s="42"/>
    </row>
    <row r="72" spans="1:11" x14ac:dyDescent="0.35">
      <c r="G72" s="42"/>
      <c r="H72" s="42"/>
      <c r="I72" s="42"/>
      <c r="J72" s="42"/>
    </row>
    <row r="73" spans="1:11" ht="13.15" x14ac:dyDescent="0.4">
      <c r="A73" s="8"/>
    </row>
    <row r="77" spans="1:11" x14ac:dyDescent="0.35">
      <c r="H77" s="82"/>
      <c r="J77" s="82"/>
    </row>
    <row r="78" spans="1:11" ht="13.15" x14ac:dyDescent="0.4">
      <c r="A78" s="8"/>
      <c r="H78" s="122"/>
      <c r="J78" s="122"/>
    </row>
    <row r="79" spans="1:11" ht="13.15" x14ac:dyDescent="0.4">
      <c r="K79" s="65"/>
    </row>
  </sheetData>
  <conditionalFormatting sqref="H28:H39 H9:H18">
    <cfRule type="cellIs" dxfId="7" priority="2" operator="greaterThan">
      <formula>1000</formula>
    </cfRule>
  </conditionalFormatting>
  <conditionalFormatting sqref="K9:K38">
    <cfRule type="cellIs" dxfId="6"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W79"/>
  <sheetViews>
    <sheetView zoomScale="85" zoomScaleNormal="85" workbookViewId="0">
      <selection activeCell="F31" sqref="F31"/>
    </sheetView>
  </sheetViews>
  <sheetFormatPr defaultColWidth="11.53125" defaultRowHeight="12.75" x14ac:dyDescent="0.35"/>
  <sheetData>
    <row r="1" spans="1:49" x14ac:dyDescent="0.35">
      <c r="A1" t="s">
        <v>266</v>
      </c>
    </row>
    <row r="2" spans="1:49" ht="16.899999999999999" customHeight="1" x14ac:dyDescent="1.05">
      <c r="O2" s="75"/>
    </row>
    <row r="4" spans="1:49" ht="40.15" x14ac:dyDescent="1.05">
      <c r="A4" s="8" t="s">
        <v>28</v>
      </c>
      <c r="O4" s="75" t="s">
        <v>92</v>
      </c>
    </row>
    <row r="5" spans="1:49" x14ac:dyDescent="0.35">
      <c r="O5" s="29">
        <v>45831</v>
      </c>
    </row>
    <row r="6" spans="1:49" ht="13.15" x14ac:dyDescent="0.4">
      <c r="A6" t="s">
        <v>268</v>
      </c>
      <c r="B6" s="8"/>
      <c r="C6" s="8"/>
      <c r="D6" s="8"/>
      <c r="E6" s="8"/>
      <c r="F6" s="8"/>
      <c r="O6" t="s">
        <v>269</v>
      </c>
    </row>
    <row r="7" spans="1:49" ht="14.65" x14ac:dyDescent="0.5">
      <c r="B7" s="65" t="s">
        <v>40</v>
      </c>
      <c r="C7" s="65" t="s">
        <v>41</v>
      </c>
      <c r="D7" s="65" t="s">
        <v>43</v>
      </c>
      <c r="E7" s="65" t="s">
        <v>44</v>
      </c>
      <c r="F7" s="65" t="s">
        <v>46</v>
      </c>
      <c r="G7" s="65" t="s">
        <v>133</v>
      </c>
      <c r="H7" s="65" t="s">
        <v>134</v>
      </c>
      <c r="I7" s="65" t="s">
        <v>135</v>
      </c>
      <c r="J7" s="65" t="s">
        <v>136</v>
      </c>
      <c r="K7" s="65" t="s">
        <v>137</v>
      </c>
      <c r="M7" s="65"/>
    </row>
    <row r="8" spans="1:49" ht="13.15" x14ac:dyDescent="0.4">
      <c r="A8" s="68" t="s">
        <v>139</v>
      </c>
      <c r="C8">
        <v>8.5622120000000006</v>
      </c>
      <c r="D8" s="8">
        <v>8.5088539999999995</v>
      </c>
      <c r="E8">
        <v>8.5649069999999998</v>
      </c>
      <c r="F8">
        <v>8.5590030000000006</v>
      </c>
      <c r="G8" s="78">
        <v>25.517626</v>
      </c>
      <c r="H8" s="78">
        <f>AVERAGE(B$8:F$8)*5</f>
        <v>42.743719999999996</v>
      </c>
      <c r="I8" s="79"/>
      <c r="K8" s="79"/>
    </row>
    <row r="9" spans="1:49" ht="13.15" x14ac:dyDescent="0.4">
      <c r="A9" s="83" t="s">
        <v>140</v>
      </c>
      <c r="C9">
        <v>40722</v>
      </c>
      <c r="D9">
        <v>41147</v>
      </c>
      <c r="E9">
        <v>40180</v>
      </c>
      <c r="F9">
        <v>38777</v>
      </c>
      <c r="G9" s="116">
        <f t="shared" ref="G9:G15" si="0">AVERAGE(B9:F9)/AVERAGE(B$8:F$8)</f>
        <v>4703.2055235248599</v>
      </c>
      <c r="H9" s="117">
        <f t="shared" ref="H9:H15" si="1">G9*H$8</f>
        <v>201032.5</v>
      </c>
      <c r="I9" s="118">
        <f t="shared" ref="I9:I15" si="2">STDEVP(B9:F9)/AVERAGE(B9:F9)</f>
        <v>2.2226546402795651E-2</v>
      </c>
      <c r="J9" s="118">
        <f t="shared" ref="J9:J15" si="3">IF(H9&gt;$A$21, $C$21, IF(H9&gt;$A$22, $C$22, IF(H9&gt;$A$23,$C$23,IF(H9&gt;$A$24,$C$24, IF(H9&gt;$A$25,$C$25,IF(H9&gt;$A$26,$C$26,$C$27))))))/100</f>
        <v>0.11</v>
      </c>
      <c r="K9" s="118">
        <f t="shared" ref="K9:K15" si="4">(MAX(B9:F9)-MIN(B9:F9))/H9*5</f>
        <v>5.8945692860607114E-2</v>
      </c>
      <c r="M9" s="42"/>
    </row>
    <row r="10" spans="1:49" ht="13.15" x14ac:dyDescent="0.4">
      <c r="A10" s="68" t="s">
        <v>141</v>
      </c>
      <c r="C10">
        <v>21911</v>
      </c>
      <c r="D10">
        <v>22141</v>
      </c>
      <c r="E10">
        <v>21678</v>
      </c>
      <c r="F10">
        <v>21008</v>
      </c>
      <c r="G10" s="80">
        <f t="shared" si="0"/>
        <v>2536.5714542393598</v>
      </c>
      <c r="H10" s="81">
        <f t="shared" si="1"/>
        <v>108422.5</v>
      </c>
      <c r="I10" s="79">
        <f t="shared" si="2"/>
        <v>1.952980685610162E-2</v>
      </c>
      <c r="J10" s="79">
        <f t="shared" si="3"/>
        <v>0.11</v>
      </c>
      <c r="K10" s="79">
        <f t="shared" si="4"/>
        <v>5.2249302497175402E-2</v>
      </c>
      <c r="M10" s="42"/>
    </row>
    <row r="11" spans="1:49" ht="13.15" x14ac:dyDescent="0.4">
      <c r="A11" s="68" t="s">
        <v>142</v>
      </c>
      <c r="C11">
        <v>10647</v>
      </c>
      <c r="D11">
        <v>10819</v>
      </c>
      <c r="E11">
        <v>10547</v>
      </c>
      <c r="F11">
        <v>10245</v>
      </c>
      <c r="G11" s="80">
        <f t="shared" si="0"/>
        <v>1235.7955741802539</v>
      </c>
      <c r="H11" s="81">
        <f t="shared" si="1"/>
        <v>52822.5</v>
      </c>
      <c r="I11" s="79">
        <f t="shared" si="2"/>
        <v>1.974010694206732E-2</v>
      </c>
      <c r="J11" s="79">
        <f t="shared" si="3"/>
        <v>0.11</v>
      </c>
      <c r="K11" s="79">
        <f t="shared" si="4"/>
        <v>5.4332907378484549E-2</v>
      </c>
      <c r="M11" s="42"/>
    </row>
    <row r="12" spans="1:49" ht="13.15" x14ac:dyDescent="0.4">
      <c r="A12" s="68" t="s">
        <v>143</v>
      </c>
      <c r="C12">
        <v>5096</v>
      </c>
      <c r="D12">
        <v>5209</v>
      </c>
      <c r="E12">
        <v>5121</v>
      </c>
      <c r="F12">
        <v>4927</v>
      </c>
      <c r="G12" s="80">
        <f t="shared" si="0"/>
        <v>595.20439493801666</v>
      </c>
      <c r="H12" s="81">
        <f t="shared" si="1"/>
        <v>25441.25</v>
      </c>
      <c r="I12" s="79">
        <f t="shared" si="2"/>
        <v>2.0069954395312589E-2</v>
      </c>
      <c r="J12" s="79">
        <f t="shared" si="3"/>
        <v>0.11</v>
      </c>
      <c r="K12" s="79">
        <f t="shared" si="4"/>
        <v>5.5421805139291506E-2</v>
      </c>
      <c r="M12" s="42"/>
    </row>
    <row r="13" spans="1:49" ht="13.15" x14ac:dyDescent="0.4">
      <c r="A13" s="68" t="s">
        <v>144</v>
      </c>
      <c r="C13">
        <v>2592</v>
      </c>
      <c r="D13">
        <v>2568</v>
      </c>
      <c r="E13">
        <v>2634</v>
      </c>
      <c r="F13">
        <v>2546</v>
      </c>
      <c r="G13" s="80">
        <f t="shared" si="0"/>
        <v>302.38360161445939</v>
      </c>
      <c r="H13" s="81">
        <f t="shared" si="1"/>
        <v>12925</v>
      </c>
      <c r="I13" s="79">
        <f t="shared" si="2"/>
        <v>1.2624502028689146E-2</v>
      </c>
      <c r="J13" s="79">
        <f t="shared" si="3"/>
        <v>0.11</v>
      </c>
      <c r="K13" s="79">
        <f t="shared" si="4"/>
        <v>3.4042553191489362E-2</v>
      </c>
      <c r="M13" s="42"/>
    </row>
    <row r="14" spans="1:49" ht="13.15" x14ac:dyDescent="0.4">
      <c r="A14" s="87" t="s">
        <v>145</v>
      </c>
      <c r="C14">
        <v>1298</v>
      </c>
      <c r="D14">
        <v>1278</v>
      </c>
      <c r="E14">
        <v>1306</v>
      </c>
      <c r="F14">
        <v>1210</v>
      </c>
      <c r="G14" s="119">
        <f t="shared" si="0"/>
        <v>148.91076396719799</v>
      </c>
      <c r="H14" s="120">
        <f t="shared" si="1"/>
        <v>6365</v>
      </c>
      <c r="I14" s="121">
        <f t="shared" si="2"/>
        <v>2.9674511810721293E-2</v>
      </c>
      <c r="J14" s="121">
        <f t="shared" si="3"/>
        <v>0.113</v>
      </c>
      <c r="K14" s="121">
        <f t="shared" si="4"/>
        <v>7.5412411626080131E-2</v>
      </c>
      <c r="M14" s="42"/>
    </row>
    <row r="15" spans="1:49" ht="13.15" x14ac:dyDescent="0.4">
      <c r="A15" s="68" t="s">
        <v>146</v>
      </c>
      <c r="C15" s="245">
        <v>611</v>
      </c>
      <c r="D15" s="246">
        <v>578</v>
      </c>
      <c r="E15">
        <v>623</v>
      </c>
      <c r="F15">
        <v>589</v>
      </c>
      <c r="G15" s="80">
        <f t="shared" si="0"/>
        <v>70.214992986104164</v>
      </c>
      <c r="H15" s="81">
        <f t="shared" si="1"/>
        <v>3001.25</v>
      </c>
      <c r="I15" s="79">
        <f t="shared" si="2"/>
        <v>2.9506414417423594E-2</v>
      </c>
      <c r="J15" s="79">
        <f t="shared" si="3"/>
        <v>0.11900000000000001</v>
      </c>
      <c r="K15" s="79">
        <f t="shared" si="4"/>
        <v>7.496876301541025E-2</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170</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171</v>
      </c>
      <c r="C19" s="35"/>
      <c r="D19" s="84" t="s">
        <v>172</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173</v>
      </c>
      <c r="B20" s="87" t="s">
        <v>174</v>
      </c>
      <c r="C20" s="86" t="s">
        <v>175</v>
      </c>
      <c r="D20" s="86" t="s">
        <v>176</v>
      </c>
      <c r="E20" s="87" t="s">
        <v>177</v>
      </c>
      <c r="F20" s="87" t="s">
        <v>178</v>
      </c>
      <c r="G20" s="87" t="s">
        <v>179</v>
      </c>
      <c r="H20" s="88" t="s">
        <v>180</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ht="13.15" x14ac:dyDescent="0.4">
      <c r="A31" s="68"/>
      <c r="G31" s="80"/>
      <c r="H31" s="81"/>
      <c r="I31" s="79"/>
      <c r="J31" s="79"/>
      <c r="K31" s="79"/>
      <c r="M31" s="42"/>
    </row>
    <row r="32" spans="1:49" ht="13.15" x14ac:dyDescent="0.4">
      <c r="A32" s="68"/>
      <c r="G32" s="80"/>
      <c r="H32" s="81"/>
      <c r="I32" s="79"/>
      <c r="J32" s="79"/>
      <c r="K32" s="79"/>
      <c r="M32" s="42"/>
    </row>
    <row r="33" spans="1:13" ht="13.15" x14ac:dyDescent="0.4">
      <c r="A33" s="68"/>
      <c r="G33" s="80"/>
      <c r="H33" s="81"/>
      <c r="I33" s="79"/>
      <c r="J33" s="79"/>
      <c r="K33" s="79"/>
      <c r="M33" s="42"/>
    </row>
    <row r="34" spans="1:13" ht="13.15" x14ac:dyDescent="0.4">
      <c r="A34" s="68"/>
      <c r="G34" s="80"/>
      <c r="H34" s="81"/>
      <c r="I34" s="79"/>
      <c r="J34" s="79"/>
      <c r="K34" s="79"/>
      <c r="M34" s="42"/>
    </row>
    <row r="35" spans="1:13" ht="13.15" x14ac:dyDescent="0.4">
      <c r="A35" s="68"/>
      <c r="G35" s="80"/>
      <c r="H35" s="81"/>
      <c r="I35" s="79"/>
      <c r="J35" s="79"/>
      <c r="K35" s="79"/>
      <c r="M35" s="42"/>
    </row>
    <row r="36" spans="1:13" ht="13.15" x14ac:dyDescent="0.4">
      <c r="A36" s="68"/>
      <c r="G36" s="80"/>
      <c r="H36" s="81"/>
      <c r="I36" s="79"/>
      <c r="J36" s="79"/>
      <c r="K36" s="79"/>
      <c r="M36" s="42"/>
    </row>
    <row r="37" spans="1:13" ht="13.15" x14ac:dyDescent="0.4">
      <c r="A37" s="68"/>
      <c r="G37" s="80"/>
      <c r="H37" s="81"/>
      <c r="I37" s="79"/>
      <c r="J37" s="79"/>
      <c r="K37" s="79"/>
    </row>
    <row r="38" spans="1:13" ht="13.15" x14ac:dyDescent="0.4">
      <c r="A38" s="68"/>
      <c r="G38" s="80"/>
      <c r="H38" s="81"/>
      <c r="I38" s="79"/>
      <c r="J38" s="79"/>
      <c r="K38" s="79"/>
    </row>
    <row r="51" spans="27:31" x14ac:dyDescent="0.35">
      <c r="AA51">
        <v>5</v>
      </c>
      <c r="AB51">
        <v>5</v>
      </c>
      <c r="AC51">
        <v>4</v>
      </c>
      <c r="AD51">
        <v>1</v>
      </c>
      <c r="AE51">
        <v>1</v>
      </c>
    </row>
    <row r="52" spans="27:31" x14ac:dyDescent="0.35">
      <c r="AA52">
        <v>4</v>
      </c>
      <c r="AB52">
        <v>3</v>
      </c>
      <c r="AC52">
        <v>0</v>
      </c>
      <c r="AD52">
        <v>0</v>
      </c>
      <c r="AE52">
        <v>0</v>
      </c>
    </row>
    <row r="53" spans="27:31" x14ac:dyDescent="0.35">
      <c r="AA53">
        <v>10</v>
      </c>
      <c r="AB53">
        <v>7</v>
      </c>
      <c r="AC53">
        <v>2</v>
      </c>
      <c r="AD53">
        <v>1</v>
      </c>
      <c r="AE53">
        <v>1</v>
      </c>
    </row>
    <row r="54" spans="27:31" x14ac:dyDescent="0.35">
      <c r="AA54">
        <v>5</v>
      </c>
      <c r="AB54">
        <v>5</v>
      </c>
      <c r="AC54">
        <v>3</v>
      </c>
      <c r="AD54">
        <v>1</v>
      </c>
      <c r="AE54">
        <v>1</v>
      </c>
    </row>
    <row r="55" spans="27:31" x14ac:dyDescent="0.35">
      <c r="AA55">
        <v>5</v>
      </c>
      <c r="AB55">
        <v>4</v>
      </c>
      <c r="AC55">
        <v>3</v>
      </c>
      <c r="AD55">
        <v>0</v>
      </c>
      <c r="AE55">
        <v>0</v>
      </c>
    </row>
    <row r="71" spans="1:11" x14ac:dyDescent="0.35">
      <c r="H71" s="42"/>
      <c r="J71" s="42"/>
    </row>
    <row r="72" spans="1:11" x14ac:dyDescent="0.35">
      <c r="G72" s="42"/>
      <c r="H72" s="42"/>
      <c r="I72" s="42"/>
      <c r="J72" s="42"/>
    </row>
    <row r="73" spans="1:11" ht="13.15" x14ac:dyDescent="0.4">
      <c r="A73" s="8"/>
    </row>
    <row r="77" spans="1:11" x14ac:dyDescent="0.35">
      <c r="H77" s="82"/>
      <c r="J77" s="82"/>
    </row>
    <row r="78" spans="1:11" ht="13.15" x14ac:dyDescent="0.4">
      <c r="A78" s="8"/>
      <c r="H78" s="122"/>
      <c r="J78" s="122"/>
    </row>
    <row r="79" spans="1:11" ht="13.15" x14ac:dyDescent="0.4">
      <c r="K79" s="65"/>
    </row>
  </sheetData>
  <conditionalFormatting sqref="H28:H39 H9:H18">
    <cfRule type="cellIs" dxfId="5" priority="2" operator="greaterThan">
      <formula>1000</formula>
    </cfRule>
  </conditionalFormatting>
  <conditionalFormatting sqref="K9:K38">
    <cfRule type="cellIs" dxfId="4"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MJ56"/>
  <sheetViews>
    <sheetView zoomScale="85" zoomScaleNormal="85" workbookViewId="0">
      <selection activeCell="D16" sqref="D16"/>
    </sheetView>
  </sheetViews>
  <sheetFormatPr defaultColWidth="11.53125" defaultRowHeight="12.75" x14ac:dyDescent="0.35"/>
  <cols>
    <col min="1" max="1" width="25.59765625" customWidth="1"/>
    <col min="2" max="2" width="10.796875" customWidth="1"/>
  </cols>
  <sheetData>
    <row r="1" spans="1:1024" ht="33.85" customHeight="1" x14ac:dyDescent="0.35">
      <c r="A1" s="2" t="s">
        <v>17</v>
      </c>
      <c r="B1" s="2" t="s">
        <v>271</v>
      </c>
      <c r="C1" s="262" t="s">
        <v>19</v>
      </c>
      <c r="D1" s="262"/>
      <c r="E1" s="262"/>
      <c r="F1" s="262"/>
      <c r="G1" s="262"/>
      <c r="H1" s="262"/>
      <c r="I1" s="262"/>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c r="AKO1" s="9"/>
      <c r="AKP1" s="9"/>
      <c r="AKQ1" s="9"/>
      <c r="AKR1" s="9"/>
      <c r="AKS1" s="9"/>
      <c r="AKT1" s="9"/>
      <c r="AKU1" s="9"/>
      <c r="AKV1" s="9"/>
      <c r="AKW1" s="9"/>
      <c r="AKX1" s="9"/>
      <c r="AKY1" s="9"/>
      <c r="AKZ1" s="9"/>
      <c r="ALA1" s="9"/>
      <c r="ALB1" s="9"/>
      <c r="ALC1" s="9"/>
      <c r="ALD1" s="9"/>
      <c r="ALE1" s="9"/>
      <c r="ALF1" s="9"/>
      <c r="ALG1" s="9"/>
      <c r="ALH1" s="9"/>
      <c r="ALI1" s="9"/>
      <c r="ALJ1" s="9"/>
      <c r="ALK1" s="9"/>
      <c r="ALL1" s="9"/>
      <c r="ALM1" s="9"/>
      <c r="ALN1" s="9"/>
      <c r="ALO1" s="9"/>
      <c r="ALP1" s="9"/>
      <c r="ALQ1" s="9"/>
      <c r="ALR1" s="9"/>
      <c r="ALS1" s="9"/>
      <c r="ALT1" s="9"/>
      <c r="ALU1" s="9"/>
      <c r="ALV1" s="9"/>
      <c r="ALW1" s="9"/>
      <c r="ALX1" s="9"/>
      <c r="ALY1" s="9"/>
      <c r="ALZ1" s="9"/>
      <c r="AMA1" s="9"/>
      <c r="AMB1" s="9"/>
      <c r="AMC1" s="9"/>
      <c r="AMD1" s="9"/>
      <c r="AME1" s="9"/>
      <c r="AMF1" s="9"/>
      <c r="AMG1" s="9"/>
      <c r="AMH1" s="9"/>
      <c r="AMI1" s="9"/>
      <c r="AMJ1" s="9"/>
    </row>
    <row r="3" spans="1:1024" ht="13.15" x14ac:dyDescent="0.4">
      <c r="A3" s="8" t="s">
        <v>117</v>
      </c>
      <c r="D3" s="68" t="s">
        <v>244</v>
      </c>
    </row>
    <row r="4" spans="1:1024" x14ac:dyDescent="0.35">
      <c r="A4" t="s">
        <v>22</v>
      </c>
      <c r="D4" s="68" t="s">
        <v>60</v>
      </c>
    </row>
    <row r="5" spans="1:1024" x14ac:dyDescent="0.35">
      <c r="A5" t="s">
        <v>24</v>
      </c>
      <c r="D5" s="68" t="s">
        <v>25</v>
      </c>
    </row>
    <row r="6" spans="1:1024" x14ac:dyDescent="0.35">
      <c r="A6" t="s">
        <v>26</v>
      </c>
      <c r="D6" s="68" t="s">
        <v>60</v>
      </c>
    </row>
    <row r="7" spans="1:1024" x14ac:dyDescent="0.35">
      <c r="A7" t="s">
        <v>27</v>
      </c>
      <c r="D7" s="68"/>
    </row>
    <row r="8" spans="1:1024" ht="13.15" x14ac:dyDescent="0.4">
      <c r="A8" t="s">
        <v>28</v>
      </c>
      <c r="D8" s="123">
        <v>45831</v>
      </c>
    </row>
    <row r="9" spans="1:1024" x14ac:dyDescent="0.35">
      <c r="A9" t="s">
        <v>29</v>
      </c>
      <c r="D9" s="63" t="s">
        <v>30</v>
      </c>
    </row>
    <row r="10" spans="1:1024" ht="13.15" x14ac:dyDescent="0.4">
      <c r="A10" t="s">
        <v>31</v>
      </c>
      <c r="D10" s="65">
        <v>36</v>
      </c>
    </row>
    <row r="11" spans="1:1024" x14ac:dyDescent="0.35">
      <c r="A11" t="s">
        <v>272</v>
      </c>
      <c r="D11">
        <v>1</v>
      </c>
    </row>
    <row r="13" spans="1:1024" x14ac:dyDescent="0.35">
      <c r="A13" t="s">
        <v>273</v>
      </c>
      <c r="B13">
        <v>50</v>
      </c>
      <c r="C13" t="s">
        <v>53</v>
      </c>
    </row>
    <row r="14" spans="1:1024" x14ac:dyDescent="0.35">
      <c r="A14" t="s">
        <v>274</v>
      </c>
      <c r="B14">
        <v>5</v>
      </c>
    </row>
    <row r="15" spans="1:1024" x14ac:dyDescent="0.35">
      <c r="A15" t="s">
        <v>275</v>
      </c>
      <c r="B15">
        <f>B13/B14</f>
        <v>10</v>
      </c>
      <c r="C15" t="s">
        <v>53</v>
      </c>
    </row>
    <row r="16" spans="1:1024" x14ac:dyDescent="0.35">
      <c r="A16" t="s">
        <v>265</v>
      </c>
      <c r="B16">
        <v>0.7</v>
      </c>
    </row>
    <row r="17" spans="1:10" x14ac:dyDescent="0.35">
      <c r="D17" s="68"/>
    </row>
    <row r="18" spans="1:10" x14ac:dyDescent="0.35">
      <c r="A18" t="s">
        <v>276</v>
      </c>
      <c r="B18">
        <f>$B$16*$B$15/100</f>
        <v>7.0000000000000007E-2</v>
      </c>
    </row>
    <row r="19" spans="1:10" x14ac:dyDescent="0.35">
      <c r="A19" s="70" t="s">
        <v>277</v>
      </c>
      <c r="B19">
        <f>B16*$B$13</f>
        <v>35</v>
      </c>
      <c r="C19" t="s">
        <v>53</v>
      </c>
    </row>
    <row r="20" spans="1:10" x14ac:dyDescent="0.35">
      <c r="A20" t="s">
        <v>278</v>
      </c>
      <c r="B20">
        <f>B15*B16</f>
        <v>7</v>
      </c>
      <c r="C20" t="s">
        <v>53</v>
      </c>
    </row>
    <row r="22" spans="1:10" x14ac:dyDescent="0.35">
      <c r="A22" s="124" t="s">
        <v>225</v>
      </c>
      <c r="B22" s="124" t="s">
        <v>279</v>
      </c>
      <c r="C22" s="124" t="s">
        <v>280</v>
      </c>
      <c r="D22" s="124" t="s">
        <v>281</v>
      </c>
      <c r="E22" s="124" t="s">
        <v>282</v>
      </c>
      <c r="F22" s="124" t="s">
        <v>283</v>
      </c>
      <c r="G22" s="124" t="s">
        <v>284</v>
      </c>
      <c r="H22" s="124" t="s">
        <v>285</v>
      </c>
      <c r="I22" s="124" t="s">
        <v>39</v>
      </c>
    </row>
    <row r="23" spans="1:10" x14ac:dyDescent="0.35">
      <c r="A23" s="125">
        <v>4</v>
      </c>
      <c r="B23" s="126">
        <f>'E - B1'!$G9</f>
        <v>4725.6895729616126</v>
      </c>
      <c r="C23" s="126">
        <f>'E - B2'!$G9</f>
        <v>4678.2067401188715</v>
      </c>
      <c r="D23" s="126">
        <f>'E - B3'!$G9</f>
        <v>4703.2055235248599</v>
      </c>
      <c r="E23" s="42">
        <f t="shared" ref="E23:E28" si="0">AVERAGE(B23:D23)</f>
        <v>4702.367278868448</v>
      </c>
      <c r="F23" s="110">
        <v>6300</v>
      </c>
      <c r="G23">
        <v>4553</v>
      </c>
      <c r="H23">
        <v>8713</v>
      </c>
      <c r="I23" s="79">
        <f t="shared" ref="I23:I28" si="1">(E23-F23)/F23</f>
        <v>-0.25359249541770668</v>
      </c>
    </row>
    <row r="24" spans="1:10" x14ac:dyDescent="0.35">
      <c r="A24" s="68">
        <v>5</v>
      </c>
      <c r="B24" s="126">
        <f>'E - B1'!$G10</f>
        <v>2559.0846408437919</v>
      </c>
      <c r="C24" s="126">
        <f>'E - B2'!$G10</f>
        <v>2523.9959200601356</v>
      </c>
      <c r="D24" s="126">
        <f>'E - B3'!$G10</f>
        <v>2536.5714542393598</v>
      </c>
      <c r="E24" s="42">
        <f t="shared" si="0"/>
        <v>2539.8840050477625</v>
      </c>
      <c r="F24" s="127">
        <v>3475</v>
      </c>
      <c r="G24">
        <v>2330</v>
      </c>
      <c r="H24">
        <v>5183</v>
      </c>
      <c r="I24" s="79">
        <f t="shared" si="1"/>
        <v>-0.26909812804380939</v>
      </c>
    </row>
    <row r="25" spans="1:10" x14ac:dyDescent="0.35">
      <c r="A25" s="68">
        <v>6</v>
      </c>
      <c r="B25" s="126">
        <f>'E - B1'!$G11</f>
        <v>1256.2858877744836</v>
      </c>
      <c r="C25" s="126">
        <f>'E - B2'!$G11</f>
        <v>1246.6255611838862</v>
      </c>
      <c r="D25" s="126">
        <f>'E - B3'!$G11</f>
        <v>1235.7955741802539</v>
      </c>
      <c r="E25" s="42">
        <f t="shared" si="0"/>
        <v>1246.2356743795413</v>
      </c>
      <c r="F25" s="127">
        <v>1631</v>
      </c>
      <c r="G25">
        <v>938.2</v>
      </c>
      <c r="H25">
        <v>2834</v>
      </c>
      <c r="I25" s="79">
        <f t="shared" si="1"/>
        <v>-0.23590700528538244</v>
      </c>
    </row>
    <row r="26" spans="1:10" x14ac:dyDescent="0.35">
      <c r="A26" s="68">
        <v>7</v>
      </c>
      <c r="B26" s="126">
        <f>'E - B1'!$G12</f>
        <v>605.83664833730393</v>
      </c>
      <c r="C26" s="126">
        <f>'E - B2'!$G12</f>
        <v>596.13344422892237</v>
      </c>
      <c r="D26" s="126">
        <f>'E - B3'!$G12</f>
        <v>595.20439493801666</v>
      </c>
      <c r="E26" s="42">
        <f t="shared" si="0"/>
        <v>599.05816250141436</v>
      </c>
      <c r="F26" s="127">
        <v>769.8</v>
      </c>
      <c r="G26">
        <v>413.6</v>
      </c>
      <c r="H26">
        <v>1433</v>
      </c>
      <c r="I26" s="79">
        <f t="shared" si="1"/>
        <v>-0.22180025655830815</v>
      </c>
    </row>
    <row r="27" spans="1:10" x14ac:dyDescent="0.35">
      <c r="A27" s="68">
        <v>8</v>
      </c>
      <c r="B27" s="126">
        <f>'E - B1'!$G13</f>
        <v>306.148790300065</v>
      </c>
      <c r="C27" s="126">
        <f>'E - B2'!$G13</f>
        <v>304.70081819446733</v>
      </c>
      <c r="D27" s="126">
        <f>'E - B3'!$G13</f>
        <v>302.38360161445939</v>
      </c>
      <c r="E27" s="42">
        <f t="shared" si="0"/>
        <v>304.41107003633056</v>
      </c>
      <c r="F27" s="127">
        <v>379.1</v>
      </c>
      <c r="G27">
        <v>179.7</v>
      </c>
      <c r="H27">
        <v>799.5</v>
      </c>
      <c r="I27" s="79">
        <f t="shared" si="1"/>
        <v>-0.19701643356283161</v>
      </c>
    </row>
    <row r="28" spans="1:10" x14ac:dyDescent="0.35">
      <c r="A28" s="87">
        <v>9</v>
      </c>
      <c r="B28" s="128">
        <f>'E - B1'!$G14</f>
        <v>152.02193559590697</v>
      </c>
      <c r="C28" s="128">
        <f>'E - B2'!$G14</f>
        <v>154.57151615485688</v>
      </c>
      <c r="D28" s="128">
        <f>'E - B3'!$G14</f>
        <v>148.91076396719799</v>
      </c>
      <c r="E28" s="129">
        <f t="shared" si="0"/>
        <v>151.83473857265395</v>
      </c>
      <c r="F28" s="130">
        <v>196.2</v>
      </c>
      <c r="G28" s="48">
        <v>76.569999999999993</v>
      </c>
      <c r="H28" s="48">
        <v>502.6</v>
      </c>
      <c r="I28" s="121">
        <f t="shared" si="1"/>
        <v>-0.22612263724437331</v>
      </c>
    </row>
    <row r="29" spans="1:10" ht="13.15" x14ac:dyDescent="0.4">
      <c r="A29" s="8"/>
      <c r="B29" s="8"/>
      <c r="C29" s="131"/>
      <c r="D29" s="110"/>
      <c r="E29" s="110"/>
      <c r="J29" s="68"/>
    </row>
    <row r="30" spans="1:10" x14ac:dyDescent="0.35">
      <c r="A30" t="s">
        <v>283</v>
      </c>
      <c r="C30" s="43"/>
    </row>
    <row r="31" spans="1:10" x14ac:dyDescent="0.35">
      <c r="A31" s="124" t="s">
        <v>225</v>
      </c>
      <c r="B31" s="124" t="s">
        <v>286</v>
      </c>
      <c r="C31" s="124" t="s">
        <v>287</v>
      </c>
      <c r="D31" s="124" t="s">
        <v>288</v>
      </c>
    </row>
    <row r="32" spans="1:10" x14ac:dyDescent="0.35">
      <c r="A32">
        <v>2</v>
      </c>
      <c r="B32">
        <v>20210</v>
      </c>
      <c r="C32">
        <v>14180</v>
      </c>
      <c r="D32">
        <v>28820</v>
      </c>
    </row>
    <row r="33" spans="1:21" x14ac:dyDescent="0.35">
      <c r="A33">
        <v>3</v>
      </c>
      <c r="B33">
        <v>10700</v>
      </c>
      <c r="C33">
        <v>7928</v>
      </c>
      <c r="D33">
        <v>14440</v>
      </c>
      <c r="U33" s="29"/>
    </row>
    <row r="34" spans="1:21" ht="13.15" x14ac:dyDescent="0.4">
      <c r="A34" s="132">
        <v>4</v>
      </c>
      <c r="B34" s="132">
        <v>6300</v>
      </c>
      <c r="C34" s="132">
        <v>4553</v>
      </c>
      <c r="D34" s="132">
        <v>8713</v>
      </c>
    </row>
    <row r="35" spans="1:21" x14ac:dyDescent="0.35">
      <c r="A35">
        <v>5</v>
      </c>
      <c r="B35">
        <v>3475</v>
      </c>
      <c r="C35">
        <v>2330</v>
      </c>
      <c r="D35">
        <v>5183</v>
      </c>
      <c r="E35" s="82"/>
      <c r="F35" s="42"/>
      <c r="G35" s="82"/>
      <c r="H35" s="42"/>
      <c r="I35" s="82"/>
      <c r="J35" s="42"/>
      <c r="K35" s="82"/>
    </row>
    <row r="36" spans="1:21" ht="13.15" x14ac:dyDescent="0.4">
      <c r="A36" s="132">
        <v>6</v>
      </c>
      <c r="B36" s="132">
        <v>1631</v>
      </c>
      <c r="C36" s="132">
        <v>938.2</v>
      </c>
      <c r="D36" s="132">
        <v>2834</v>
      </c>
      <c r="E36" s="82"/>
      <c r="F36" s="42"/>
      <c r="G36" s="82"/>
      <c r="H36" s="42"/>
      <c r="I36" s="82"/>
      <c r="J36" s="42"/>
      <c r="K36" s="82"/>
    </row>
    <row r="37" spans="1:21" x14ac:dyDescent="0.35">
      <c r="A37">
        <v>7</v>
      </c>
      <c r="B37">
        <v>769.8</v>
      </c>
      <c r="C37">
        <v>413.6</v>
      </c>
      <c r="D37">
        <v>1433</v>
      </c>
      <c r="E37" s="82"/>
      <c r="F37" s="42"/>
      <c r="G37" s="82"/>
      <c r="H37" s="42"/>
      <c r="I37" s="82"/>
      <c r="J37" s="42"/>
      <c r="K37" s="82"/>
    </row>
    <row r="38" spans="1:21" x14ac:dyDescent="0.35">
      <c r="A38">
        <v>8</v>
      </c>
      <c r="B38">
        <v>379.1</v>
      </c>
      <c r="C38">
        <v>179.7</v>
      </c>
      <c r="D38">
        <v>799.5</v>
      </c>
      <c r="E38" s="82"/>
      <c r="F38" s="42"/>
      <c r="G38" s="82"/>
      <c r="H38" s="42"/>
      <c r="I38" s="82"/>
      <c r="J38" s="42"/>
      <c r="K38" s="82"/>
    </row>
    <row r="39" spans="1:21" x14ac:dyDescent="0.35">
      <c r="A39">
        <v>9</v>
      </c>
      <c r="B39">
        <v>196.2</v>
      </c>
      <c r="C39">
        <v>76.569999999999993</v>
      </c>
      <c r="D39">
        <v>502.6</v>
      </c>
      <c r="E39" s="82"/>
      <c r="F39" s="42"/>
      <c r="G39" s="82"/>
      <c r="H39" s="42"/>
      <c r="I39" s="82"/>
      <c r="J39" s="42"/>
      <c r="K39" s="82"/>
    </row>
    <row r="40" spans="1:21" x14ac:dyDescent="0.35">
      <c r="A40" s="48">
        <v>10</v>
      </c>
      <c r="B40" s="48">
        <v>88.9</v>
      </c>
      <c r="C40" s="48">
        <v>27.89</v>
      </c>
      <c r="D40" s="48">
        <v>283.39999999999998</v>
      </c>
    </row>
    <row r="42" spans="1:21" x14ac:dyDescent="0.35">
      <c r="A42" t="s">
        <v>170</v>
      </c>
    </row>
    <row r="43" spans="1:21" ht="15" x14ac:dyDescent="0.5">
      <c r="A43" s="35"/>
      <c r="B43" s="83" t="s">
        <v>171</v>
      </c>
      <c r="C43" s="35"/>
      <c r="D43" s="84" t="s">
        <v>172</v>
      </c>
      <c r="E43" s="36"/>
      <c r="F43" s="36"/>
      <c r="G43" s="36"/>
      <c r="H43" s="85"/>
      <c r="U43" s="29"/>
    </row>
    <row r="44" spans="1:21" ht="15" x14ac:dyDescent="0.5">
      <c r="A44" s="86" t="s">
        <v>173</v>
      </c>
      <c r="B44" s="87" t="s">
        <v>174</v>
      </c>
      <c r="C44" s="86" t="s">
        <v>175</v>
      </c>
      <c r="D44" s="86" t="s">
        <v>176</v>
      </c>
      <c r="E44" s="87" t="s">
        <v>177</v>
      </c>
      <c r="F44" s="87" t="s">
        <v>178</v>
      </c>
      <c r="G44" s="87" t="s">
        <v>179</v>
      </c>
      <c r="H44" s="88" t="s">
        <v>180</v>
      </c>
      <c r="I44" s="42"/>
      <c r="J44" s="42"/>
    </row>
    <row r="45" spans="1:21" x14ac:dyDescent="0.35">
      <c r="A45" s="38">
        <v>10000</v>
      </c>
      <c r="C45" s="38">
        <v>11</v>
      </c>
      <c r="D45" s="38">
        <v>7.8</v>
      </c>
      <c r="E45">
        <v>5.3</v>
      </c>
      <c r="F45">
        <v>4</v>
      </c>
      <c r="G45">
        <v>2.7</v>
      </c>
      <c r="H45" s="45">
        <v>1.8</v>
      </c>
      <c r="I45" s="42"/>
      <c r="J45" s="42"/>
    </row>
    <row r="46" spans="1:21" x14ac:dyDescent="0.35">
      <c r="A46" s="38">
        <v>5000</v>
      </c>
      <c r="B46">
        <v>10000</v>
      </c>
      <c r="C46" s="38">
        <v>11.3</v>
      </c>
      <c r="D46" s="38">
        <v>7.8</v>
      </c>
      <c r="E46">
        <v>5.3</v>
      </c>
      <c r="F46">
        <v>4</v>
      </c>
      <c r="G46">
        <v>2.7</v>
      </c>
      <c r="H46" s="45">
        <v>1.9</v>
      </c>
    </row>
    <row r="47" spans="1:21" x14ac:dyDescent="0.35">
      <c r="A47" s="38">
        <v>2000</v>
      </c>
      <c r="B47">
        <v>5000</v>
      </c>
      <c r="C47" s="38">
        <v>11.9</v>
      </c>
      <c r="D47" s="38">
        <v>7.9</v>
      </c>
      <c r="E47">
        <v>5.4</v>
      </c>
      <c r="F47">
        <v>4.0999999999999996</v>
      </c>
      <c r="G47">
        <v>2.9</v>
      </c>
      <c r="H47" s="45">
        <v>2.1</v>
      </c>
      <c r="J47" s="42"/>
    </row>
    <row r="48" spans="1:21" x14ac:dyDescent="0.35">
      <c r="A48" s="38">
        <v>1000</v>
      </c>
      <c r="B48">
        <v>2000</v>
      </c>
      <c r="C48" s="38">
        <v>13.4</v>
      </c>
      <c r="D48" s="38">
        <v>8</v>
      </c>
      <c r="E48">
        <v>5.6</v>
      </c>
      <c r="F48">
        <v>4.3</v>
      </c>
      <c r="G48">
        <v>3.1</v>
      </c>
      <c r="H48" s="45">
        <v>2.4</v>
      </c>
      <c r="J48" s="42"/>
    </row>
    <row r="49" spans="1:12" x14ac:dyDescent="0.35">
      <c r="A49" s="38">
        <v>500</v>
      </c>
      <c r="B49">
        <v>1000</v>
      </c>
      <c r="C49" s="38">
        <v>15.6</v>
      </c>
      <c r="D49" s="38">
        <v>8.1999999999999993</v>
      </c>
      <c r="E49">
        <v>5.9</v>
      </c>
      <c r="F49">
        <v>4.7</v>
      </c>
      <c r="G49">
        <v>3.6</v>
      </c>
      <c r="H49" s="45">
        <v>2.9</v>
      </c>
      <c r="I49" s="42"/>
      <c r="J49" s="42"/>
    </row>
    <row r="50" spans="1:12" x14ac:dyDescent="0.35">
      <c r="A50" s="38">
        <v>200</v>
      </c>
      <c r="B50">
        <v>500</v>
      </c>
      <c r="C50" s="38">
        <v>19.3</v>
      </c>
      <c r="D50" s="38">
        <v>8.9</v>
      </c>
      <c r="E50">
        <v>6.8</v>
      </c>
      <c r="F50">
        <v>5.7</v>
      </c>
      <c r="G50">
        <v>4.7</v>
      </c>
      <c r="H50" s="45">
        <v>4.0999999999999996</v>
      </c>
    </row>
    <row r="51" spans="1:12" x14ac:dyDescent="0.35">
      <c r="A51" s="47">
        <v>100</v>
      </c>
      <c r="B51" s="48">
        <v>200</v>
      </c>
      <c r="C51" s="47">
        <v>27.5</v>
      </c>
      <c r="D51" s="47">
        <v>10</v>
      </c>
      <c r="E51" s="48">
        <v>8</v>
      </c>
      <c r="F51" s="48">
        <v>7</v>
      </c>
      <c r="G51" s="48">
        <v>6.1</v>
      </c>
      <c r="H51" s="89">
        <v>5.5</v>
      </c>
    </row>
    <row r="53" spans="1:12" ht="30" x14ac:dyDescent="1.1000000000000001">
      <c r="A53" s="133" t="s">
        <v>289</v>
      </c>
    </row>
    <row r="54" spans="1:12" x14ac:dyDescent="0.35">
      <c r="B54" s="82"/>
      <c r="D54" s="82"/>
      <c r="F54" s="82"/>
      <c r="H54" s="82"/>
      <c r="J54" s="82"/>
    </row>
    <row r="55" spans="1:12" ht="13.15" x14ac:dyDescent="0.4">
      <c r="A55" s="8"/>
      <c r="B55" s="122"/>
      <c r="D55" s="122"/>
      <c r="F55" s="122"/>
      <c r="H55" s="122"/>
      <c r="J55" s="122"/>
    </row>
    <row r="56" spans="1:12" ht="13.15" x14ac:dyDescent="0.4">
      <c r="B56" s="82"/>
      <c r="D56" s="82"/>
      <c r="K56" s="65"/>
      <c r="L56" s="65"/>
    </row>
  </sheetData>
  <mergeCells count="1">
    <mergeCell ref="C1:I1"/>
  </mergeCells>
  <conditionalFormatting sqref="A29">
    <cfRule type="cellIs" dxfId="3" priority="2" operator="between">
      <formula>$C$34</formula>
      <formula>$D$34</formula>
    </cfRule>
  </conditionalFormatting>
  <conditionalFormatting sqref="B29">
    <cfRule type="cellIs" dxfId="2" priority="3" operator="between">
      <formula>$C$36</formula>
      <formula>$D$36</formula>
    </cfRule>
  </conditionalFormatting>
  <conditionalFormatting sqref="B55 D55">
    <cfRule type="cellIs" dxfId="1" priority="4" operator="lessThan">
      <formula>B56</formula>
    </cfRule>
  </conditionalFormatting>
  <conditionalFormatting sqref="E23:E28">
    <cfRule type="cellIs" dxfId="0" priority="5" operator="between">
      <formula>G23</formula>
      <formula>H23</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docProps/app.xml><?xml version="1.0" encoding="utf-8"?>
<Properties xmlns="http://schemas.openxmlformats.org/officeDocument/2006/extended-properties" xmlns:vt="http://schemas.openxmlformats.org/officeDocument/2006/docPropsVTypes">
  <Template/>
  <TotalTime>5663</TotalTime>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ISO 11171_2020 Summary</vt:lpstr>
      <vt:lpstr>Annex A</vt:lpstr>
      <vt:lpstr>A - B1</vt:lpstr>
      <vt:lpstr>A - B2</vt:lpstr>
      <vt:lpstr>A - B3</vt:lpstr>
      <vt:lpstr>A - B4</vt:lpstr>
      <vt:lpstr>A - B5</vt:lpstr>
      <vt:lpstr>Annex B</vt:lpstr>
      <vt:lpstr>Clause 6</vt:lpstr>
      <vt:lpstr>6 - B1</vt:lpstr>
      <vt:lpstr>6 - B2</vt:lpstr>
      <vt:lpstr>6 - B3</vt:lpstr>
      <vt:lpstr>6 - Thresholds</vt:lpstr>
      <vt:lpstr>6 - Spheres</vt:lpstr>
      <vt:lpstr>6 - Curve</vt:lpstr>
      <vt:lpstr>Annex C</vt:lpstr>
      <vt:lpstr>C - B1</vt:lpstr>
      <vt:lpstr>C -B2</vt:lpstr>
      <vt:lpstr>C - B3</vt:lpstr>
      <vt:lpstr>C - B4</vt:lpstr>
      <vt:lpstr>C - B5</vt:lpstr>
      <vt:lpstr>D1</vt:lpstr>
      <vt:lpstr>Annex D</vt:lpstr>
      <vt:lpstr>E - B1</vt:lpstr>
      <vt:lpstr>E - B2</vt:lpstr>
      <vt:lpstr>E - B3</vt:lpstr>
      <vt:lpstr>Annex E</vt:lpstr>
      <vt:lpstr>'ISO 11171_2020 Summary'!Print_Area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ISO111171:2020</dc:title>
  <dc:subject/>
  <dc:creator>jd</dc:creator>
  <dc:description/>
  <cp:lastModifiedBy>John Devereux</cp:lastModifiedBy>
  <cp:revision>205</cp:revision>
  <dcterms:created xsi:type="dcterms:W3CDTF">2021-11-24T13:24:09Z</dcterms:created>
  <dcterms:modified xsi:type="dcterms:W3CDTF">2025-12-18T12:55:02Z</dcterms:modified>
  <dc:language>en-GB</dc:language>
</cp:coreProperties>
</file>