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2026-06-15-LPA4-11171-00065\"/>
    </mc:Choice>
  </mc:AlternateContent>
  <xr:revisionPtr revIDLastSave="0" documentId="8_{73F05525-2D14-44FA-9951-445C4A9FFB57}" xr6:coauthVersionLast="47" xr6:coauthVersionMax="47" xr10:uidLastSave="{00000000-0000-0000-0000-000000000000}"/>
  <bookViews>
    <workbookView xWindow="-98" yWindow="-98" windowWidth="28996" windowHeight="17745" xr2:uid="{953665B5-C50E-440F-B37B-B0E68037AD87}"/>
  </bookViews>
  <sheets>
    <sheet name="Annex 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3" i="1"/>
  <c r="C31" i="1"/>
  <c r="C30" i="1"/>
  <c r="D24" i="1" s="1"/>
  <c r="M29" i="1"/>
  <c r="M31" i="1" s="1"/>
  <c r="H28" i="1"/>
  <c r="R23" i="1"/>
  <c r="R17" i="1"/>
  <c r="R15" i="1"/>
  <c r="D15" i="1"/>
  <c r="D19" i="1" s="1"/>
  <c r="D20" i="1" s="1"/>
  <c r="D21" i="1" s="1"/>
  <c r="R8" i="1"/>
  <c r="R7" i="1"/>
  <c r="W5" i="1"/>
  <c r="C38" i="1" l="1"/>
  <c r="D38" i="1" s="1"/>
  <c r="H36" i="1"/>
  <c r="H38" i="1" s="1"/>
  <c r="D25" i="1"/>
  <c r="D27" i="1"/>
  <c r="D28" i="1"/>
  <c r="D26" i="1"/>
</calcChain>
</file>

<file path=xl/sharedStrings.xml><?xml version="1.0" encoding="utf-8"?>
<sst xmlns="http://schemas.openxmlformats.org/spreadsheetml/2006/main" count="94" uniqueCount="77">
  <si>
    <t>Annex A Preliminary Check</t>
  </si>
  <si>
    <t>Analysis using Bottle Samples and 25% coincidence RM8632a</t>
  </si>
  <si>
    <t>Concentrate Dilution Calculator</t>
  </si>
  <si>
    <t>Concentrate Manufacturing Calculator</t>
  </si>
  <si>
    <t>Can perform Annex C at same time using 5x bottles</t>
  </si>
  <si>
    <t>Volumetric Sampling Accuracy</t>
  </si>
  <si>
    <t>Volume Actually Measured</t>
  </si>
  <si>
    <t>Concentrate</t>
  </si>
  <si>
    <t>mg/l</t>
  </si>
  <si>
    <t>Target Final Fluid Volume ml</t>
  </si>
  <si>
    <t>Final fluid volume</t>
  </si>
  <si>
    <t>ml</t>
  </si>
  <si>
    <t>Target Concentration mg/l</t>
  </si>
  <si>
    <t>APC Model</t>
  </si>
  <si>
    <t>Prepare 5 bottles of 10um PSL spheres of concentration 2000/ml</t>
  </si>
  <si>
    <t>Target concentration</t>
  </si>
  <si>
    <t>mg required</t>
  </si>
  <si>
    <t>APC S/N</t>
  </si>
  <si>
    <t>Obtain counts using 10ml flush + 5x10ml portions</t>
  </si>
  <si>
    <t>Sensor Model</t>
  </si>
  <si>
    <t>Import all portion data into following sheet (A - B1)</t>
  </si>
  <si>
    <t>Concentrate to add</t>
  </si>
  <si>
    <t>Sensor S/N</t>
  </si>
  <si>
    <t>Adjust A - B1 to A-B5 sheets deleting outliers as per 6.6</t>
  </si>
  <si>
    <t>Diluent to add</t>
  </si>
  <si>
    <t>Date</t>
  </si>
  <si>
    <t>Enter expected concentration in cell below i.e. 2000</t>
  </si>
  <si>
    <t>Operator</t>
  </si>
  <si>
    <t>JMD</t>
  </si>
  <si>
    <t>Can also export histogram data for one bottle and perform Annex D</t>
  </si>
  <si>
    <t>Threshold Noise</t>
  </si>
  <si>
    <t>Alt Concentrate Dilution Calculator</t>
  </si>
  <si>
    <t>Photocurrent</t>
  </si>
  <si>
    <t>Concentrate mg/l</t>
  </si>
  <si>
    <t>4um(c) Coincidence Limit /ml</t>
  </si>
  <si>
    <t>Diluent volume ml</t>
  </si>
  <si>
    <t>A.1 RM8632 4um count/mg/l</t>
  </si>
  <si>
    <t>Target concentration mg/l</t>
  </si>
  <si>
    <t>RM8632x mg/l at 25% coincidence limit</t>
  </si>
  <si>
    <t>Added</t>
  </si>
  <si>
    <t>Final Concentration</t>
  </si>
  <si>
    <t>Wanted fluid volume ml</t>
  </si>
  <si>
    <t>Target quantity of dust in dilution</t>
  </si>
  <si>
    <t>Concentrate to add ml</t>
  </si>
  <si>
    <t>Clean fluid to add</t>
  </si>
  <si>
    <t>Threshold factor</t>
  </si>
  <si>
    <t>/ml</t>
  </si>
  <si>
    <t>Deviation</t>
  </si>
  <si>
    <t>Particle Counter</t>
  </si>
  <si>
    <t>Portion 1</t>
  </si>
  <si>
    <t>Portion 2</t>
  </si>
  <si>
    <t>Measure Fluid Density</t>
  </si>
  <si>
    <t>Portion 3</t>
  </si>
  <si>
    <t>Temperature</t>
  </si>
  <si>
    <t>Portion 4</t>
  </si>
  <si>
    <t>100ml Weight</t>
  </si>
  <si>
    <t>AVERAGE 10um count/ml</t>
  </si>
  <si>
    <t>Portion 5</t>
  </si>
  <si>
    <t>Density g/cc</t>
  </si>
  <si>
    <t>Expected 10um count/ml</t>
  </si>
  <si>
    <t>Capture Fraction</t>
  </si>
  <si>
    <t>Mean</t>
  </si>
  <si>
    <t>Full bottle weight</t>
  </si>
  <si>
    <t>Sample StdDev</t>
  </si>
  <si>
    <t>Flush</t>
  </si>
  <si>
    <t>Set "Beam Flow Correction"</t>
  </si>
  <si>
    <t>Sample</t>
  </si>
  <si>
    <t>Total Fluid Programmed</t>
  </si>
  <si>
    <t>Final Measured Weight</t>
  </si>
  <si>
    <t>g</t>
  </si>
  <si>
    <t>Fluid Weight Taken</t>
  </si>
  <si>
    <t>ml taken</t>
  </si>
  <si>
    <r>
      <rPr>
        <sz val="10"/>
        <rFont val="Calibri"/>
        <family val="2"/>
      </rPr>
      <t>CV</t>
    </r>
    <r>
      <rPr>
        <vertAlign val="subscript"/>
        <sz val="10"/>
        <rFont val="Calibri"/>
        <family val="2"/>
      </rPr>
      <t>VOL</t>
    </r>
  </si>
  <si>
    <t>Error</t>
  </si>
  <si>
    <t>11171-00066</t>
  </si>
  <si>
    <t>LPA4</t>
  </si>
  <si>
    <t>11171-00065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</si>
</sst>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00"/>
  </numFmts>
  <fonts count="1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24"/>
      <color rgb="FFC9211E"/>
      <name val="Arial Black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vertAlign val="subscript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CFFCC"/>
        <bgColor rgb="FFCCF4C6"/>
      </patternFill>
    </fill>
    <fill>
      <patternFill patternType="solid">
        <fgColor rgb="FFCCF4C6"/>
        <bgColor rgb="FFCCFFCC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1" fillId="4" borderId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7" fillId="0" borderId="0" xfId="0" applyFont="1"/>
    <xf numFmtId="0" fontId="0" fillId="0" borderId="5" xfId="0" applyBorder="1"/>
    <xf numFmtId="0" fontId="1" fillId="3" borderId="0" xfId="3" applyBorder="1" applyAlignment="1">
      <alignment horizontal="right"/>
    </xf>
    <xf numFmtId="0" fontId="0" fillId="0" borderId="6" xfId="0" applyBorder="1"/>
    <xf numFmtId="0" fontId="4" fillId="0" borderId="0" xfId="0" applyFont="1" applyAlignment="1">
      <alignment horizontal="right"/>
    </xf>
    <xf numFmtId="2" fontId="1" fillId="3" borderId="0" xfId="3" applyNumberFormat="1" applyBorder="1" applyAlignment="1">
      <alignment horizontal="right"/>
    </xf>
    <xf numFmtId="2" fontId="2" fillId="2" borderId="1" xfId="2" applyNumberFormat="1" applyAlignment="1">
      <alignment horizontal="right"/>
    </xf>
    <xf numFmtId="164" fontId="2" fillId="2" borderId="1" xfId="2" applyNumberForma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0" fontId="7" fillId="0" borderId="11" xfId="0" applyFont="1" applyBorder="1"/>
    <xf numFmtId="10" fontId="4" fillId="0" borderId="0" xfId="0" applyNumberFormat="1" applyFont="1"/>
    <xf numFmtId="0" fontId="7" fillId="0" borderId="12" xfId="0" applyFont="1" applyBorder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7" fillId="0" borderId="13" xfId="0" applyFont="1" applyBorder="1"/>
    <xf numFmtId="0" fontId="10" fillId="0" borderId="0" xfId="0" applyFont="1"/>
    <xf numFmtId="0" fontId="11" fillId="4" borderId="0" xfId="1"/>
    <xf numFmtId="166" fontId="12" fillId="4" borderId="0" xfId="1" applyNumberFormat="1" applyFont="1"/>
    <xf numFmtId="1" fontId="4" fillId="0" borderId="0" xfId="0" applyNumberFormat="1" applyFont="1"/>
    <xf numFmtId="1" fontId="11" fillId="4" borderId="0" xfId="1" applyNumberFormat="1"/>
    <xf numFmtId="0" fontId="7" fillId="0" borderId="10" xfId="0" applyFont="1" applyBorder="1"/>
    <xf numFmtId="2" fontId="4" fillId="5" borderId="10" xfId="0" applyNumberFormat="1" applyFont="1" applyFill="1" applyBorder="1" applyAlignment="1">
      <alignment horizontal="right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/>
    <xf numFmtId="165" fontId="4" fillId="0" borderId="0" xfId="0" applyNumberFormat="1" applyFont="1"/>
    <xf numFmtId="0" fontId="4" fillId="0" borderId="14" xfId="0" applyFont="1" applyBorder="1"/>
    <xf numFmtId="0" fontId="0" fillId="0" borderId="15" xfId="0" applyBorder="1"/>
    <xf numFmtId="2" fontId="4" fillId="0" borderId="15" xfId="0" applyNumberFormat="1" applyFont="1" applyBorder="1" applyAlignment="1">
      <alignment horizontal="right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10" fontId="4" fillId="5" borderId="21" xfId="0" applyNumberFormat="1" applyFont="1" applyFill="1" applyBorder="1" applyAlignment="1">
      <alignment horizontal="right"/>
    </xf>
    <xf numFmtId="0" fontId="4" fillId="0" borderId="22" xfId="0" applyFont="1" applyBorder="1"/>
    <xf numFmtId="0" fontId="3" fillId="0" borderId="0" xfId="0" applyFont="1" applyAlignment="1">
      <alignment horizontal="left" vertical="center"/>
    </xf>
  </cellXfs>
  <cellStyles count="4">
    <cellStyle name="20% - Accent2" xfId="3" builtinId="34"/>
    <cellStyle name="Calculation" xfId="2" builtinId="22"/>
    <cellStyle name="Good" xfId="1" builtinId="26"/>
    <cellStyle name="Normal" xfId="0" builtinId="0"/>
  </cellStyles>
  <dxfs count="4"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160920</xdr:rowOff>
    </xdr:from>
    <xdr:to>
      <xdr:col>4</xdr:col>
      <xdr:colOff>57537</xdr:colOff>
      <xdr:row>35</xdr:row>
      <xdr:rowOff>109800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5B09E82-2707-475B-9B68-42BBB624319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9763" y="5747333"/>
          <a:ext cx="1609432" cy="615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4320</xdr:colOff>
      <xdr:row>3</xdr:row>
      <xdr:rowOff>127080</xdr:rowOff>
    </xdr:from>
    <xdr:to>
      <xdr:col>10</xdr:col>
      <xdr:colOff>251805</xdr:colOff>
      <xdr:row>18</xdr:row>
      <xdr:rowOff>149679</xdr:rowOff>
    </xdr:to>
    <xdr:sp macro="" textlink="">
      <xdr:nvSpPr>
        <xdr:cNvPr id="3" name="Text Frame 3">
          <a:extLst>
            <a:ext uri="{FF2B5EF4-FFF2-40B4-BE49-F238E27FC236}">
              <a16:creationId xmlns:a16="http://schemas.microsoft.com/office/drawing/2014/main" id="{CBE9C03D-381D-4770-B39A-5CA9CD52348D}"/>
            </a:ext>
          </a:extLst>
        </xdr:cNvPr>
        <xdr:cNvSpPr txBox="1"/>
      </xdr:nvSpPr>
      <xdr:spPr>
        <a:xfrm>
          <a:off x="4766820" y="991134"/>
          <a:ext cx="4363646" cy="2601152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Tare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empty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Use measureing cylinder to add 100ml of fluid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full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Ensure particle counter lines and internal systems filled with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fluid from previousl cycling / flushing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perform bottle sample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observe waste hose outlet ensure not dripping during sample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bottle after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check Error &lt; 3%</a:t>
          </a:r>
        </a:p>
        <a:p>
          <a:endParaRPr lang="en-GB" sz="1200" b="0" strike="noStrike" spc="-1" baseline="0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74CC-0343-4F47-9FB7-E69C7E4F9095}">
  <sheetPr codeName="Sheet2"/>
  <dimension ref="A1:W56"/>
  <sheetViews>
    <sheetView tabSelected="1" zoomScale="85" zoomScaleNormal="85" workbookViewId="0">
      <selection activeCell="K31" sqref="K31"/>
    </sheetView>
  </sheetViews>
  <sheetFormatPr defaultColWidth="11.53125" defaultRowHeight="12.75" x14ac:dyDescent="0.35"/>
  <cols>
    <col min="2" max="2" width="15.19921875" customWidth="1"/>
    <col min="5" max="5" width="16.86328125" customWidth="1"/>
  </cols>
  <sheetData>
    <row r="1" spans="1:23" ht="36.75" thickBot="1" x14ac:dyDescent="0.45">
      <c r="A1" s="60" t="s">
        <v>0</v>
      </c>
      <c r="B1" s="60"/>
      <c r="C1" s="60"/>
      <c r="D1" s="60"/>
      <c r="E1" s="6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3" ht="15.75" x14ac:dyDescent="0.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 t="s">
        <v>2</v>
      </c>
      <c r="Q2" s="4"/>
      <c r="R2" s="4"/>
      <c r="S2" s="5"/>
      <c r="U2" s="6" t="s">
        <v>3</v>
      </c>
    </row>
    <row r="3" spans="1:23" ht="15.75" x14ac:dyDescent="0.5">
      <c r="A3" t="s">
        <v>4</v>
      </c>
      <c r="B3" s="1"/>
      <c r="C3" s="1"/>
      <c r="D3" s="1"/>
      <c r="E3" s="1"/>
      <c r="F3" s="2" t="s">
        <v>5</v>
      </c>
      <c r="G3" s="2"/>
      <c r="H3" s="1"/>
      <c r="I3" s="1"/>
      <c r="J3" s="1"/>
      <c r="K3" s="7" t="s">
        <v>6</v>
      </c>
      <c r="L3" s="2"/>
      <c r="M3" s="1"/>
      <c r="N3" s="1"/>
      <c r="O3" s="1"/>
      <c r="P3" s="8" t="s">
        <v>7</v>
      </c>
      <c r="Q3" s="1"/>
      <c r="R3" s="9">
        <v>100</v>
      </c>
      <c r="S3" s="10" t="s">
        <v>8</v>
      </c>
      <c r="U3" t="s">
        <v>9</v>
      </c>
      <c r="W3" s="6">
        <v>250</v>
      </c>
    </row>
    <row r="4" spans="1:23" ht="13.9" x14ac:dyDescent="0.4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 t="s">
        <v>10</v>
      </c>
      <c r="R4" s="9">
        <v>100</v>
      </c>
      <c r="S4" s="10" t="s">
        <v>11</v>
      </c>
      <c r="U4" t="s">
        <v>12</v>
      </c>
      <c r="W4" s="6">
        <v>1000</v>
      </c>
    </row>
    <row r="5" spans="1:23" ht="13.9" x14ac:dyDescent="0.4">
      <c r="A5" s="1" t="s">
        <v>13</v>
      </c>
      <c r="B5" s="1"/>
      <c r="C5" s="1"/>
      <c r="D5" s="11" t="s">
        <v>75</v>
      </c>
      <c r="E5" s="1"/>
      <c r="G5" s="1"/>
      <c r="H5" s="1"/>
      <c r="I5" s="1"/>
      <c r="K5" s="1" t="s">
        <v>14</v>
      </c>
      <c r="L5" s="1"/>
      <c r="M5" s="1"/>
      <c r="N5" s="1"/>
      <c r="O5" s="1"/>
      <c r="P5" s="8" t="s">
        <v>15</v>
      </c>
      <c r="R5" s="12">
        <v>1</v>
      </c>
      <c r="S5" s="10" t="s">
        <v>8</v>
      </c>
      <c r="U5" t="s">
        <v>16</v>
      </c>
      <c r="W5" s="6">
        <f>W4*W3/1000</f>
        <v>250</v>
      </c>
    </row>
    <row r="6" spans="1:23" ht="13.15" x14ac:dyDescent="0.4">
      <c r="A6" s="1" t="s">
        <v>17</v>
      </c>
      <c r="B6" s="1"/>
      <c r="C6" s="1"/>
      <c r="D6" s="11" t="s">
        <v>74</v>
      </c>
      <c r="E6" s="1"/>
      <c r="F6" s="1"/>
      <c r="G6" s="1"/>
      <c r="H6" s="1"/>
      <c r="I6" s="1"/>
      <c r="K6" s="1" t="s">
        <v>18</v>
      </c>
      <c r="L6" s="1"/>
      <c r="M6" s="1"/>
      <c r="N6" s="1"/>
      <c r="O6" s="1"/>
      <c r="P6" s="8"/>
      <c r="S6" s="10"/>
    </row>
    <row r="7" spans="1:23" ht="13.9" x14ac:dyDescent="0.4">
      <c r="A7" s="1" t="s">
        <v>19</v>
      </c>
      <c r="B7" s="1"/>
      <c r="C7" s="1"/>
      <c r="D7" s="11" t="s">
        <v>75</v>
      </c>
      <c r="E7" s="1"/>
      <c r="F7" s="1"/>
      <c r="G7" s="1"/>
      <c r="H7" s="1"/>
      <c r="I7" s="1"/>
      <c r="K7" s="1" t="s">
        <v>20</v>
      </c>
      <c r="L7" s="1"/>
      <c r="M7" s="1"/>
      <c r="N7" s="1"/>
      <c r="O7" s="1"/>
      <c r="P7" s="8" t="s">
        <v>21</v>
      </c>
      <c r="R7" s="13">
        <f>R5/R3*R4</f>
        <v>1</v>
      </c>
      <c r="S7" s="10" t="s">
        <v>11</v>
      </c>
    </row>
    <row r="8" spans="1:23" ht="13.9" x14ac:dyDescent="0.4">
      <c r="A8" s="1" t="s">
        <v>22</v>
      </c>
      <c r="B8" s="1"/>
      <c r="C8" s="1"/>
      <c r="D8" s="11" t="s">
        <v>76</v>
      </c>
      <c r="E8" s="1"/>
      <c r="F8" s="1"/>
      <c r="G8" s="1"/>
      <c r="H8" s="1"/>
      <c r="I8" s="1"/>
      <c r="K8" s="1" t="s">
        <v>23</v>
      </c>
      <c r="L8" s="1"/>
      <c r="M8" s="1"/>
      <c r="N8" s="1"/>
      <c r="O8" s="1"/>
      <c r="P8" s="8" t="s">
        <v>24</v>
      </c>
      <c r="R8" s="14">
        <f>R4*(1-R5/R3)</f>
        <v>99</v>
      </c>
      <c r="S8" s="10" t="s">
        <v>11</v>
      </c>
    </row>
    <row r="9" spans="1:23" ht="13.5" thickBot="1" x14ac:dyDescent="0.45">
      <c r="A9" s="1" t="s">
        <v>25</v>
      </c>
      <c r="B9" s="1"/>
      <c r="C9" s="1"/>
      <c r="D9" s="15">
        <v>46188</v>
      </c>
      <c r="E9" s="1"/>
      <c r="F9" s="1"/>
      <c r="G9" s="1"/>
      <c r="H9" s="1"/>
      <c r="I9" s="1"/>
      <c r="K9" s="1" t="s">
        <v>26</v>
      </c>
      <c r="L9" s="1"/>
      <c r="M9" s="1"/>
      <c r="N9" s="1"/>
      <c r="O9" s="1"/>
      <c r="P9" s="16"/>
      <c r="Q9" s="17"/>
      <c r="R9" s="17"/>
      <c r="S9" s="18"/>
    </row>
    <row r="10" spans="1:23" ht="13.15" x14ac:dyDescent="0.4">
      <c r="A10" s="1" t="s">
        <v>27</v>
      </c>
      <c r="B10" s="1"/>
      <c r="C10" s="1"/>
      <c r="D10" s="19" t="s">
        <v>28</v>
      </c>
      <c r="E10" s="1"/>
      <c r="F10" s="1"/>
      <c r="G10" s="1"/>
      <c r="H10" s="1"/>
      <c r="I10" s="1"/>
      <c r="K10" s="1" t="s">
        <v>29</v>
      </c>
      <c r="L10" s="1"/>
      <c r="M10" s="1"/>
      <c r="N10" s="1"/>
      <c r="O10" s="1"/>
    </row>
    <row r="11" spans="1:23" ht="13.15" x14ac:dyDescent="0.4">
      <c r="A11" s="1" t="s">
        <v>30</v>
      </c>
      <c r="B11" s="1"/>
      <c r="C11" s="1"/>
      <c r="D11" s="20">
        <v>35</v>
      </c>
      <c r="E11" s="1"/>
      <c r="F11" s="1"/>
      <c r="G11" s="1"/>
      <c r="H11" s="1"/>
      <c r="I11" s="1"/>
      <c r="K11" s="1"/>
      <c r="L11" s="1"/>
      <c r="M11" s="1"/>
      <c r="N11" s="1"/>
      <c r="O11" s="1"/>
      <c r="P11" s="6" t="s">
        <v>31</v>
      </c>
    </row>
    <row r="12" spans="1:23" ht="13.15" x14ac:dyDescent="0.4">
      <c r="A12" s="1" t="s">
        <v>32</v>
      </c>
      <c r="B12" s="1"/>
      <c r="C12" s="1"/>
      <c r="D12" s="11">
        <v>12704</v>
      </c>
      <c r="E12" s="1"/>
      <c r="F12" s="1"/>
      <c r="G12" s="1"/>
      <c r="H12" s="1"/>
      <c r="I12" s="1"/>
      <c r="K12" s="1"/>
      <c r="L12" s="1"/>
      <c r="M12" s="1"/>
      <c r="N12" s="1"/>
      <c r="O12" s="1"/>
      <c r="P12" t="s">
        <v>33</v>
      </c>
      <c r="Q12" s="1"/>
      <c r="R12" s="21">
        <v>100</v>
      </c>
    </row>
    <row r="13" spans="1:23" ht="13.15" x14ac:dyDescent="0.4">
      <c r="A13" s="1" t="s">
        <v>34</v>
      </c>
      <c r="B13" s="1"/>
      <c r="C13" s="1"/>
      <c r="D13" s="11">
        <v>30000</v>
      </c>
      <c r="E13" s="1"/>
      <c r="F13" s="1"/>
      <c r="G13" s="1"/>
      <c r="H13" s="1"/>
      <c r="I13" s="1"/>
      <c r="K13" s="1"/>
      <c r="L13" s="1"/>
      <c r="M13" s="1"/>
      <c r="N13" s="1"/>
      <c r="O13" s="1"/>
      <c r="P13" t="s">
        <v>35</v>
      </c>
      <c r="R13" s="21">
        <v>500</v>
      </c>
    </row>
    <row r="14" spans="1:23" ht="13.15" x14ac:dyDescent="0.4">
      <c r="A14" s="1" t="s">
        <v>36</v>
      </c>
      <c r="B14" s="1"/>
      <c r="C14" s="1"/>
      <c r="D14" s="11">
        <v>6300</v>
      </c>
      <c r="E14" s="1"/>
      <c r="F14" s="1"/>
      <c r="G14" s="1"/>
      <c r="H14" s="1"/>
      <c r="I14" s="1"/>
      <c r="K14" s="1"/>
      <c r="L14" s="1"/>
      <c r="M14" s="1"/>
      <c r="N14" s="1"/>
      <c r="O14" s="1"/>
      <c r="P14" t="s">
        <v>37</v>
      </c>
      <c r="R14" s="22">
        <v>6.5</v>
      </c>
    </row>
    <row r="15" spans="1:23" ht="13.15" x14ac:dyDescent="0.4">
      <c r="A15" s="7" t="s">
        <v>38</v>
      </c>
      <c r="B15" s="1"/>
      <c r="C15" s="1"/>
      <c r="D15" s="23">
        <f>D13/D14*0.25</f>
        <v>1.1904761904761905</v>
      </c>
      <c r="E15" s="1"/>
      <c r="F15" s="1"/>
      <c r="G15" s="1"/>
      <c r="H15" s="1"/>
      <c r="I15" s="1"/>
      <c r="K15" s="1"/>
      <c r="L15" s="1"/>
      <c r="M15" s="1"/>
      <c r="N15" s="1"/>
      <c r="O15" s="1"/>
      <c r="P15" t="s">
        <v>21</v>
      </c>
      <c r="R15">
        <f>R14*R13/R12</f>
        <v>32.5</v>
      </c>
    </row>
    <row r="16" spans="1:23" ht="13.15" x14ac:dyDescent="0.4">
      <c r="D16" s="24"/>
      <c r="E16" s="1"/>
      <c r="F16" s="1"/>
      <c r="G16" s="1"/>
      <c r="H16" s="1"/>
      <c r="I16" s="1"/>
      <c r="K16" s="1"/>
      <c r="L16" s="1"/>
      <c r="M16" s="1"/>
      <c r="N16" s="1"/>
      <c r="O16" s="1"/>
      <c r="P16" t="s">
        <v>39</v>
      </c>
      <c r="R16" s="6">
        <v>3.27</v>
      </c>
    </row>
    <row r="17" spans="1:18" ht="13.15" x14ac:dyDescent="0.4">
      <c r="A17" t="s">
        <v>33</v>
      </c>
      <c r="B17" s="1"/>
      <c r="C17" s="1"/>
      <c r="D17" s="21">
        <v>100</v>
      </c>
      <c r="E17" s="1"/>
      <c r="F17" s="1"/>
      <c r="G17" s="1"/>
      <c r="H17" s="1"/>
      <c r="I17" s="1"/>
      <c r="K17" s="1"/>
      <c r="L17" s="1"/>
      <c r="M17" s="1"/>
      <c r="N17" s="1"/>
      <c r="O17" s="1"/>
      <c r="P17" t="s">
        <v>40</v>
      </c>
      <c r="R17" s="25">
        <f>R16*R12/(R13+R16)</f>
        <v>0.64975063087408347</v>
      </c>
    </row>
    <row r="18" spans="1:18" ht="13.15" x14ac:dyDescent="0.4">
      <c r="A18" t="s">
        <v>41</v>
      </c>
      <c r="D18" s="21">
        <v>100</v>
      </c>
      <c r="E18" s="1"/>
      <c r="I18" s="1"/>
      <c r="K18" s="1"/>
      <c r="L18" s="1"/>
      <c r="M18" s="1"/>
      <c r="N18" s="1"/>
      <c r="O18" s="1"/>
    </row>
    <row r="19" spans="1:18" ht="13.15" x14ac:dyDescent="0.4">
      <c r="A19" t="s">
        <v>42</v>
      </c>
      <c r="D19" s="26">
        <f>D18*D15/1000</f>
        <v>0.11904761904761905</v>
      </c>
      <c r="E19" s="1"/>
      <c r="I19" s="1"/>
      <c r="K19" s="1"/>
      <c r="L19" s="1"/>
      <c r="M19" s="1"/>
      <c r="N19" s="19"/>
      <c r="O19" s="1"/>
    </row>
    <row r="20" spans="1:18" ht="13.15" x14ac:dyDescent="0.4">
      <c r="A20" t="s">
        <v>43</v>
      </c>
      <c r="D20" s="27">
        <f>D19/D17*1000</f>
        <v>1.1904761904761907</v>
      </c>
      <c r="E20" s="1"/>
      <c r="I20" s="1"/>
      <c r="K20" s="1"/>
      <c r="L20" s="1"/>
      <c r="M20" s="1"/>
      <c r="N20" s="11"/>
      <c r="O20" s="1"/>
    </row>
    <row r="21" spans="1:18" ht="13.15" x14ac:dyDescent="0.4">
      <c r="A21" t="s">
        <v>44</v>
      </c>
      <c r="D21" s="28">
        <f>D18-D20</f>
        <v>98.80952380952381</v>
      </c>
      <c r="E21" s="1"/>
      <c r="F21" s="1" t="s">
        <v>25</v>
      </c>
      <c r="G21" s="1"/>
      <c r="H21" s="15">
        <v>46188</v>
      </c>
      <c r="K21" s="1"/>
      <c r="L21" s="1"/>
      <c r="M21" s="1"/>
      <c r="N21" s="11"/>
      <c r="O21" s="1"/>
      <c r="P21" t="s">
        <v>45</v>
      </c>
      <c r="R21">
        <v>4.458348</v>
      </c>
    </row>
    <row r="22" spans="1:18" ht="13.15" x14ac:dyDescent="0.4">
      <c r="A22" s="1"/>
      <c r="B22" s="1"/>
      <c r="E22" s="1"/>
      <c r="F22" s="1" t="s">
        <v>27</v>
      </c>
      <c r="G22" s="1"/>
      <c r="H22" s="11" t="s">
        <v>28</v>
      </c>
      <c r="K22" s="1"/>
      <c r="L22" s="1"/>
      <c r="M22" s="1"/>
      <c r="N22" s="29"/>
      <c r="O22" s="1"/>
      <c r="R22">
        <v>160</v>
      </c>
    </row>
    <row r="23" spans="1:18" ht="13.15" x14ac:dyDescent="0.4">
      <c r="A23" s="1"/>
      <c r="B23" s="1"/>
      <c r="C23" s="11" t="s">
        <v>46</v>
      </c>
      <c r="D23" s="11" t="s">
        <v>47</v>
      </c>
      <c r="E23" s="1"/>
      <c r="F23" s="1" t="s">
        <v>48</v>
      </c>
      <c r="G23" s="1"/>
      <c r="H23" s="11" t="s">
        <v>76</v>
      </c>
      <c r="I23" s="1"/>
      <c r="K23" s="1" t="s">
        <v>25</v>
      </c>
      <c r="L23" s="1"/>
      <c r="M23" s="15"/>
      <c r="N23" s="11"/>
      <c r="O23" s="1"/>
      <c r="R23">
        <f>R22*R21</f>
        <v>713.33568000000002</v>
      </c>
    </row>
    <row r="24" spans="1:18" ht="13.15" x14ac:dyDescent="0.4">
      <c r="A24" s="1"/>
      <c r="B24" s="1" t="s">
        <v>49</v>
      </c>
      <c r="C24" s="30">
        <v>5868.8</v>
      </c>
      <c r="D24" s="31">
        <f>(C24-$C$30)/$C$30</f>
        <v>1.588708365212526E-2</v>
      </c>
      <c r="E24" s="1"/>
      <c r="F24" s="1"/>
      <c r="G24" s="1"/>
      <c r="H24" s="11"/>
      <c r="I24" s="1"/>
      <c r="K24" s="1" t="s">
        <v>27</v>
      </c>
      <c r="L24" s="1"/>
      <c r="M24" s="11" t="s">
        <v>28</v>
      </c>
      <c r="N24" s="11"/>
      <c r="O24" s="1"/>
    </row>
    <row r="25" spans="1:18" ht="13.15" x14ac:dyDescent="0.4">
      <c r="A25" s="1"/>
      <c r="B25" s="1" t="s">
        <v>50</v>
      </c>
      <c r="C25" s="32">
        <v>5920.8</v>
      </c>
      <c r="D25" s="31">
        <f>(C25-$C$30)/$C$30</f>
        <v>2.4888264191572935E-2</v>
      </c>
      <c r="E25" s="1"/>
      <c r="F25" s="1" t="s">
        <v>51</v>
      </c>
      <c r="G25" s="1"/>
      <c r="H25" s="11"/>
      <c r="I25" s="1"/>
      <c r="K25" s="1" t="s">
        <v>48</v>
      </c>
      <c r="L25" s="1"/>
      <c r="M25" s="11"/>
      <c r="N25" s="11"/>
      <c r="O25" s="1"/>
    </row>
    <row r="26" spans="1:18" ht="13.9" customHeight="1" x14ac:dyDescent="0.4">
      <c r="A26" s="1"/>
      <c r="B26" s="1" t="s">
        <v>52</v>
      </c>
      <c r="C26" s="32">
        <v>5789.5</v>
      </c>
      <c r="D26" s="31">
        <f>(C26-$C$30)/$C$30</f>
        <v>2.1602833294675238E-3</v>
      </c>
      <c r="E26" s="1"/>
      <c r="F26" s="1" t="s">
        <v>53</v>
      </c>
      <c r="G26" s="1"/>
      <c r="H26" s="11">
        <v>20</v>
      </c>
      <c r="I26" s="1"/>
    </row>
    <row r="27" spans="1:18" ht="13.15" x14ac:dyDescent="0.4">
      <c r="A27" s="1"/>
      <c r="B27" s="1" t="s">
        <v>54</v>
      </c>
      <c r="C27" s="32">
        <v>5707.8</v>
      </c>
      <c r="D27" s="31">
        <f>(C27-$C$30)/$C$30</f>
        <v>-1.198195609501081E-2</v>
      </c>
      <c r="E27" s="1"/>
      <c r="F27" s="1" t="s">
        <v>55</v>
      </c>
      <c r="G27" s="1"/>
      <c r="H27" s="29">
        <v>85.33</v>
      </c>
      <c r="I27" s="1"/>
      <c r="K27" s="33" t="s">
        <v>56</v>
      </c>
      <c r="L27" s="34"/>
      <c r="M27" s="35"/>
    </row>
    <row r="28" spans="1:18" ht="13.15" x14ac:dyDescent="0.4">
      <c r="A28" s="1"/>
      <c r="B28" s="1" t="s">
        <v>57</v>
      </c>
      <c r="C28" s="36">
        <v>5598.2</v>
      </c>
      <c r="D28" s="31">
        <f>(C28-$C$30)/$C$30</f>
        <v>-3.0953675078154434E-2</v>
      </c>
      <c r="E28" s="1"/>
      <c r="F28" s="1" t="s">
        <v>58</v>
      </c>
      <c r="G28" s="1"/>
      <c r="H28" s="29">
        <f>H27/100</f>
        <v>0.85329999999999995</v>
      </c>
      <c r="I28" s="1"/>
      <c r="K28" s="33" t="s">
        <v>59</v>
      </c>
      <c r="L28" s="34"/>
      <c r="M28" s="37">
        <v>2000</v>
      </c>
    </row>
    <row r="29" spans="1:18" ht="13.15" x14ac:dyDescent="0.4">
      <c r="A29" s="1"/>
      <c r="B29" s="1"/>
      <c r="C29" s="1"/>
      <c r="D29" s="1"/>
      <c r="E29" s="1"/>
      <c r="I29" s="1"/>
      <c r="K29" s="38" t="s">
        <v>60</v>
      </c>
      <c r="L29" s="38"/>
      <c r="M29" s="39">
        <f>M27/M28</f>
        <v>0</v>
      </c>
    </row>
    <row r="30" spans="1:18" ht="13.15" x14ac:dyDescent="0.4">
      <c r="A30" s="1"/>
      <c r="B30" s="1" t="s">
        <v>61</v>
      </c>
      <c r="C30" s="40">
        <f>AVERAGE(C24:C28)</f>
        <v>5777.0199999999995</v>
      </c>
      <c r="D30" s="1"/>
      <c r="E30" s="1"/>
      <c r="F30" s="49" t="s">
        <v>62</v>
      </c>
      <c r="G30" s="50"/>
      <c r="H30" s="51">
        <v>85.33</v>
      </c>
      <c r="I30" s="52"/>
    </row>
    <row r="31" spans="1:18" ht="13.15" x14ac:dyDescent="0.4">
      <c r="A31" s="1"/>
      <c r="B31" s="1" t="s">
        <v>63</v>
      </c>
      <c r="C31" s="40">
        <f>STDEVP(C24:C28)</f>
        <v>114.90866633983715</v>
      </c>
      <c r="D31" s="1"/>
      <c r="E31" s="1"/>
      <c r="F31" s="53" t="s">
        <v>64</v>
      </c>
      <c r="G31" s="1"/>
      <c r="H31" s="11">
        <v>20</v>
      </c>
      <c r="I31" s="54" t="s">
        <v>11</v>
      </c>
      <c r="K31" t="s">
        <v>65</v>
      </c>
      <c r="M31" s="41">
        <f>(M29-1)*1000</f>
        <v>-1000</v>
      </c>
    </row>
    <row r="32" spans="1:18" ht="13.15" x14ac:dyDescent="0.4">
      <c r="A32" s="1"/>
      <c r="B32" s="1"/>
      <c r="C32" s="40"/>
      <c r="D32" s="1"/>
      <c r="E32" s="1"/>
      <c r="F32" s="53" t="s">
        <v>66</v>
      </c>
      <c r="G32" s="1"/>
      <c r="H32" s="11">
        <v>50</v>
      </c>
      <c r="I32" s="54" t="s">
        <v>11</v>
      </c>
    </row>
    <row r="33" spans="1:10" ht="13.15" x14ac:dyDescent="0.4">
      <c r="A33" s="1"/>
      <c r="B33" s="1"/>
      <c r="C33" s="1"/>
      <c r="D33" s="1"/>
      <c r="E33" s="1"/>
      <c r="F33" s="53" t="s">
        <v>67</v>
      </c>
      <c r="G33" s="1"/>
      <c r="H33" s="11">
        <f>H31+H32</f>
        <v>70</v>
      </c>
      <c r="I33" s="54" t="s">
        <v>11</v>
      </c>
    </row>
    <row r="34" spans="1:10" ht="13.15" x14ac:dyDescent="0.4">
      <c r="A34" s="1"/>
      <c r="B34" s="1"/>
      <c r="C34" s="31"/>
      <c r="D34" s="1"/>
      <c r="E34" s="1"/>
      <c r="F34" s="53" t="s">
        <v>68</v>
      </c>
      <c r="G34" s="1"/>
      <c r="H34" s="29">
        <v>26.18</v>
      </c>
      <c r="I34" s="54" t="s">
        <v>69</v>
      </c>
    </row>
    <row r="35" spans="1:10" ht="13.15" x14ac:dyDescent="0.4">
      <c r="A35" s="1"/>
      <c r="B35" s="1"/>
      <c r="C35" s="1"/>
      <c r="D35" s="1"/>
      <c r="F35" s="53" t="s">
        <v>70</v>
      </c>
      <c r="G35" s="1"/>
      <c r="H35" s="29">
        <f>H30-H34</f>
        <v>59.15</v>
      </c>
      <c r="I35" s="54"/>
    </row>
    <row r="36" spans="1:10" ht="13.15" x14ac:dyDescent="0.4">
      <c r="A36" s="1"/>
      <c r="B36" s="1"/>
      <c r="C36" s="1"/>
      <c r="D36" s="1"/>
      <c r="F36" s="55" t="s">
        <v>71</v>
      </c>
      <c r="G36" s="42"/>
      <c r="H36" s="43">
        <f>H35/H28</f>
        <v>69.319114027891715</v>
      </c>
      <c r="I36" s="54"/>
    </row>
    <row r="37" spans="1:10" ht="13.15" x14ac:dyDescent="0.4">
      <c r="A37" s="1"/>
      <c r="B37" s="1"/>
      <c r="C37" s="1"/>
      <c r="D37" s="1"/>
      <c r="F37" s="53"/>
      <c r="G37" s="1"/>
      <c r="H37" s="11"/>
      <c r="I37" s="54"/>
    </row>
    <row r="38" spans="1:10" ht="15.4" x14ac:dyDescent="0.55000000000000004">
      <c r="A38" s="1"/>
      <c r="B38" s="1" t="s">
        <v>72</v>
      </c>
      <c r="C38" s="31">
        <f>C31/C30</f>
        <v>1.9890647139846698E-2</v>
      </c>
      <c r="D38" s="1" t="str">
        <f>IF(C38&lt;0.03,"&lt;3% = PASS","&gt;3% = FAIL")</f>
        <v>&lt;3% = PASS</v>
      </c>
      <c r="F38" s="56" t="s">
        <v>73</v>
      </c>
      <c r="G38" s="57"/>
      <c r="H38" s="58">
        <f>H36/H33-1</f>
        <v>-9.726942458689769E-3</v>
      </c>
      <c r="I38" s="59"/>
      <c r="J38" s="44"/>
    </row>
    <row r="39" spans="1:10" ht="13.15" x14ac:dyDescent="0.4">
      <c r="A39" s="1"/>
      <c r="B39" s="1"/>
      <c r="C39" s="1"/>
      <c r="D39" s="1"/>
      <c r="F39" s="1"/>
      <c r="G39" s="1"/>
      <c r="H39" s="45"/>
      <c r="I39" s="44"/>
      <c r="J39" s="44"/>
    </row>
    <row r="40" spans="1:10" ht="13.15" x14ac:dyDescent="0.4">
      <c r="A40" s="6"/>
      <c r="F40" s="1"/>
      <c r="G40" s="1"/>
      <c r="H40" s="46"/>
      <c r="I40" s="44"/>
      <c r="J40" s="44"/>
    </row>
    <row r="41" spans="1:10" ht="13.15" x14ac:dyDescent="0.4">
      <c r="B41" s="47"/>
      <c r="E41" s="1"/>
      <c r="F41" s="1"/>
      <c r="G41" s="1"/>
      <c r="H41" s="45"/>
      <c r="I41" s="44"/>
      <c r="J41" s="44"/>
    </row>
    <row r="42" spans="1:10" ht="13.15" x14ac:dyDescent="0.4">
      <c r="E42" s="1"/>
      <c r="F42" s="1"/>
      <c r="G42" s="1"/>
      <c r="H42" s="15"/>
      <c r="I42" s="44"/>
      <c r="J42" s="44"/>
    </row>
    <row r="43" spans="1:10" ht="13.15" x14ac:dyDescent="0.4">
      <c r="E43" s="1"/>
      <c r="F43" s="1"/>
      <c r="G43" s="1"/>
      <c r="H43" s="11"/>
      <c r="I43" s="44"/>
      <c r="J43" s="44"/>
    </row>
    <row r="44" spans="1:10" ht="13.15" x14ac:dyDescent="0.4">
      <c r="C44" s="6"/>
      <c r="E44" s="48"/>
      <c r="F44" s="1"/>
      <c r="G44" s="1"/>
      <c r="H44" s="11"/>
      <c r="I44" s="44"/>
      <c r="J44" s="44"/>
    </row>
    <row r="45" spans="1:10" ht="13.15" x14ac:dyDescent="0.4">
      <c r="E45" s="1"/>
      <c r="F45" s="1"/>
      <c r="G45" s="1"/>
      <c r="H45" s="11"/>
      <c r="I45" s="1"/>
    </row>
    <row r="46" spans="1:10" ht="13.15" x14ac:dyDescent="0.4">
      <c r="E46" s="1"/>
      <c r="F46" s="1"/>
      <c r="G46" s="1"/>
      <c r="H46" s="11"/>
      <c r="I46" s="31"/>
    </row>
    <row r="47" spans="1:10" ht="13.15" x14ac:dyDescent="0.4">
      <c r="E47" s="1"/>
      <c r="F47" s="1"/>
      <c r="G47" s="1"/>
      <c r="H47" s="11"/>
      <c r="I47" s="1"/>
    </row>
    <row r="48" spans="1:10" ht="13.15" x14ac:dyDescent="0.4">
      <c r="A48" s="1"/>
      <c r="B48" s="1"/>
      <c r="C48" s="1"/>
      <c r="D48" s="1"/>
      <c r="E48" s="1"/>
      <c r="F48" s="1"/>
      <c r="G48" s="1"/>
      <c r="H48" s="29"/>
      <c r="I48" s="1"/>
    </row>
    <row r="49" spans="1:9" ht="13.15" x14ac:dyDescent="0.4">
      <c r="A49" s="1"/>
      <c r="B49" s="1"/>
      <c r="C49" s="1"/>
      <c r="D49" s="1"/>
      <c r="E49" s="1"/>
      <c r="F49" s="1"/>
      <c r="G49" s="1"/>
      <c r="H49" s="29"/>
      <c r="I49" s="1"/>
    </row>
    <row r="50" spans="1:9" ht="13.15" x14ac:dyDescent="0.4">
      <c r="A50" s="1"/>
      <c r="B50" s="1"/>
      <c r="C50" s="1"/>
      <c r="D50" s="1"/>
      <c r="E50" s="1"/>
      <c r="I50" s="31"/>
    </row>
    <row r="51" spans="1:9" ht="13.15" x14ac:dyDescent="0.4">
      <c r="F51" s="1"/>
    </row>
    <row r="52" spans="1:9" ht="13.15" x14ac:dyDescent="0.4">
      <c r="F52" s="1"/>
      <c r="G52" s="1"/>
      <c r="H52" s="11"/>
    </row>
    <row r="53" spans="1:9" ht="13.15" x14ac:dyDescent="0.4">
      <c r="F53" s="1"/>
      <c r="G53" s="1"/>
      <c r="H53" s="11"/>
    </row>
    <row r="54" spans="1:9" ht="13.15" x14ac:dyDescent="0.4">
      <c r="F54" s="1"/>
      <c r="G54" s="1"/>
      <c r="H54" s="11"/>
    </row>
    <row r="55" spans="1:9" ht="13.15" x14ac:dyDescent="0.4">
      <c r="F55" s="1"/>
      <c r="G55" s="1"/>
      <c r="H55" s="29"/>
    </row>
    <row r="56" spans="1:9" ht="13.15" x14ac:dyDescent="0.4">
      <c r="F56" s="1"/>
      <c r="G56" s="1"/>
      <c r="H56" s="29"/>
    </row>
  </sheetData>
  <mergeCells count="1">
    <mergeCell ref="A1:E1"/>
  </mergeCells>
  <conditionalFormatting sqref="C38">
    <cfRule type="cellIs" dxfId="3" priority="3" operator="lessThan">
      <formula>0.03</formula>
    </cfRule>
    <cfRule type="cellIs" dxfId="2" priority="4" operator="greaterThanOrEqual">
      <formula>0.03</formula>
    </cfRule>
  </conditionalFormatting>
  <conditionalFormatting sqref="D38">
    <cfRule type="cellIs" dxfId="1" priority="1" operator="equal">
      <formula>"&lt;3% = PASS"</formula>
    </cfRule>
    <cfRule type="cellIs" dxfId="0" priority="2" operator="notEqual">
      <formula>"&lt;3% = PASS"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 r:id="rId1"/>
  <headerFooter>
    <oddHeader>&amp;CISO11171:2020 Summary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2026-06-08T14:50:18Z</dcterms:created>
  <dcterms:modified xsi:type="dcterms:W3CDTF">2026-06-15T13:43:55Z</dcterms:modified>
</cp:coreProperties>
</file>