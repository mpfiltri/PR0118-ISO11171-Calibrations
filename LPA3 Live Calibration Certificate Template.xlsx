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
    </mc:Choice>
  </mc:AlternateContent>
  <xr:revisionPtr revIDLastSave="0" documentId="13_ncr:1_{F0F508A6-631E-4B78-8858-C7CBCB5B3B74}" xr6:coauthVersionLast="47" xr6:coauthVersionMax="47" xr10:uidLastSave="{00000000-0000-0000-0000-000000000000}"/>
  <bookViews>
    <workbookView xWindow="-98" yWindow="-98" windowWidth="28996" windowHeight="17745" firstSheet="3" activeTab="3"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r:id="rId18"/>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record'!$B$3:$L$103</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5" i="86" l="1"/>
  <c r="B74" i="86"/>
  <c r="B73" i="86"/>
  <c r="B72" i="86"/>
  <c r="B71" i="86"/>
  <c r="B70" i="86"/>
  <c r="B69" i="86"/>
  <c r="B68" i="86"/>
  <c r="C68" i="86"/>
  <c r="D17" i="103"/>
  <c r="D13" i="103"/>
  <c r="I65" i="86"/>
  <c r="H65" i="86"/>
  <c r="G65" i="86"/>
  <c r="F65" i="86"/>
  <c r="E65" i="86"/>
  <c r="D65" i="86"/>
  <c r="C65" i="86"/>
  <c r="B65" i="86"/>
  <c r="H21" i="86"/>
  <c r="H14" i="86"/>
  <c r="G75" i="86"/>
  <c r="G74" i="86"/>
  <c r="G73" i="86"/>
  <c r="G72" i="86"/>
  <c r="G71" i="86"/>
  <c r="G70" i="86"/>
  <c r="G69" i="86"/>
  <c r="G68" i="86"/>
  <c r="E75" i="86"/>
  <c r="E74" i="86"/>
  <c r="E73" i="86"/>
  <c r="E72" i="86"/>
  <c r="E71" i="86"/>
  <c r="E70" i="86"/>
  <c r="E69" i="86"/>
  <c r="E68" i="86"/>
  <c r="C75" i="86"/>
  <c r="C74" i="86"/>
  <c r="C73" i="86"/>
  <c r="C72" i="86"/>
  <c r="C71" i="86"/>
  <c r="C70" i="86"/>
  <c r="C69" i="86"/>
  <c r="H15" i="86"/>
  <c r="D5" i="103" s="1"/>
  <c r="H19" i="86"/>
  <c r="H16" i="86"/>
  <c r="B11" i="86"/>
  <c r="D40" i="85" s="1"/>
  <c r="B5" i="86"/>
  <c r="B12" i="86"/>
  <c r="D68" i="86" l="1"/>
  <c r="H17" i="86"/>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B31" i="103" l="1"/>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3" i="86"/>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1" i="86"/>
  <c r="I74" i="86"/>
  <c r="J34" i="97" s="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G40" i="94" s="1"/>
  <c r="F32" i="91"/>
  <c r="F32" i="97"/>
  <c r="F32" i="85"/>
  <c r="F32" i="94"/>
  <c r="F32" i="96"/>
  <c r="C61" i="89"/>
  <c r="F38" i="90"/>
  <c r="F32" i="93"/>
  <c r="F31" i="93"/>
  <c r="F31" i="97"/>
  <c r="C64" i="89"/>
  <c r="F35" i="93"/>
  <c r="F33" i="85"/>
  <c r="F39" i="90"/>
  <c r="F33" i="91"/>
  <c r="F33" i="97"/>
  <c r="C62" i="89"/>
  <c r="F33" i="96"/>
  <c r="F33" i="94"/>
  <c r="F33" i="93"/>
  <c r="F34" i="91" l="1"/>
  <c r="C59" i="89"/>
  <c r="F29" i="85"/>
  <c r="F30" i="97"/>
  <c r="G162" i="106"/>
  <c r="L46" i="90"/>
  <c r="K46" i="90"/>
  <c r="G163" i="106"/>
  <c r="H118" i="103"/>
  <c r="F30" i="96"/>
  <c r="I68" i="86"/>
  <c r="J28" i="85" s="1"/>
  <c r="J28" i="96" s="1"/>
  <c r="K28" i="96" s="1"/>
  <c r="L28" i="96" s="1"/>
  <c r="F29" i="94"/>
  <c r="L40" i="94" s="1"/>
  <c r="H117" i="103"/>
  <c r="C58" i="89"/>
  <c r="F36" i="90"/>
  <c r="F29" i="97"/>
  <c r="L40" i="97" s="1"/>
  <c r="H31" i="96"/>
  <c r="I69" i="86"/>
  <c r="J29" i="94" s="1"/>
  <c r="K29" i="94" s="1"/>
  <c r="L29" i="94" s="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2" i="86"/>
  <c r="J32" i="93" s="1"/>
  <c r="D18" i="90"/>
  <c r="D18" i="93"/>
  <c r="I75" i="86"/>
  <c r="J35" i="93" s="1"/>
  <c r="I70" i="86"/>
  <c r="J30" i="97" s="1"/>
  <c r="F31" i="91"/>
  <c r="F35" i="85"/>
  <c r="F41" i="90"/>
  <c r="F31" i="94"/>
  <c r="F31" i="96"/>
  <c r="F28" i="85"/>
  <c r="G40" i="85" s="1"/>
  <c r="F29" i="96"/>
  <c r="F70" i="86"/>
  <c r="J34" i="93"/>
  <c r="D18" i="97"/>
  <c r="D18" i="91"/>
  <c r="D64" i="89"/>
  <c r="H41" i="90"/>
  <c r="D75" i="86"/>
  <c r="H35" i="93"/>
  <c r="H35" i="94"/>
  <c r="H35" i="91"/>
  <c r="H75" i="86"/>
  <c r="H35" i="96"/>
  <c r="H35" i="97"/>
  <c r="H35" i="85"/>
  <c r="F75"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H32" i="85" l="1"/>
  <c r="H30" i="91"/>
  <c r="H32" i="93"/>
  <c r="H32" i="94"/>
  <c r="H32" i="96"/>
  <c r="H30" i="93"/>
  <c r="D70" i="86"/>
  <c r="H72" i="86"/>
  <c r="D59" i="89"/>
  <c r="H38" i="90"/>
  <c r="H32" i="97"/>
  <c r="H31" i="94"/>
  <c r="K31" i="94" s="1"/>
  <c r="L31" i="94" s="1"/>
  <c r="F72" i="86"/>
  <c r="D71" i="86"/>
  <c r="D72" i="86"/>
  <c r="H30" i="94"/>
  <c r="D61" i="89"/>
  <c r="F73" i="86"/>
  <c r="H71" i="86"/>
  <c r="J71" i="86"/>
  <c r="D63" i="89"/>
  <c r="J35" i="90"/>
  <c r="K35" i="90" s="1"/>
  <c r="L35" i="90" s="1"/>
  <c r="E40" i="93"/>
  <c r="H34" i="93"/>
  <c r="H34" i="91"/>
  <c r="H34" i="85"/>
  <c r="J28" i="97"/>
  <c r="K28" i="97" s="1"/>
  <c r="L28" i="97" s="1"/>
  <c r="F57" i="89"/>
  <c r="G57" i="89" s="1"/>
  <c r="H57" i="89" s="1"/>
  <c r="J28" i="94"/>
  <c r="K28" i="94" s="1"/>
  <c r="L28" i="94" s="1"/>
  <c r="D74" i="86"/>
  <c r="J28" i="91"/>
  <c r="K28" i="91" s="1"/>
  <c r="L28" i="91" s="1"/>
  <c r="J68" i="86"/>
  <c r="D60" i="89"/>
  <c r="G60" i="89" s="1"/>
  <c r="H60" i="89" s="1"/>
  <c r="J29" i="97"/>
  <c r="K29" i="97" s="1"/>
  <c r="L29" i="97" s="1"/>
  <c r="H74" i="86"/>
  <c r="K32" i="93"/>
  <c r="L32" i="93" s="1"/>
  <c r="J29" i="93"/>
  <c r="K29" i="93" s="1"/>
  <c r="L29" i="93" s="1"/>
  <c r="F71"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4" i="86"/>
  <c r="K40" i="94"/>
  <c r="H31" i="93"/>
  <c r="K31" i="93" s="1"/>
  <c r="L31" i="93" s="1"/>
  <c r="J74" i="86"/>
  <c r="H31" i="91"/>
  <c r="K31" i="91" s="1"/>
  <c r="L31" i="91" s="1"/>
  <c r="H36" i="90"/>
  <c r="H70" i="86"/>
  <c r="H30" i="85"/>
  <c r="K33" i="93"/>
  <c r="L33" i="93" s="1"/>
  <c r="J72" i="86"/>
  <c r="J32" i="94"/>
  <c r="K32" i="94" s="1"/>
  <c r="L32" i="94" s="1"/>
  <c r="H33" i="97"/>
  <c r="K33" i="97" s="1"/>
  <c r="L33" i="97" s="1"/>
  <c r="H73" i="86"/>
  <c r="H39" i="90"/>
  <c r="K39" i="90" s="1"/>
  <c r="L39" i="90" s="1"/>
  <c r="H33" i="85"/>
  <c r="K33" i="85" s="1"/>
  <c r="L33" i="85" s="1"/>
  <c r="D62" i="89"/>
  <c r="G62" i="89" s="1"/>
  <c r="H62" i="89" s="1"/>
  <c r="D73" i="86"/>
  <c r="J32" i="85"/>
  <c r="J32" i="96" s="1"/>
  <c r="K28" i="85"/>
  <c r="L28" i="85" s="1"/>
  <c r="J73" i="86"/>
  <c r="H33" i="96"/>
  <c r="K30" i="97"/>
  <c r="L30" i="97" s="1"/>
  <c r="H33" i="91"/>
  <c r="K33" i="91" s="1"/>
  <c r="L33" i="91" s="1"/>
  <c r="H33" i="94"/>
  <c r="K33" i="94" s="1"/>
  <c r="L33" i="94" s="1"/>
  <c r="J35" i="85"/>
  <c r="J35" i="96" s="1"/>
  <c r="J35" i="91"/>
  <c r="J35" i="97"/>
  <c r="F64" i="89"/>
  <c r="J41" i="90"/>
  <c r="J75" i="86"/>
  <c r="J30" i="91"/>
  <c r="J30" i="93"/>
  <c r="J36" i="90"/>
  <c r="K40" i="96"/>
  <c r="L40" i="96"/>
  <c r="F59" i="89"/>
  <c r="J70" i="86"/>
  <c r="L40" i="93"/>
  <c r="K40" i="93"/>
  <c r="E40" i="85"/>
  <c r="J32" i="91"/>
  <c r="K32" i="91" s="1"/>
  <c r="L32" i="91" s="1"/>
  <c r="F61" i="89"/>
  <c r="J32" i="97"/>
  <c r="K40" i="91"/>
  <c r="L40" i="91"/>
  <c r="J38" i="90"/>
  <c r="J30" i="94"/>
  <c r="E40" i="96"/>
  <c r="G40" i="96"/>
  <c r="J31" i="96"/>
  <c r="K31" i="96" s="1"/>
  <c r="L31" i="96" s="1"/>
  <c r="J33" i="96"/>
  <c r="G134" i="106"/>
  <c r="G131" i="106"/>
  <c r="G61" i="89" l="1"/>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<sst xmlns="http://schemas.openxmlformats.org/spreadsheetml/2006/main" count="6521" uniqueCount="707">
  <si>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</si>
  <si>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</si>
  <si>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</si>
  <si>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</si>
  <si>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</si>
  <si>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</si>
  <si>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</si>
  <si>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</si>
  <si>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</si>
  <si>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</si>
  <si>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</si>
  <si>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</si>
  <si>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</si>
  <si>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</si>
  <si>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</si>
  <si>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</si>
  <si>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</si>
  <si>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</si>
  <si>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</si>
  <si>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</si>
  <si>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</si>
  <si>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</si>
  <si>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</si>
  <si>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</si>
  <si>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</si>
  <si>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</si>
  <si>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</si>
  <si>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</si>
  <si>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</si>
  <si>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</si>
  <si>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</si>
  <si>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</si>
  <si>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</si>
  <si>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</si>
  <si>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</si>
  <si>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</si>
  <si>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</si>
  <si>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</si>
  <si>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</si>
  <si>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</si>
  <si>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</si>
  <si>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</si>
  <si>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</si>
  <si>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</si>
  <si>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</si>
  <si>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</si>
  <si>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</si>
  <si>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</si>
  <si>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</si>
  <si>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</si>
  <si>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</si>
  <si>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</si>
  <si>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</si>
  <si>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</si>
  <si>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</si>
  <si>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</si>
  <si>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</si>
  <si>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</si>
  <si>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</si>
  <si>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</si>
  <si>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</si>
  <si>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</si>
  <si>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</si>
  <si>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</si>
  <si>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</si>
  <si>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</si>
  <si>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</si>
  <si>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</si>
  <si>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</si>
  <si>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</si>
  <si>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</si>
  <si>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</si>
  <si>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</si>
  <si>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</si>
  <si>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</si>
  <si>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</si>
  <si>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</si>
  <si>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</si>
  <si>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</si>
  <si>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</si>
  <si>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</si>
  <si>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</si>
  <si>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</si>
  <si>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</si>
  <si>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</si>
  <si>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</si>
  <si>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</si>
  <si>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</si>
  <si>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</si>
  <si>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</si>
  <si>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</si>
  <si>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</si>
  <si>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</si>
  <si>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</si>
  <si>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</si>
  <si>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</si>
  <si>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</si>
  <si>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</si>
  <si>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</si>
  <si>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</si>
  <si>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</si>
  <si>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</si>
  <si>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</si>
  <si>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</si>
  <si>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</si>
  <si>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</si>
  <si>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</si>
  <si>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</si>
  <si>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</si>
  <si>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</si>
  <si>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</si>
  <si>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</si>
  <si>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</si>
  <si>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</si>
  <si>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</si>
  <si>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</si>
  <si>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</si>
  <si>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</si>
  <si>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</si>
  <si>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</si>
  <si>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</si>
  <si>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</si>
  <si>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</si>
  <si>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</si>
  <si>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</si>
  <si>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</si>
  <si>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</si>
  <si>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</si>
  <si>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</si>
  <si>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</si>
  <si>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</si>
  <si>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</si>
  <si>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</si>
  <si>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</si>
  <si>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</si>
  <si>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</si>
  <si>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</si>
  <si>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</si>
  <si>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</si>
  <si>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</si>
  <si>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</si>
  <si>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</si>
  <si>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</si>
  <si>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</si>
  <si>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</si>
  <si>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</si>
  <si>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</si>
  <si>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</si>
  <si>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</si>
  <si>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</si>
  <si>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</si>
  <si>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</si>
  <si>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</si>
  <si>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</si>
  <si>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</si>
  <si>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</si>
  <si>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</si>
  <si>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</si>
  <si>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</si>
  <si>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</si>
  <si>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</si>
  <si>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</si>
  <si>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</si>
  <si>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</si>
  <si>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</si>
  <si>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</si>
  <si>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</si>
  <si>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</si>
  <si>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</si>
  <si>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</si>
  <si>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</si>
  <si>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</si>
  <si>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</si>
  <si>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</si>
  <si>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</si>
  <si>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</si>
  <si>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</si>
  <si>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</si>
  <si>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</si>
  <si>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</si>
  <si>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</si>
  <si>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</si>
  <si>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</si>
  <si>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</si>
  <si>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</si>
  <si>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</si>
  <si>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</si>
  <si>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</si>
  <si>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</si>
  <si>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</si>
  <si>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</si>
  <si>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</si>
  <si>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</si>
  <si>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</si>
  <si>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</si>
  <si>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</si>
  <si>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</si>
  <si>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</si>
  <si>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</si>
  <si>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</si>
  <si>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</si>
  <si>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</si>
  <si>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</si>
  <si>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</si>
  <si>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</si>
  <si>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</si>
  <si>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</si>
  <si>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</si>
  <si>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</si>
  <si>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</si>
  <si>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</si>
  <si>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</si>
  <si>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</si>
  <si>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</si>
  <si>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</si>
  <si>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</si>
  <si>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</si>
  <si>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</si>
  <si>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</si>
  <si>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</si>
  <si>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</si>
  <si>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</si>
  <si>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</si>
  <si>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</si>
  <si>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</si>
  <si>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</si>
  <si>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</si>
  <si>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</si>
  <si>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</si>
  <si>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</si>
  <si>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</si>
  <si>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</si>
  <si>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</si>
  <si>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</si>
  <si>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</si>
  <si>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</si>
  <si>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</si>
  <si>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</si>
  <si>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</si>
  <si>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</si>
  <si>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</si>
  <si>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</si>
  <si>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</si>
  <si>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</si>
  <si>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</si>
  <si>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</si>
  <si>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</si>
  <si>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</si>
  <si>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</si>
  <si>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</si>
  <si>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</si>
  <si>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</si>
  <si>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</si>
  <si>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</si>
  <si>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</si>
  <si>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</si>
  <si>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</si>
  <si>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</si>
  <si>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</si>
  <si>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</si>
  <si>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</si>
  <si>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</si>
  <si>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</si>
  <si>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</si>
  <si>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</si>
  <si>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</si>
  <si>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</si>
  <si>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</si>
  <si>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</si>
  <si>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</si>
  <si>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</si>
  <si>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</si>
  <si>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</si>
  <si>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</si>
  <si>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</si>
  <si>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</si>
  <si>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</si>
  <si>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</si>
  <si>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</si>
  <si>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</si>
  <si>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</si>
  <si>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</si>
  <si>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</si>
  <si>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</si>
  <si>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</si>
  <si>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</si>
  <si>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</si>
  <si>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</si>
  <si>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</si>
  <si>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</si>
  <si>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</si>
  <si>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</si>
  <si>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</si>
  <si>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</si>
  <si>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</si>
  <si>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</si>
  <si>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</si>
  <si>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</si>
  <si>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</si>
  <si>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</si>
  <si>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</si>
  <si>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</si>
  <si>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</si>
  <si>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</si>
  <si>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</si>
  <si>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</si>
  <si>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</si>
  <si>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</si>
  <si>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</si>
  <si>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</si>
  <si>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</si>
  <si>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</si>
  <si>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</si>
  <si>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</si>
  <si>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</si>
  <si>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</si>
  <si>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</si>
  <si>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</si>
  <si>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</si>
  <si>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</si>
  <si>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</si>
  <si>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</si>
  <si>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</si>
  <si>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</si>
  <si>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</si>
  <si>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</si>
  <si>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</si>
  <si>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</si>
  <si>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</si>
  <si>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</si>
  <si>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</si>
  <si>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</si>
  <si>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</si>
  <si>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</si>
  <si>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</si>
  <si>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</si>
  <si>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</si>
  <si>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</si>
  <si>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</si>
  <si>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</si>
  <si>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</si>
  <si>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</si>
  <si>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</si>
  <si>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</si>
  <si>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</si>
  <si>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</si>
  <si>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</si>
  <si>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</si>
  <si>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</si>
  <si>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</si>
  <si>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</si>
  <si>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</si>
  <si>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</si>
  <si>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</si>
  <si>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</si>
  <si>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</si>
  <si>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</si>
  <si>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</si>
  <si>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</si>
  <si>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</si>
  <si>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</si>
  <si>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</si>
  <si>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</si>
  <si>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</si>
  <si>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</si>
  <si>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</si>
  <si>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</si>
  <si>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</si>
  <si>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</si>
  <si>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</si>
  <si>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</si>
  <si>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</si>
  <si>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</si>
  <si>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</si>
  <si>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</si>
  <si>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</si>
  <si>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</si>
  <si>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</si>
  <si>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</si>
  <si>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</si>
  <si>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</si>
  <si>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</si>
  <si>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</si>
  <si>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</si>
  <si>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</si>
  <si>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</si>
  <si>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</si>
  <si>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</si>
  <si>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</si>
  <si>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</si>
  <si>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</si>
  <si>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</si>
  <si>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</si>
  <si>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</si>
  <si>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</si>
  <si>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</si>
  <si>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</si>
  <si>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</si>
  <si>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</si>
  <si>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</si>
  <si>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</si>
  <si>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</si>
  <si>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</si>
  <si>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</si>
  <si>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</si>
  <si>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</si>
  <si>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</si>
  <si>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</si>
  <si>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</si>
  <si>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</si>
  <si>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</si>
  <si>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</si>
  <si>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</si>
  <si>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</si>
  <si>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</si>
  <si>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</si>
  <si>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</si>
  <si>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</si>
  <si>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</si>
  <si>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</si>
  <si>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</si>
  <si>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</si>
  <si>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</si>
  <si>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</si>
  <si>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</si>
  <si>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</si>
  <si>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</si>
  <si>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</si>
  <si>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</si>
  <si>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</si>
  <si>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</si>
  <si>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</si>
  <si>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</si>
  <si>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</si>
  <si>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</si>
  <si>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</si>
  <si>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</si>
  <si>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</si>
  <si>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</si>
  <si>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</si>
  <si>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</si>
  <si>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</si>
  <si>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</si>
  <si>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</si>
  <si>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</si>
  <si>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</si>
  <si>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</si>
  <si>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</si>
  <si>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</si>
  <si>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</si>
  <si>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</si>
  <si>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</si>
  <si>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</si>
  <si>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</si>
  <si>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</si>
  <si>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</si>
  <si>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</si>
  <si>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</si>
  <si>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</si>
  <si>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</si>
  <si>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</si>
  <si>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</si>
  <si>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</si>
  <si>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</si>
  <si>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</si>
  <si>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</si>
  <si>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</si>
  <si>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</si>
  <si>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</si>
  <si>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</si>
  <si>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</si>
  <si>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</si>
  <si>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</si>
  <si>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</si>
  <si>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</si>
  <si>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</si>
  <si>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</si>
  <si>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</si>
  <si>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</si>
  <si>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</si>
  <si>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</si>
  <si>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</si>
  <si>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</si>
  <si>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</si>
  <si>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</si>
  <si>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</si>
  <si>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</si>
  <si>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</si>
  <si>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</si>
  <si>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</si>
  <si>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</si>
  <si>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</si>
  <si>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</si>
  <si>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</si>
  <si>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</si>
  <si>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</si>
  <si>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</si>
  <si>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</si>
  <si>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</si>
  <si>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</si>
  <si>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</si>
  <si>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</si>
  <si>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</si>
  <si>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</si>
  <si>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</si>
  <si>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</si>
  <si>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</si>
  <si>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</si>
  <si>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</si>
  <si>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</si>
  <si>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</si>
  <si>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</si>
  <si>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</si>
  <si>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</si>
  <si>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</si>
  <si>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</si>
  <si>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</si>
  <si>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</si>
  <si>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</si>
  <si>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</si>
  <si>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</si>
  <si>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</si>
  <si>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</si>
  <si>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</si>
  <si>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</si>
  <si>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</si>
  <si>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</si>
  <si>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</si>
  <si>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</si>
  <si>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</si>
  <si>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</si>
  <si>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</si>
  <si>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</si>
  <si>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</si>
  <si>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</si>
  <si>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MTD Batch No.</t>
  </si>
  <si>
    <t>12798M</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</si>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</sst>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4">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00">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3.xml"/><Relationship Id="rId3" Type="http://schemas.openxmlformats.org/officeDocument/2006/relationships/worksheet" Target="worksheets/sheet1.xml"/><Relationship Id="rId21" Type="http://schemas.openxmlformats.org/officeDocument/2006/relationships/styles" Target="style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2.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connections" Target="connections.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ustomXml" Target="../customXml/item1.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alcChain" Target="calcChain.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theme" Target="theme/theme1.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#N/A</c:v>
                </c:pt>
                <c:pt idx="1">
                  <c:v>#N/A</c:v>
                </c:pt>
                <c:pt idx="2">
                  <c:v>#N/A</c:v>
                </c:pt>
                <c:pt idx="3">
                  <c:v>#N/A</c:v>
                </c:pt>
                <c:pt idx="4">
                  <c:v>#N/A</c:v>
                </c:pt>
                <c:pt idx="5">
                  <c:v>#N/A</c:v>
                </c:pt>
                <c:pt idx="6">
                  <c:v>#N/A</c:v>
                </c:pt>
                <c:pt idx="7">
                  <c:v>#N/A</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75</xdr:row>
      <xdr:rowOff>142875</xdr:rowOff>
    </xdr:from>
    <xdr:to>
      <xdr:col>5</xdr:col>
      <xdr:colOff>304800</xdr:colOff>
      <xdr:row>111</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H1:I144"/>
  <sheetViews>
    <sheetView tabSelected="1" topLeftCell="A54" workbookViewId="0">
      <selection activeCell="B60" sqref="B60"/>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8:9" x14ac:dyDescent="0.35">
      <c r="H1" s="154"/>
    </row>
    <row r="2" spans="8:9" x14ac:dyDescent="0.35">
      <c r="H2" s="154"/>
      <c r="I2" s="154"/>
    </row>
    <row r="3" spans="8:9" x14ac:dyDescent="0.35">
      <c r="H3" s="154"/>
      <c r="I3" s="154"/>
    </row>
    <row r="4" spans="8:9" x14ac:dyDescent="0.35">
      <c r="H4" s="154"/>
    </row>
    <row r="5" spans="8:9" x14ac:dyDescent="0.35">
      <c r="H5" s="154"/>
      <c r="I5" s="154"/>
    </row>
    <row r="6" spans="8:9" x14ac:dyDescent="0.35">
      <c r="H6" s="154"/>
      <c r="I6" s="154"/>
    </row>
    <row r="7" spans="8:9" x14ac:dyDescent="0.35">
      <c r="H7" s="154"/>
      <c r="I7" s="154"/>
    </row>
    <row r="8" spans="8:9" x14ac:dyDescent="0.35">
      <c r="H8" s="154"/>
      <c r="I8" s="154"/>
    </row>
    <row r="9" spans="8:9" x14ac:dyDescent="0.35">
      <c r="H9" s="154"/>
      <c r="I9" s="154"/>
    </row>
    <row r="10" spans="8:9" x14ac:dyDescent="0.35">
      <c r="H10" s="154"/>
      <c r="I10" s="154"/>
    </row>
    <row r="11" spans="8:9" x14ac:dyDescent="0.35">
      <c r="H11" s="154"/>
      <c r="I11" s="154"/>
    </row>
    <row r="12" spans="8:9" x14ac:dyDescent="0.35">
      <c r="H12" s="154"/>
      <c r="I12" s="154"/>
    </row>
    <row r="13" spans="8:9" x14ac:dyDescent="0.35">
      <c r="H13" s="154"/>
      <c r="I13" s="154"/>
    </row>
    <row r="14" spans="8:9" x14ac:dyDescent="0.35">
      <c r="H14" s="154"/>
      <c r="I14" s="154"/>
    </row>
    <row r="15" spans="8:9" x14ac:dyDescent="0.35">
      <c r="H15" s="154"/>
      <c r="I15" s="154"/>
    </row>
    <row r="16" spans="8:9" x14ac:dyDescent="0.35">
      <c r="H16" s="154"/>
      <c r="I16" s="154"/>
    </row>
    <row r="17" spans="8:9" x14ac:dyDescent="0.35">
      <c r="H17" s="154"/>
      <c r="I17" s="154"/>
    </row>
    <row r="18" spans="8:9" x14ac:dyDescent="0.35">
      <c r="H18" s="154"/>
      <c r="I18" s="154"/>
    </row>
    <row r="19" spans="8:9" x14ac:dyDescent="0.35">
      <c r="H19" s="154"/>
      <c r="I19" s="154"/>
    </row>
    <row r="20" spans="8:9" x14ac:dyDescent="0.35">
      <c r="H20" s="154"/>
      <c r="I20" s="154"/>
    </row>
    <row r="21" spans="8:9" x14ac:dyDescent="0.35">
      <c r="H21" s="154"/>
      <c r="I21" s="154"/>
    </row>
    <row r="22" spans="8:9" x14ac:dyDescent="0.35">
      <c r="H22" s="154"/>
      <c r="I22" s="154"/>
    </row>
    <row r="23" spans="8:9" x14ac:dyDescent="0.35">
      <c r="H23" s="154"/>
      <c r="I23" s="154"/>
    </row>
    <row r="24" spans="8:9" x14ac:dyDescent="0.35">
      <c r="H24" s="154"/>
      <c r="I24" s="154"/>
    </row>
    <row r="25" spans="8:9" x14ac:dyDescent="0.35">
      <c r="H25" s="154"/>
      <c r="I25" s="154"/>
    </row>
    <row r="26" spans="8:9" x14ac:dyDescent="0.35">
      <c r="H26" s="154"/>
      <c r="I26" s="154"/>
    </row>
    <row r="27" spans="8:9" x14ac:dyDescent="0.35">
      <c r="H27" s="154"/>
      <c r="I27" s="154"/>
    </row>
    <row r="28" spans="8:9" x14ac:dyDescent="0.35">
      <c r="H28" s="154"/>
      <c r="I28" s="154"/>
    </row>
    <row r="29" spans="8:9" x14ac:dyDescent="0.35">
      <c r="H29" s="154"/>
      <c r="I29" s="154"/>
    </row>
    <row r="30" spans="8:9" x14ac:dyDescent="0.35">
      <c r="H30" s="154"/>
      <c r="I30" s="154"/>
    </row>
    <row r="31" spans="8:9" x14ac:dyDescent="0.35">
      <c r="H31" s="154"/>
      <c r="I31" s="154"/>
    </row>
    <row r="32" spans="8:9" x14ac:dyDescent="0.35">
      <c r="H32" s="154"/>
      <c r="I32" s="154"/>
    </row>
    <row r="33" spans="8:9" x14ac:dyDescent="0.35">
      <c r="H33" s="154"/>
      <c r="I33" s="154"/>
    </row>
    <row r="34" spans="8:9" x14ac:dyDescent="0.35">
      <c r="H34" s="154"/>
      <c r="I34" s="154"/>
    </row>
    <row r="35" spans="8:9" x14ac:dyDescent="0.35">
      <c r="H35" s="154"/>
      <c r="I35" s="154"/>
    </row>
    <row r="36" spans="8:9" x14ac:dyDescent="0.35">
      <c r="H36" s="154"/>
      <c r="I36" s="154"/>
    </row>
    <row r="37" spans="8:9" x14ac:dyDescent="0.35">
      <c r="H37" s="154"/>
      <c r="I37" s="154"/>
    </row>
    <row r="38" spans="8:9" x14ac:dyDescent="0.35">
      <c r="H38" s="154"/>
      <c r="I38" s="154"/>
    </row>
    <row r="39" spans="8:9" x14ac:dyDescent="0.35">
      <c r="H39" s="154"/>
      <c r="I39" s="154"/>
    </row>
    <row r="40" spans="8:9" x14ac:dyDescent="0.35">
      <c r="H40" s="154"/>
      <c r="I40" s="154"/>
    </row>
    <row r="41" spans="8:9" x14ac:dyDescent="0.35">
      <c r="H41" s="154"/>
      <c r="I41" s="154"/>
    </row>
    <row r="42" spans="8:9" x14ac:dyDescent="0.35">
      <c r="H42" s="154"/>
      <c r="I42" s="154"/>
    </row>
    <row r="43" spans="8:9" x14ac:dyDescent="0.35">
      <c r="H43" s="154"/>
      <c r="I43" s="154"/>
    </row>
    <row r="44" spans="8:9" x14ac:dyDescent="0.35">
      <c r="H44" s="154"/>
      <c r="I44" s="154"/>
    </row>
    <row r="45" spans="8:9" x14ac:dyDescent="0.35">
      <c r="H45" s="154"/>
      <c r="I45" s="154"/>
    </row>
    <row r="46" spans="8:9" x14ac:dyDescent="0.35">
      <c r="H46" s="154"/>
      <c r="I46" s="154"/>
    </row>
    <row r="47" spans="8:9" x14ac:dyDescent="0.35">
      <c r="H47" s="154"/>
      <c r="I47" s="154"/>
    </row>
    <row r="48" spans="8:9" x14ac:dyDescent="0.35">
      <c r="H48" s="154"/>
      <c r="I48" s="154"/>
    </row>
    <row r="49" spans="8:9" x14ac:dyDescent="0.35">
      <c r="H49" s="154"/>
      <c r="I49" s="154"/>
    </row>
    <row r="50" spans="8:9" x14ac:dyDescent="0.35">
      <c r="H50" s="154"/>
      <c r="I50" s="154"/>
    </row>
    <row r="51" spans="8:9" x14ac:dyDescent="0.35">
      <c r="H51" s="154"/>
      <c r="I51" s="154"/>
    </row>
    <row r="52" spans="8:9" x14ac:dyDescent="0.35">
      <c r="H52" s="154"/>
      <c r="I52" s="154"/>
    </row>
    <row r="53" spans="8:9" x14ac:dyDescent="0.35">
      <c r="H53" s="154"/>
      <c r="I53" s="154"/>
    </row>
    <row r="54" spans="8:9" x14ac:dyDescent="0.35">
      <c r="H54" s="154"/>
      <c r="I54" s="154"/>
    </row>
    <row r="55" spans="8:9" x14ac:dyDescent="0.35">
      <c r="H55" s="154"/>
      <c r="I55" s="154"/>
    </row>
    <row r="56" spans="8:9" x14ac:dyDescent="0.35">
      <c r="H56" s="154"/>
      <c r="I56" s="154"/>
    </row>
    <row r="57" spans="8:9" x14ac:dyDescent="0.35">
      <c r="H57" s="154"/>
      <c r="I57" s="154"/>
    </row>
    <row r="58" spans="8:9" x14ac:dyDescent="0.35">
      <c r="H58" s="154"/>
    </row>
    <row r="59" spans="8:9" x14ac:dyDescent="0.35">
      <c r="H59" s="154"/>
      <c r="I59" s="154"/>
    </row>
    <row r="60" spans="8:9" x14ac:dyDescent="0.35">
      <c r="H60" s="154"/>
      <c r="I60" s="154"/>
    </row>
    <row r="61" spans="8:9" x14ac:dyDescent="0.35">
      <c r="H61" s="154"/>
      <c r="I61" s="154"/>
    </row>
    <row r="62" spans="8:9" x14ac:dyDescent="0.35">
      <c r="H62" s="154"/>
      <c r="I62" s="154"/>
    </row>
    <row r="63" spans="8:9" x14ac:dyDescent="0.35">
      <c r="H63" s="154"/>
      <c r="I63" s="154"/>
    </row>
    <row r="64" spans="8:9" x14ac:dyDescent="0.35">
      <c r="H64" s="154"/>
      <c r="I64" s="154"/>
    </row>
    <row r="65" spans="8:9" x14ac:dyDescent="0.35">
      <c r="H65" s="154"/>
      <c r="I65" s="154"/>
    </row>
    <row r="66" spans="8:9" x14ac:dyDescent="0.35">
      <c r="H66" s="154"/>
      <c r="I66" s="154"/>
    </row>
    <row r="67" spans="8:9" x14ac:dyDescent="0.35">
      <c r="H67" s="154"/>
      <c r="I67" s="154"/>
    </row>
    <row r="68" spans="8:9" x14ac:dyDescent="0.35">
      <c r="H68" s="154"/>
      <c r="I68" s="154"/>
    </row>
    <row r="69" spans="8:9" x14ac:dyDescent="0.35">
      <c r="H69" s="154"/>
      <c r="I69" s="154"/>
    </row>
    <row r="70" spans="8:9" x14ac:dyDescent="0.35">
      <c r="H70" s="154"/>
      <c r="I70" s="154"/>
    </row>
    <row r="71" spans="8:9" x14ac:dyDescent="0.35">
      <c r="H71" s="154"/>
      <c r="I71" s="154"/>
    </row>
    <row r="72" spans="8:9" x14ac:dyDescent="0.35">
      <c r="H72" s="154"/>
      <c r="I72" s="154"/>
    </row>
    <row r="73" spans="8:9" x14ac:dyDescent="0.35">
      <c r="H73" s="154"/>
      <c r="I73" s="154"/>
    </row>
    <row r="74" spans="8:9" x14ac:dyDescent="0.35">
      <c r="H74" s="154"/>
      <c r="I74" s="154"/>
    </row>
    <row r="75" spans="8:9" x14ac:dyDescent="0.35">
      <c r="H75" s="154"/>
    </row>
    <row r="76" spans="8:9" x14ac:dyDescent="0.35">
      <c r="H76" s="154"/>
      <c r="I76" s="154"/>
    </row>
    <row r="77" spans="8:9" x14ac:dyDescent="0.35">
      <c r="H77" s="154"/>
    </row>
    <row r="78" spans="8:9" x14ac:dyDescent="0.35">
      <c r="H78" s="154"/>
      <c r="I78" s="154"/>
    </row>
    <row r="79" spans="8:9" x14ac:dyDescent="0.35">
      <c r="H79" s="154"/>
      <c r="I79" s="154"/>
    </row>
    <row r="80" spans="8:9" x14ac:dyDescent="0.35">
      <c r="H80" s="154"/>
      <c r="I80" s="154"/>
    </row>
    <row r="81" spans="8:9" x14ac:dyDescent="0.35">
      <c r="H81" s="154"/>
      <c r="I81" s="154"/>
    </row>
    <row r="82" spans="8:9" x14ac:dyDescent="0.35">
      <c r="H82" s="154"/>
      <c r="I82" s="154"/>
    </row>
    <row r="83" spans="8:9" x14ac:dyDescent="0.35">
      <c r="H83" s="154"/>
      <c r="I83" s="154"/>
    </row>
    <row r="84" spans="8:9" x14ac:dyDescent="0.35">
      <c r="H84" s="154"/>
    </row>
    <row r="85" spans="8:9" x14ac:dyDescent="0.35">
      <c r="H85" s="154"/>
      <c r="I85" s="154"/>
    </row>
    <row r="86" spans="8:9" x14ac:dyDescent="0.35">
      <c r="H86" s="154"/>
      <c r="I86" s="154"/>
    </row>
    <row r="87" spans="8:9" x14ac:dyDescent="0.35">
      <c r="H87" s="154"/>
    </row>
    <row r="88" spans="8:9" x14ac:dyDescent="0.35">
      <c r="H88" s="154"/>
      <c r="I88" s="154"/>
    </row>
    <row r="89" spans="8:9" x14ac:dyDescent="0.35">
      <c r="H89" s="154"/>
      <c r="I89" s="154"/>
    </row>
    <row r="90" spans="8:9" x14ac:dyDescent="0.35">
      <c r="H90" s="154"/>
      <c r="I90" s="154"/>
    </row>
    <row r="91" spans="8:9" x14ac:dyDescent="0.35">
      <c r="H91" s="154"/>
      <c r="I91" s="154"/>
    </row>
    <row r="92" spans="8:9" x14ac:dyDescent="0.35">
      <c r="H92" s="154"/>
      <c r="I92" s="154"/>
    </row>
    <row r="93" spans="8:9" x14ac:dyDescent="0.35">
      <c r="H93" s="154"/>
      <c r="I93" s="154"/>
    </row>
    <row r="94" spans="8:9" x14ac:dyDescent="0.35">
      <c r="H94" s="154"/>
      <c r="I94" s="154"/>
    </row>
    <row r="95" spans="8:9" x14ac:dyDescent="0.35">
      <c r="H95" s="154"/>
      <c r="I95" s="154"/>
    </row>
    <row r="96" spans="8:9" x14ac:dyDescent="0.35">
      <c r="H96" s="154"/>
      <c r="I96" s="154"/>
    </row>
    <row r="97" spans="8:9" x14ac:dyDescent="0.35">
      <c r="H97" s="154"/>
      <c r="I97" s="154"/>
    </row>
    <row r="98" spans="8:9" x14ac:dyDescent="0.35">
      <c r="H98" s="154"/>
      <c r="I98" s="154"/>
    </row>
    <row r="99" spans="8:9" x14ac:dyDescent="0.35">
      <c r="H99" s="154"/>
      <c r="I99" s="154"/>
    </row>
    <row r="100" spans="8:9" x14ac:dyDescent="0.35">
      <c r="H100" s="154"/>
      <c r="I100" s="154"/>
    </row>
    <row r="101" spans="8:9" x14ac:dyDescent="0.35">
      <c r="H101" s="154"/>
      <c r="I101" s="154"/>
    </row>
    <row r="102" spans="8:9" x14ac:dyDescent="0.35">
      <c r="H102" s="154"/>
      <c r="I102" s="154"/>
    </row>
    <row r="103" spans="8:9" x14ac:dyDescent="0.35">
      <c r="H103" s="154"/>
      <c r="I103" s="154"/>
    </row>
    <row r="104" spans="8:9" x14ac:dyDescent="0.35">
      <c r="H104" s="154"/>
      <c r="I104" s="154"/>
    </row>
    <row r="105" spans="8:9" x14ac:dyDescent="0.35">
      <c r="H105" s="154"/>
      <c r="I105" s="154"/>
    </row>
    <row r="106" spans="8:9" x14ac:dyDescent="0.35">
      <c r="H106" s="154"/>
      <c r="I106" s="154"/>
    </row>
    <row r="107" spans="8:9" x14ac:dyDescent="0.35">
      <c r="H107" s="154"/>
      <c r="I107" s="154"/>
    </row>
    <row r="108" spans="8:9" x14ac:dyDescent="0.35">
      <c r="H108" s="154"/>
      <c r="I108" s="154"/>
    </row>
    <row r="109" spans="8:9" x14ac:dyDescent="0.35">
      <c r="H109" s="154"/>
      <c r="I109" s="154"/>
    </row>
    <row r="110" spans="8:9" x14ac:dyDescent="0.35">
      <c r="H110" s="154"/>
      <c r="I110" s="154"/>
    </row>
    <row r="111" spans="8:9" x14ac:dyDescent="0.35">
      <c r="H111" s="154"/>
      <c r="I111" s="154"/>
    </row>
    <row r="112" spans="8:9" x14ac:dyDescent="0.35">
      <c r="H112" s="154"/>
      <c r="I112" s="154"/>
    </row>
    <row r="113" spans="8:9" x14ac:dyDescent="0.35">
      <c r="H113" s="154"/>
      <c r="I113" s="154"/>
    </row>
    <row r="114" spans="8:9" x14ac:dyDescent="0.35">
      <c r="H114" s="154"/>
      <c r="I114" s="154"/>
    </row>
    <row r="115" spans="8:9" x14ac:dyDescent="0.35">
      <c r="H115" s="154"/>
      <c r="I115" s="154"/>
    </row>
    <row r="116" spans="8:9" x14ac:dyDescent="0.35">
      <c r="H116" s="154"/>
      <c r="I116" s="154"/>
    </row>
    <row r="117" spans="8:9" x14ac:dyDescent="0.35">
      <c r="H117" s="154"/>
      <c r="I117" s="154"/>
    </row>
    <row r="118" spans="8:9" x14ac:dyDescent="0.35">
      <c r="H118" s="154"/>
      <c r="I118" s="154"/>
    </row>
    <row r="119" spans="8:9" x14ac:dyDescent="0.35">
      <c r="H119" s="154"/>
      <c r="I119" s="154"/>
    </row>
    <row r="120" spans="8:9" x14ac:dyDescent="0.35">
      <c r="H120" s="154"/>
      <c r="I120" s="154"/>
    </row>
    <row r="121" spans="8:9" x14ac:dyDescent="0.35">
      <c r="H121" s="154"/>
      <c r="I121" s="154"/>
    </row>
    <row r="122" spans="8:9" x14ac:dyDescent="0.35">
      <c r="H122" s="154"/>
      <c r="I122" s="154"/>
    </row>
    <row r="123" spans="8:9" x14ac:dyDescent="0.35">
      <c r="H123" s="154"/>
      <c r="I123" s="154"/>
    </row>
    <row r="124" spans="8:9" x14ac:dyDescent="0.35">
      <c r="H124" s="154"/>
      <c r="I124" s="154"/>
    </row>
    <row r="125" spans="8:9" x14ac:dyDescent="0.35">
      <c r="H125" s="154"/>
      <c r="I125" s="154"/>
    </row>
    <row r="126" spans="8:9" x14ac:dyDescent="0.35">
      <c r="H126" s="154"/>
      <c r="I126" s="154"/>
    </row>
    <row r="127" spans="8:9" x14ac:dyDescent="0.35">
      <c r="H127" s="154"/>
      <c r="I127" s="154"/>
    </row>
    <row r="128" spans="8:9" x14ac:dyDescent="0.35">
      <c r="H128" s="154"/>
      <c r="I128" s="154"/>
    </row>
    <row r="129" spans="8:9" x14ac:dyDescent="0.35">
      <c r="H129" s="154"/>
      <c r="I129" s="154"/>
    </row>
    <row r="130" spans="8:9" x14ac:dyDescent="0.35">
      <c r="H130" s="154"/>
      <c r="I130" s="155"/>
    </row>
    <row r="131" spans="8:9" x14ac:dyDescent="0.35">
      <c r="H131" s="154"/>
      <c r="I131" s="154"/>
    </row>
    <row r="132" spans="8:9" x14ac:dyDescent="0.35">
      <c r="H132" s="154"/>
      <c r="I132" s="154"/>
    </row>
    <row r="133" spans="8:9" x14ac:dyDescent="0.35">
      <c r="H133" s="154"/>
      <c r="I133" s="154"/>
    </row>
    <row r="134" spans="8:9" x14ac:dyDescent="0.35">
      <c r="H134" s="154"/>
      <c r="I134" s="154"/>
    </row>
    <row r="135" spans="8:9" x14ac:dyDescent="0.35">
      <c r="H135" s="154"/>
      <c r="I135" s="154"/>
    </row>
    <row r="136" spans="8:9" x14ac:dyDescent="0.35">
      <c r="H136" s="154"/>
      <c r="I136" s="154"/>
    </row>
    <row r="137" spans="8:9" x14ac:dyDescent="0.35">
      <c r="H137" s="154"/>
      <c r="I137" s="154"/>
    </row>
    <row r="138" spans="8:9" x14ac:dyDescent="0.35">
      <c r="H138" s="154"/>
      <c r="I138" s="154"/>
    </row>
    <row r="139" spans="8:9" x14ac:dyDescent="0.35">
      <c r="H139" s="154"/>
      <c r="I139" s="154"/>
    </row>
    <row r="140" spans="8:9" x14ac:dyDescent="0.35">
      <c r="H140" s="154"/>
      <c r="I140" s="154"/>
    </row>
    <row r="141" spans="8:9" x14ac:dyDescent="0.35">
      <c r="H141" s="154"/>
      <c r="I141" s="154"/>
    </row>
    <row r="142" spans="8:9" x14ac:dyDescent="0.35">
      <c r="H142" s="154"/>
      <c r="I142" s="154"/>
    </row>
    <row r="143" spans="8:9" x14ac:dyDescent="0.35">
      <c r="H143" s="154"/>
      <c r="I143" s="154"/>
    </row>
    <row r="144" spans="8:9" x14ac:dyDescent="0.35">
      <c r="H144" s="154"/>
      <c r="I144" s="15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60" zoomScale="85" zoomScaleNormal="85" zoomScaleSheetLayoutView="100" workbookViewId="0">
      <selection activeCell="A90" sqref="A90"/>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700</v>
      </c>
    </row>
    <row r="3" spans="1:24" ht="15" customHeight="1" x14ac:dyDescent="0.4">
      <c r="B3" s="203" t="s">
        <v>24</v>
      </c>
      <c r="C3" s="341" t="s">
        <v>25</v>
      </c>
      <c r="D3" s="342"/>
      <c r="E3" s="342"/>
      <c r="F3" s="342"/>
      <c r="G3" s="342"/>
      <c r="H3" s="342"/>
      <c r="I3" s="342"/>
      <c r="J3" s="342"/>
      <c r="K3" s="342"/>
      <c r="L3" s="342"/>
      <c r="M3" s="342"/>
      <c r="N3" s="342"/>
      <c r="O3" s="342"/>
      <c r="P3" s="342"/>
      <c r="Q3" s="343"/>
      <c r="R3" s="166" t="s">
        <v>701</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702</v>
      </c>
    </row>
    <row r="5" spans="1:24" ht="15" customHeight="1" x14ac:dyDescent="0.35">
      <c r="B5" s="279">
        <f>B4+1</f>
        <v>2</v>
      </c>
      <c r="C5" s="231" t="s">
        <v>30</v>
      </c>
      <c r="D5" s="429" t="e">
        <f>'Auto-Calibration record'!H15</f>
        <v>#N/A</v>
      </c>
      <c r="E5" s="204" t="e">
        <f>IF(D5="20","0",IF(D5="PC","00",""))</f>
        <v>#N/A</v>
      </c>
      <c r="F5" s="213"/>
      <c r="G5" s="333"/>
      <c r="H5" s="213"/>
      <c r="I5" s="333"/>
      <c r="J5" s="213"/>
      <c r="K5" s="211"/>
      <c r="L5" s="346"/>
      <c r="M5" s="211"/>
      <c r="N5" s="211"/>
      <c r="O5" s="211"/>
      <c r="P5" s="211"/>
      <c r="Q5" s="211"/>
      <c r="R5" s="166" t="s">
        <v>703</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8" t="s">
        <v>33</v>
      </c>
      <c r="F6" s="449"/>
      <c r="G6" s="449"/>
      <c r="H6" s="449"/>
      <c r="I6" s="449"/>
      <c r="J6" s="449"/>
      <c r="K6" s="449"/>
      <c r="L6" s="449"/>
      <c r="M6" s="449"/>
      <c r="N6" s="449"/>
      <c r="O6" s="449"/>
      <c r="P6" s="449"/>
      <c r="Q6" s="211"/>
      <c r="R6" s="166" t="s">
        <v>704</v>
      </c>
      <c r="S6" s="217">
        <v>0</v>
      </c>
      <c r="T6" s="217">
        <v>0</v>
      </c>
      <c r="U6" s="217" t="s">
        <v>34</v>
      </c>
      <c r="V6" s="217">
        <v>0</v>
      </c>
      <c r="W6" s="217"/>
      <c r="X6" s="217">
        <v>2</v>
      </c>
    </row>
    <row r="7" spans="1:24" ht="15" customHeight="1" x14ac:dyDescent="0.35">
      <c r="A7" s="219" t="b">
        <v>0</v>
      </c>
      <c r="B7" s="279">
        <f t="shared" si="0"/>
        <v>4</v>
      </c>
      <c r="C7" s="348" t="s">
        <v>35</v>
      </c>
      <c r="D7" s="208"/>
      <c r="E7" s="450"/>
      <c r="F7" s="451"/>
      <c r="G7" s="451"/>
      <c r="H7" s="451"/>
      <c r="I7" s="451"/>
      <c r="J7" s="451"/>
      <c r="K7" s="451"/>
      <c r="L7" s="451"/>
      <c r="M7" s="451"/>
      <c r="N7" s="451"/>
      <c r="O7" s="451"/>
      <c r="P7" s="451"/>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2" t="s">
        <v>40</v>
      </c>
      <c r="F8" s="453"/>
      <c r="G8" s="453"/>
      <c r="H8" s="453"/>
      <c r="I8" s="453"/>
      <c r="J8" s="453"/>
      <c r="K8" s="453"/>
      <c r="L8" s="453"/>
      <c r="M8" s="453"/>
      <c r="N8" s="453"/>
      <c r="O8" s="453"/>
      <c r="P8" s="453"/>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6"/>
      <c r="F9" s="447"/>
      <c r="G9" s="447"/>
      <c r="H9" s="447"/>
      <c r="I9" s="447"/>
      <c r="J9" s="447"/>
      <c r="K9" s="447"/>
      <c r="L9" s="447"/>
      <c r="M9" s="447"/>
      <c r="N9" s="447"/>
      <c r="O9" s="447"/>
      <c r="P9" s="447"/>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6"/>
      <c r="F10" s="447"/>
      <c r="G10" s="447"/>
      <c r="H10" s="447"/>
      <c r="I10" s="447"/>
      <c r="J10" s="447"/>
      <c r="K10" s="447"/>
      <c r="L10" s="447"/>
      <c r="M10" s="447"/>
      <c r="N10" s="447"/>
      <c r="O10" s="447"/>
      <c r="P10" s="447"/>
      <c r="Q10" s="211"/>
      <c r="R10" s="166" t="s">
        <v>706</v>
      </c>
    </row>
    <row r="11" spans="1:24" ht="15" hidden="1" customHeight="1" x14ac:dyDescent="0.35">
      <c r="A11" s="219" t="b">
        <v>0</v>
      </c>
      <c r="B11" s="279">
        <f t="shared" si="0"/>
        <v>8</v>
      </c>
      <c r="C11" s="231" t="s">
        <v>45</v>
      </c>
      <c r="D11" s="301"/>
      <c r="E11" s="446"/>
      <c r="F11" s="447"/>
      <c r="G11" s="447"/>
      <c r="H11" s="447"/>
      <c r="I11" s="447"/>
      <c r="J11" s="447"/>
      <c r="K11" s="447"/>
      <c r="L11" s="447"/>
      <c r="M11" s="447"/>
      <c r="N11" s="447"/>
      <c r="O11" s="447"/>
      <c r="P11" s="447"/>
      <c r="Q11" s="211"/>
      <c r="R11" s="166" t="s">
        <v>46</v>
      </c>
    </row>
    <row r="12" spans="1:24" ht="15" customHeight="1" x14ac:dyDescent="0.35">
      <c r="A12" s="219" t="b">
        <v>0</v>
      </c>
      <c r="B12" s="279">
        <f>B11+1</f>
        <v>9</v>
      </c>
      <c r="C12" s="231" t="s">
        <v>47</v>
      </c>
      <c r="D12" s="208"/>
      <c r="E12" s="454"/>
      <c r="F12" s="455"/>
      <c r="G12" s="455"/>
      <c r="H12" s="455"/>
      <c r="I12" s="455"/>
      <c r="J12" s="455"/>
      <c r="K12" s="455"/>
      <c r="L12" s="455"/>
      <c r="M12" s="455"/>
      <c r="N12" s="455"/>
      <c r="O12" s="455"/>
      <c r="P12" s="455"/>
      <c r="Q12" s="211" t="str">
        <f>IF(A12=TRUE,"Item is considered warranty, requires QC control on NCR","")</f>
        <v/>
      </c>
      <c r="R12" s="166"/>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56"/>
      <c r="F14" s="456"/>
      <c r="G14" s="456"/>
      <c r="H14" s="456"/>
      <c r="I14" s="456"/>
      <c r="J14" s="456"/>
      <c r="K14" s="456"/>
      <c r="L14" s="456"/>
      <c r="M14" s="456"/>
      <c r="N14" s="456"/>
      <c r="O14" s="456"/>
      <c r="P14" s="456"/>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63" t="s">
        <v>53</v>
      </c>
      <c r="D19" s="463"/>
      <c r="E19" s="463"/>
      <c r="F19" s="463"/>
      <c r="G19" s="463"/>
      <c r="H19" s="463"/>
      <c r="I19" s="463"/>
      <c r="J19" s="463"/>
      <c r="K19" s="463"/>
      <c r="L19" s="463"/>
      <c r="M19" s="463"/>
      <c r="N19" s="463"/>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63" t="s">
        <v>65</v>
      </c>
      <c r="D30" s="463"/>
      <c r="E30" s="463"/>
      <c r="F30" s="463"/>
      <c r="G30" s="463"/>
      <c r="H30" s="463"/>
      <c r="I30" s="463"/>
      <c r="J30" s="463"/>
      <c r="K30" s="463"/>
      <c r="L30" s="463"/>
      <c r="M30" s="463"/>
      <c r="N30" s="463"/>
    </row>
    <row r="31" spans="1:23" ht="15" customHeight="1" x14ac:dyDescent="0.35">
      <c r="A31" s="219" t="b">
        <v>1</v>
      </c>
      <c r="B31" s="279">
        <f>B29+1</f>
        <v>25</v>
      </c>
      <c r="C31" s="185" t="s">
        <v>66</v>
      </c>
      <c r="D31" s="365"/>
      <c r="E31" s="433" t="s">
        <v>67</v>
      </c>
      <c r="F31" s="433"/>
      <c r="G31" s="439" t="str">
        <f>IF($D$31=$D$10,"ON TIME",IF($D$31&gt;$D$10,"LATE",IF($D$31&lt;$D$10,"EARLY")))</f>
        <v>ON TIME</v>
      </c>
      <c r="H31" s="439"/>
      <c r="I31" s="439"/>
      <c r="J31" s="439"/>
      <c r="K31" s="439"/>
      <c r="L31" s="439"/>
      <c r="M31" s="439"/>
      <c r="N31" s="439"/>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64"/>
      <c r="F55" s="464"/>
      <c r="G55" s="464"/>
      <c r="H55" s="464"/>
      <c r="I55" s="464"/>
      <c r="J55" s="464"/>
      <c r="K55" s="464"/>
      <c r="L55" s="464"/>
      <c r="M55" s="464"/>
      <c r="N55" s="464"/>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705</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5" t="s">
        <v>127</v>
      </c>
      <c r="D75" s="435"/>
      <c r="E75" s="435"/>
      <c r="F75" s="435"/>
      <c r="G75" s="435"/>
      <c r="H75" s="435"/>
      <c r="I75" s="435"/>
      <c r="J75" s="435"/>
      <c r="K75" s="435"/>
      <c r="L75" s="435"/>
      <c r="M75" s="435"/>
      <c r="N75" s="435"/>
      <c r="O75" s="435"/>
      <c r="P75" s="226"/>
    </row>
    <row r="76" spans="1:18" s="213" customFormat="1" ht="14.25" x14ac:dyDescent="0.35">
      <c r="A76" s="219" t="b">
        <v>0</v>
      </c>
      <c r="B76" s="279" t="e">
        <f>B74+1</f>
        <v>#REF!</v>
      </c>
      <c r="C76" s="232"/>
      <c r="D76" s="233" t="s">
        <v>690</v>
      </c>
      <c r="E76" s="456"/>
      <c r="F76" s="456"/>
      <c r="G76" s="456"/>
      <c r="H76" s="456"/>
      <c r="I76" s="456"/>
      <c r="J76" s="456"/>
      <c r="K76" s="456"/>
      <c r="L76" s="456"/>
      <c r="M76" s="456"/>
      <c r="N76" s="456"/>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8" t="s">
        <v>691</v>
      </c>
      <c r="F79" s="438"/>
      <c r="G79" s="438"/>
      <c r="H79" s="438"/>
      <c r="I79" s="438"/>
      <c r="J79" s="438"/>
      <c r="K79" s="438"/>
      <c r="L79" s="438"/>
      <c r="M79" s="438"/>
      <c r="N79" s="438"/>
      <c r="O79" s="211"/>
      <c r="P79" s="209"/>
    </row>
    <row r="80" spans="1:18" s="213" customFormat="1" ht="14.25" x14ac:dyDescent="0.4">
      <c r="A80" s="219" t="b">
        <v>1</v>
      </c>
      <c r="B80" s="279" t="e">
        <f t="shared" ref="B80:B105" si="3">B79+1</f>
        <v>#REF!</v>
      </c>
      <c r="C80" s="299" t="s">
        <v>134</v>
      </c>
      <c r="D80" s="212"/>
      <c r="E80" s="456"/>
      <c r="F80" s="456"/>
      <c r="G80" s="456"/>
      <c r="H80" s="456"/>
      <c r="I80" s="456"/>
      <c r="J80" s="456"/>
      <c r="K80" s="456"/>
      <c r="L80" s="456"/>
      <c r="M80" s="456"/>
      <c r="N80" s="456"/>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56"/>
      <c r="F81" s="456"/>
      <c r="G81" s="456"/>
      <c r="H81" s="456"/>
      <c r="I81" s="456"/>
      <c r="J81" s="456"/>
      <c r="K81" s="456"/>
      <c r="L81" s="456"/>
      <c r="M81" s="456"/>
      <c r="N81" s="456"/>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5"/>
      <c r="D82" s="435"/>
      <c r="E82" s="435"/>
      <c r="F82" s="435"/>
      <c r="G82" s="435"/>
      <c r="H82" s="435"/>
      <c r="I82" s="435"/>
      <c r="J82" s="435"/>
      <c r="K82" s="435"/>
      <c r="L82" s="435"/>
      <c r="M82" s="435"/>
      <c r="N82" s="435"/>
      <c r="O82" s="435"/>
      <c r="P82" s="226"/>
    </row>
    <row r="83" spans="1:17" s="213" customFormat="1" ht="14.25" hidden="1" x14ac:dyDescent="0.35">
      <c r="A83" s="219" t="b">
        <v>1</v>
      </c>
      <c r="B83" s="279"/>
      <c r="C83" s="241"/>
      <c r="D83" s="233"/>
      <c r="E83" s="459"/>
      <c r="F83" s="460"/>
      <c r="G83" s="460"/>
      <c r="H83" s="460"/>
      <c r="I83" s="460"/>
      <c r="J83" s="460"/>
      <c r="K83" s="451"/>
      <c r="L83" s="451"/>
      <c r="M83" s="451"/>
      <c r="N83" s="451"/>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8"/>
      <c r="F85" s="438"/>
      <c r="G85" s="438"/>
      <c r="H85" s="438"/>
      <c r="I85" s="438"/>
      <c r="J85" s="438"/>
      <c r="K85" s="438"/>
      <c r="L85" s="438"/>
      <c r="M85" s="438"/>
      <c r="N85" s="438"/>
      <c r="P85" s="209"/>
      <c r="Q85" s="211"/>
    </row>
    <row r="86" spans="1:17" s="213" customFormat="1" ht="14.25" hidden="1" x14ac:dyDescent="0.35">
      <c r="A86" s="219"/>
      <c r="B86" s="279"/>
      <c r="C86" s="241"/>
      <c r="D86" s="240"/>
      <c r="E86" s="433"/>
      <c r="F86" s="433"/>
      <c r="G86" s="433"/>
      <c r="H86" s="433"/>
      <c r="I86" s="433"/>
      <c r="J86" s="433"/>
      <c r="K86" s="465"/>
      <c r="L86" s="465"/>
      <c r="M86" s="465"/>
      <c r="N86" s="465"/>
      <c r="O86" s="211"/>
      <c r="P86" s="209"/>
    </row>
    <row r="87" spans="1:17" s="213" customFormat="1" ht="14.25" hidden="1" x14ac:dyDescent="0.35">
      <c r="A87" s="219"/>
      <c r="B87" s="279"/>
      <c r="C87" s="241"/>
      <c r="D87" s="240"/>
      <c r="E87" s="438"/>
      <c r="F87" s="438"/>
      <c r="G87" s="438"/>
      <c r="H87" s="438"/>
      <c r="I87" s="438"/>
      <c r="J87" s="438"/>
      <c r="K87" s="438"/>
      <c r="L87" s="438"/>
      <c r="M87" s="438"/>
      <c r="N87" s="438"/>
      <c r="P87" s="209"/>
      <c r="Q87" s="211"/>
    </row>
    <row r="88" spans="1:17" s="213" customFormat="1" ht="14.25" hidden="1" x14ac:dyDescent="0.35">
      <c r="A88" s="219"/>
      <c r="B88" s="279"/>
      <c r="C88" s="241"/>
      <c r="D88" s="240"/>
      <c r="E88" s="433"/>
      <c r="F88" s="433"/>
      <c r="G88" s="433"/>
      <c r="H88" s="433"/>
      <c r="I88" s="433"/>
      <c r="J88" s="433"/>
      <c r="K88" s="465"/>
      <c r="L88" s="465"/>
      <c r="M88" s="465"/>
      <c r="N88" s="465"/>
      <c r="P88" s="209"/>
      <c r="Q88" s="211"/>
    </row>
    <row r="89" spans="1:17" s="213" customFormat="1" ht="14.25" x14ac:dyDescent="0.4">
      <c r="A89" s="219" t="b">
        <v>1</v>
      </c>
      <c r="B89" s="279">
        <f t="shared" si="3"/>
        <v>1</v>
      </c>
      <c r="C89" s="299" t="s">
        <v>144</v>
      </c>
      <c r="D89" s="210" t="s">
        <v>23</v>
      </c>
      <c r="E89" s="441"/>
      <c r="F89" s="432"/>
      <c r="G89" s="432"/>
      <c r="H89" s="432"/>
      <c r="I89" s="432"/>
      <c r="J89" s="432"/>
      <c r="K89" s="432"/>
      <c r="L89" s="255"/>
      <c r="M89" s="255"/>
      <c r="N89" s="255"/>
      <c r="O89" s="209"/>
      <c r="P89" s="209"/>
    </row>
    <row r="90" spans="1:17" s="213" customFormat="1" ht="14.25" x14ac:dyDescent="0.4">
      <c r="A90" s="219" t="b">
        <v>0</v>
      </c>
      <c r="B90" s="279">
        <f t="shared" si="3"/>
        <v>2</v>
      </c>
      <c r="C90" s="299" t="s">
        <v>145</v>
      </c>
      <c r="D90" s="372" t="b">
        <v>1</v>
      </c>
      <c r="E90" s="231"/>
      <c r="G90" s="228"/>
      <c r="H90" s="228"/>
      <c r="I90" s="442"/>
      <c r="J90" s="442"/>
      <c r="K90" s="442"/>
      <c r="L90" s="442"/>
      <c r="M90" s="442"/>
      <c r="N90" s="442"/>
      <c r="P90" s="209"/>
    </row>
    <row r="91" spans="1:17" s="213" customFormat="1" ht="14.25" x14ac:dyDescent="0.35">
      <c r="A91" s="219" t="b">
        <v>0</v>
      </c>
      <c r="B91" s="279"/>
      <c r="C91" s="435" t="s">
        <v>146</v>
      </c>
      <c r="D91" s="435"/>
      <c r="E91" s="435"/>
      <c r="F91" s="435"/>
      <c r="G91" s="435"/>
      <c r="H91" s="435"/>
      <c r="I91" s="435"/>
      <c r="J91" s="435"/>
      <c r="K91" s="435"/>
      <c r="L91" s="435"/>
      <c r="M91" s="435"/>
      <c r="N91" s="435"/>
      <c r="O91" s="435"/>
      <c r="P91" s="226"/>
    </row>
    <row r="92" spans="1:17" s="220" customFormat="1" ht="15.75" customHeight="1" x14ac:dyDescent="0.35">
      <c r="A92" s="219" t="b">
        <v>0</v>
      </c>
      <c r="B92" s="279">
        <f>B90+1</f>
        <v>3</v>
      </c>
      <c r="C92" s="228" t="s">
        <v>147</v>
      </c>
      <c r="D92" s="302"/>
      <c r="E92" s="433" t="s">
        <v>67</v>
      </c>
      <c r="F92" s="433"/>
      <c r="G92" s="434" t="str">
        <f>IF(D92=$D$7,"ON TIME",IF(D92&gt;$D$7,"LATE",IF(D92&lt;$D$7,"EARLY")))</f>
        <v>ON TIME</v>
      </c>
      <c r="H92" s="434"/>
      <c r="I92" s="434"/>
      <c r="J92" s="434"/>
      <c r="K92" s="434"/>
      <c r="L92" s="434"/>
      <c r="M92" s="434"/>
      <c r="N92" s="434"/>
      <c r="O92" s="238"/>
      <c r="P92" s="238"/>
    </row>
    <row r="93" spans="1:17" s="213" customFormat="1" ht="14.25" x14ac:dyDescent="0.35">
      <c r="A93" s="219" t="b">
        <v>0</v>
      </c>
      <c r="B93" s="279">
        <f t="shared" si="3"/>
        <v>4</v>
      </c>
      <c r="C93" s="256">
        <f>D15</f>
        <v>0</v>
      </c>
      <c r="D93" s="233" t="s">
        <v>148</v>
      </c>
      <c r="E93" s="440">
        <v>0</v>
      </c>
      <c r="F93" s="440"/>
      <c r="G93" s="440"/>
      <c r="H93" s="440"/>
      <c r="I93" s="440"/>
      <c r="J93" s="440"/>
      <c r="K93" s="440"/>
      <c r="L93" s="440"/>
      <c r="M93" s="440"/>
      <c r="N93" s="440"/>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40">
        <v>0</v>
      </c>
      <c r="F94" s="440"/>
      <c r="G94" s="440"/>
      <c r="H94" s="440"/>
      <c r="I94" s="440"/>
      <c r="J94" s="440"/>
      <c r="K94" s="440"/>
      <c r="L94" s="440"/>
      <c r="M94" s="440"/>
      <c r="N94" s="440"/>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692</v>
      </c>
      <c r="E95" s="437"/>
      <c r="F95" s="437"/>
      <c r="G95" s="437"/>
      <c r="H95" s="437"/>
      <c r="I95" s="437"/>
      <c r="J95" s="437"/>
      <c r="K95" s="437"/>
      <c r="L95" s="437"/>
      <c r="M95" s="437"/>
      <c r="N95" s="437"/>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8" t="s">
        <v>152</v>
      </c>
      <c r="F97" s="438"/>
      <c r="G97" s="438"/>
      <c r="H97" s="438"/>
      <c r="I97" s="438"/>
      <c r="J97" s="438"/>
      <c r="K97" s="438"/>
      <c r="L97" s="438"/>
      <c r="M97" s="438"/>
      <c r="N97" s="438"/>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5" t="s">
        <v>136</v>
      </c>
      <c r="D98" s="435"/>
      <c r="E98" s="435"/>
      <c r="F98" s="435"/>
      <c r="G98" s="435"/>
      <c r="H98" s="435"/>
      <c r="I98" s="435"/>
      <c r="J98" s="435"/>
      <c r="K98" s="435"/>
      <c r="L98" s="435"/>
      <c r="M98" s="435"/>
      <c r="N98" s="435"/>
      <c r="O98" s="435"/>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3" t="s">
        <v>67</v>
      </c>
      <c r="F105" s="433"/>
      <c r="G105" s="439" t="str">
        <f>IF(D105=D18,"ON TIME",IF(D105&gt;D18,"LATE",IF(D105&lt;D18,"EARLY")))</f>
        <v>ON TIME</v>
      </c>
      <c r="H105" s="439"/>
      <c r="I105" s="439"/>
      <c r="J105" s="439"/>
      <c r="K105" s="439"/>
      <c r="L105" s="439"/>
      <c r="M105" s="439"/>
      <c r="N105" s="439"/>
      <c r="O105" s="220"/>
      <c r="P105" s="205"/>
    </row>
    <row r="106" spans="1:28" s="213" customFormat="1" ht="14.25" x14ac:dyDescent="0.35">
      <c r="A106" s="219" t="b">
        <v>0</v>
      </c>
      <c r="B106" s="279"/>
      <c r="C106" s="435" t="s">
        <v>693</v>
      </c>
      <c r="D106" s="435"/>
      <c r="E106" s="435"/>
      <c r="F106" s="435"/>
      <c r="G106" s="435"/>
      <c r="H106" s="435"/>
      <c r="I106" s="435"/>
      <c r="J106" s="435"/>
      <c r="K106" s="435"/>
      <c r="L106" s="435"/>
      <c r="M106" s="435"/>
      <c r="N106" s="435"/>
      <c r="O106" s="435"/>
      <c r="P106" s="209"/>
    </row>
    <row r="107" spans="1:28" s="213" customFormat="1" ht="15.75" x14ac:dyDescent="0.4">
      <c r="A107" s="219" t="b">
        <v>0</v>
      </c>
      <c r="B107" s="279" t="e">
        <f>B105+1</f>
        <v>#REF!</v>
      </c>
      <c r="C107" s="299" t="s">
        <v>163</v>
      </c>
      <c r="D107" s="302"/>
      <c r="E107" s="433" t="s">
        <v>67</v>
      </c>
      <c r="F107" s="433"/>
      <c r="G107" s="434" t="str">
        <f>IF(D107=D18,"ON TIME",IF(D107&gt;D18,"LATE",IF(D107&lt;D18,"EARLY")))</f>
        <v>ON TIME</v>
      </c>
      <c r="H107" s="434"/>
      <c r="I107" s="434"/>
      <c r="J107" s="434"/>
      <c r="K107" s="434"/>
      <c r="L107" s="434"/>
      <c r="M107" s="434"/>
      <c r="N107" s="434"/>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30" t="s">
        <v>166</v>
      </c>
      <c r="D110" s="430"/>
      <c r="E110" s="430"/>
      <c r="F110" s="430"/>
      <c r="G110" s="430"/>
      <c r="H110" s="430"/>
      <c r="I110" s="430"/>
      <c r="J110" s="430"/>
      <c r="K110" s="430"/>
      <c r="L110" s="430"/>
      <c r="M110" s="430"/>
      <c r="N110" s="430"/>
      <c r="O110" s="430"/>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t="e">
        <f>D5</f>
        <v>#N/A</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31" t="s">
        <v>694</v>
      </c>
      <c r="F113" s="432"/>
      <c r="G113" s="432"/>
      <c r="H113" s="432"/>
      <c r="I113" s="432"/>
      <c r="J113" s="432"/>
      <c r="K113" s="432"/>
      <c r="L113" s="432"/>
      <c r="M113" s="432"/>
      <c r="N113" s="432"/>
      <c r="O113" s="211"/>
      <c r="P113" s="209"/>
      <c r="Z113" s="266"/>
      <c r="AA113" s="266"/>
      <c r="AB113" s="266"/>
    </row>
    <row r="114" spans="1:28" s="213" customFormat="1" ht="14.25" x14ac:dyDescent="0.35">
      <c r="A114" s="219" t="b">
        <v>1</v>
      </c>
      <c r="B114" s="279"/>
      <c r="C114" s="435" t="s">
        <v>169</v>
      </c>
      <c r="D114" s="435"/>
      <c r="E114" s="435"/>
      <c r="F114" s="435"/>
      <c r="G114" s="435"/>
      <c r="H114" s="435"/>
      <c r="I114" s="435"/>
      <c r="J114" s="435"/>
      <c r="K114" s="435"/>
      <c r="L114" s="435"/>
      <c r="M114" s="435"/>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t="e">
        <f>'Auto-Calibration record'!$B$65</f>
        <v>#N/A</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t="e">
        <f>'Auto-Calibration record'!$C$65</f>
        <v>#N/A</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t="e">
        <f>'Auto-Calibration record'!$D$65</f>
        <v>#N/A</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t="e">
        <f>D5</f>
        <v>#N/A</v>
      </c>
      <c r="F119" s="335">
        <f t="shared" si="5"/>
        <v>4</v>
      </c>
      <c r="G119" s="377">
        <v>21</v>
      </c>
      <c r="H119" s="354" t="e">
        <f>'Auto-Calibration record'!$E$65</f>
        <v>#N/A</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t="e">
        <f>'Auto-Calibration record'!$F$65</f>
        <v>#N/A</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t="e">
        <f>'Auto-Calibration record'!$G$65</f>
        <v>#N/A</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t="e">
        <f>'Auto-Calibration record'!$H$65</f>
        <v>#N/A</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t="e">
        <f>'Auto-Calibration record'!$I$65</f>
        <v>#N/A</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695</v>
      </c>
      <c r="D129" s="270"/>
      <c r="E129" s="204"/>
      <c r="I129" s="204"/>
      <c r="J129" s="204"/>
      <c r="K129" s="204"/>
      <c r="L129" s="204"/>
      <c r="M129" s="204"/>
      <c r="N129" s="204"/>
      <c r="O129" s="211"/>
      <c r="P129" s="209"/>
    </row>
    <row r="130" spans="1:17" s="213" customFormat="1" ht="14.25" x14ac:dyDescent="0.35">
      <c r="A130" s="219" t="b">
        <v>0</v>
      </c>
      <c r="B130" s="279" t="e">
        <f>#REF!+1</f>
        <v>#REF!</v>
      </c>
      <c r="C130" s="228" t="s">
        <v>696</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697</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5" t="s">
        <v>187</v>
      </c>
      <c r="D133" s="435"/>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698</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699</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5" t="s">
        <v>207</v>
      </c>
      <c r="D155" s="435"/>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5" t="s">
        <v>213</v>
      </c>
      <c r="D161" s="435"/>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5" t="s">
        <v>219</v>
      </c>
      <c r="D167" s="436"/>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3" t="s">
        <v>67</v>
      </c>
      <c r="F176" s="433"/>
      <c r="G176" s="434" t="str">
        <f>IF(D176=D18,"ON TIME",IF(D176&gt;D18,"LATE",IF(D176&lt;D18,"EARLY")))</f>
        <v>ON TIME</v>
      </c>
      <c r="H176" s="434"/>
      <c r="I176" s="434"/>
      <c r="J176" s="434"/>
      <c r="K176" s="434"/>
      <c r="L176" s="434"/>
      <c r="M176" s="434"/>
      <c r="N176" s="434"/>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7" t="s">
        <v>230</v>
      </c>
      <c r="D181" s="457"/>
      <c r="E181" s="457"/>
      <c r="F181" s="458"/>
      <c r="G181" s="458"/>
      <c r="H181" s="458"/>
    </row>
    <row r="182" spans="1:16" ht="15" customHeight="1" x14ac:dyDescent="0.4">
      <c r="B182" s="279"/>
      <c r="C182" s="299" t="str">
        <f>IF(D180="Y", "NEW BUILD UNIT, SERVICE REPORT NOT APPLICABLE"," ")</f>
        <v xml:space="preserve"> </v>
      </c>
    </row>
    <row r="183" spans="1:16" ht="91.15" customHeight="1" x14ac:dyDescent="0.35">
      <c r="B183" s="279" t="e">
        <f>B177+1</f>
        <v>#REF!</v>
      </c>
      <c r="C183" s="461" t="s">
        <v>231</v>
      </c>
      <c r="D183" s="462"/>
      <c r="E183" s="462"/>
      <c r="F183" s="462"/>
      <c r="G183" s="462"/>
      <c r="H183" s="462"/>
      <c r="I183" s="462"/>
      <c r="J183" s="462"/>
      <c r="K183" s="462"/>
      <c r="L183" s="462"/>
      <c r="M183" s="462"/>
      <c r="N183" s="462"/>
      <c r="O183" s="462"/>
    </row>
    <row r="184" spans="1:16" ht="15" customHeight="1" x14ac:dyDescent="0.4">
      <c r="B184" s="279"/>
    </row>
    <row r="185" spans="1:16" ht="15" customHeight="1" x14ac:dyDescent="0.4">
      <c r="B185" s="279"/>
      <c r="C185" s="457" t="s">
        <v>232</v>
      </c>
      <c r="D185" s="458"/>
      <c r="E185" s="458"/>
    </row>
    <row r="186" spans="1:16" ht="15" customHeight="1" x14ac:dyDescent="0.4">
      <c r="B186" s="279"/>
      <c r="C186" s="299" t="str">
        <f>IF(D180="Y", "NEW BUILD UNIT, SERVICE REPORT NOT APPLICABLE","")</f>
        <v/>
      </c>
    </row>
    <row r="187" spans="1:16" ht="60" customHeight="1" x14ac:dyDescent="0.35">
      <c r="B187" s="279" t="e">
        <f>B183+1</f>
        <v>#REF!</v>
      </c>
      <c r="C187" s="462"/>
      <c r="D187" s="462"/>
      <c r="E187" s="462"/>
      <c r="F187" s="462"/>
      <c r="G187" s="462"/>
      <c r="H187" s="462"/>
      <c r="I187" s="462"/>
      <c r="J187" s="462"/>
      <c r="K187" s="462"/>
      <c r="L187" s="462"/>
      <c r="M187" s="462"/>
      <c r="N187" s="462"/>
      <c r="O187" s="462"/>
    </row>
    <row r="188" spans="1:16" ht="15" customHeight="1" x14ac:dyDescent="0.4">
      <c r="B188" s="279"/>
    </row>
    <row r="189" spans="1:16" ht="15" customHeight="1" x14ac:dyDescent="0.4">
      <c r="B189" s="279"/>
      <c r="C189" s="457" t="s">
        <v>233</v>
      </c>
      <c r="D189" s="457"/>
      <c r="E189" s="457"/>
    </row>
    <row r="190" spans="1:16" ht="15" customHeight="1" x14ac:dyDescent="0.4">
      <c r="B190" s="279"/>
      <c r="C190" s="299" t="str">
        <f>IF(D180="Y", "NEW BUILD UNIT, SERVICE REPORT NOT APPLICABLE","")</f>
        <v/>
      </c>
    </row>
    <row r="191" spans="1:16" ht="52.15" customHeight="1" x14ac:dyDescent="0.35">
      <c r="B191" s="279" t="e">
        <f>B187+1</f>
        <v>#REF!</v>
      </c>
      <c r="C191" s="462"/>
      <c r="D191" s="462"/>
      <c r="E191" s="462"/>
      <c r="F191" s="462"/>
      <c r="G191" s="462"/>
      <c r="H191" s="462"/>
      <c r="I191" s="462"/>
      <c r="J191" s="462"/>
      <c r="K191" s="462"/>
      <c r="L191" s="462"/>
      <c r="M191" s="462"/>
      <c r="N191" s="462"/>
      <c r="O191" s="462"/>
    </row>
    <row r="192" spans="1:16" ht="15" customHeight="1" x14ac:dyDescent="0.4">
      <c r="B192" s="279"/>
    </row>
    <row r="193" spans="2:15" ht="15" customHeight="1" x14ac:dyDescent="0.4">
      <c r="B193" s="279"/>
      <c r="C193" s="457" t="s">
        <v>234</v>
      </c>
      <c r="D193" s="457"/>
    </row>
    <row r="194" spans="2:15" ht="15" customHeight="1" x14ac:dyDescent="0.4">
      <c r="B194" s="279"/>
      <c r="C194" s="299" t="str">
        <f>IF(D180="Y", "NEW BUILD UNIT, SERVICE REPORT NOT APPLICABLE","")</f>
        <v/>
      </c>
    </row>
    <row r="195" spans="2:15" ht="55.15" customHeight="1" x14ac:dyDescent="0.35">
      <c r="B195" s="279" t="e">
        <f>B191+1</f>
        <v>#REF!</v>
      </c>
      <c r="C195" s="443"/>
      <c r="D195" s="444"/>
      <c r="E195" s="444"/>
      <c r="F195" s="444"/>
      <c r="G195" s="444"/>
      <c r="H195" s="444"/>
      <c r="I195" s="444"/>
      <c r="J195" s="444"/>
      <c r="K195" s="444"/>
      <c r="L195" s="444"/>
      <c r="M195" s="444"/>
      <c r="N195" s="444"/>
      <c r="O195" s="445"/>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399" priority="42">
      <formula>$A$47</formula>
    </cfRule>
  </conditionalFormatting>
  <conditionalFormatting sqref="C55">
    <cfRule type="expression" dxfId="398" priority="256">
      <formula>$A$55</formula>
    </cfRule>
  </conditionalFormatting>
  <conditionalFormatting sqref="C59">
    <cfRule type="expression" dxfId="397" priority="246">
      <formula>$A$59</formula>
    </cfRule>
  </conditionalFormatting>
  <conditionalFormatting sqref="C62">
    <cfRule type="expression" dxfId="396" priority="255">
      <formula>$A$62</formula>
    </cfRule>
  </conditionalFormatting>
  <conditionalFormatting sqref="C74">
    <cfRule type="expression" dxfId="395" priority="7">
      <formula>$A$74</formula>
    </cfRule>
  </conditionalFormatting>
  <conditionalFormatting sqref="C76">
    <cfRule type="expression" dxfId="394" priority="240">
      <formula>$A$76</formula>
    </cfRule>
  </conditionalFormatting>
  <conditionalFormatting sqref="C77">
    <cfRule type="expression" dxfId="393" priority="97">
      <formula>$A$77</formula>
    </cfRule>
  </conditionalFormatting>
  <conditionalFormatting sqref="C78">
    <cfRule type="expression" dxfId="392" priority="237">
      <formula>$A$78</formula>
    </cfRule>
  </conditionalFormatting>
  <conditionalFormatting sqref="C79">
    <cfRule type="expression" dxfId="391" priority="235">
      <formula>$A$79</formula>
    </cfRule>
  </conditionalFormatting>
  <conditionalFormatting sqref="C83">
    <cfRule type="expression" dxfId="390" priority="223">
      <formula>$A$83</formula>
    </cfRule>
  </conditionalFormatting>
  <conditionalFormatting sqref="C84">
    <cfRule type="expression" dxfId="389" priority="236">
      <formula>$A$84</formula>
    </cfRule>
  </conditionalFormatting>
  <conditionalFormatting sqref="C85">
    <cfRule type="expression" dxfId="388" priority="234">
      <formula>$A$85</formula>
    </cfRule>
  </conditionalFormatting>
  <conditionalFormatting sqref="C86">
    <cfRule type="expression" dxfId="387" priority="233">
      <formula>$A$86</formula>
    </cfRule>
  </conditionalFormatting>
  <conditionalFormatting sqref="C87">
    <cfRule type="expression" dxfId="386" priority="88">
      <formula>$A$87</formula>
    </cfRule>
  </conditionalFormatting>
  <conditionalFormatting sqref="C88">
    <cfRule type="expression" dxfId="385" priority="228">
      <formula>$A$88</formula>
    </cfRule>
  </conditionalFormatting>
  <conditionalFormatting sqref="C93">
    <cfRule type="expression" dxfId="384" priority="82">
      <formula>+$A$93</formula>
    </cfRule>
  </conditionalFormatting>
  <conditionalFormatting sqref="C94">
    <cfRule type="expression" dxfId="383" priority="83">
      <formula>$A$94</formula>
    </cfRule>
  </conditionalFormatting>
  <conditionalFormatting sqref="C95">
    <cfRule type="expression" dxfId="382" priority="203">
      <formula>$A$95</formula>
    </cfRule>
  </conditionalFormatting>
  <conditionalFormatting sqref="C96">
    <cfRule type="expression" dxfId="381" priority="198">
      <formula>$A$96</formula>
    </cfRule>
  </conditionalFormatting>
  <conditionalFormatting sqref="C97">
    <cfRule type="expression" dxfId="380" priority="196">
      <formula>$A$97</formula>
    </cfRule>
  </conditionalFormatting>
  <conditionalFormatting sqref="C100">
    <cfRule type="expression" dxfId="379" priority="158">
      <formula>$A$100</formula>
    </cfRule>
  </conditionalFormatting>
  <conditionalFormatting sqref="C101">
    <cfRule type="expression" dxfId="378" priority="6">
      <formula>$A$101</formula>
    </cfRule>
  </conditionalFormatting>
  <conditionalFormatting sqref="C102">
    <cfRule type="expression" dxfId="377" priority="156">
      <formula>$A$102</formula>
    </cfRule>
  </conditionalFormatting>
  <conditionalFormatting sqref="D7">
    <cfRule type="expression" dxfId="376" priority="289">
      <formula>$A$7</formula>
    </cfRule>
  </conditionalFormatting>
  <conditionalFormatting sqref="D8">
    <cfRule type="expression" dxfId="375" priority="288">
      <formula>A8</formula>
    </cfRule>
  </conditionalFormatting>
  <conditionalFormatting sqref="D9">
    <cfRule type="expression" dxfId="374" priority="286">
      <formula>$A$9</formula>
    </cfRule>
  </conditionalFormatting>
  <conditionalFormatting sqref="D10">
    <cfRule type="expression" dxfId="373" priority="285">
      <formula>$A$10</formula>
    </cfRule>
  </conditionalFormatting>
  <conditionalFormatting sqref="D11">
    <cfRule type="expression" dxfId="372" priority="283">
      <formula>$A$11</formula>
    </cfRule>
  </conditionalFormatting>
  <conditionalFormatting sqref="D12">
    <cfRule type="expression" dxfId="371" priority="282">
      <formula>$A$12</formula>
    </cfRule>
  </conditionalFormatting>
  <conditionalFormatting sqref="D20">
    <cfRule type="expression" dxfId="370" priority="316">
      <formula>$A$20</formula>
    </cfRule>
  </conditionalFormatting>
  <conditionalFormatting sqref="D21">
    <cfRule type="expression" dxfId="369" priority="317">
      <formula>$A$21</formula>
    </cfRule>
  </conditionalFormatting>
  <conditionalFormatting sqref="D22">
    <cfRule type="expression" dxfId="368" priority="318">
      <formula>$A$22</formula>
    </cfRule>
  </conditionalFormatting>
  <conditionalFormatting sqref="D23">
    <cfRule type="expression" dxfId="367" priority="319">
      <formula>$A$23</formula>
    </cfRule>
  </conditionalFormatting>
  <conditionalFormatting sqref="D24">
    <cfRule type="expression" dxfId="366" priority="321">
      <formula>$A$24</formula>
    </cfRule>
  </conditionalFormatting>
  <conditionalFormatting sqref="D25:D26">
    <cfRule type="expression" dxfId="365" priority="320">
      <formula>$A$25</formula>
    </cfRule>
  </conditionalFormatting>
  <conditionalFormatting sqref="D27">
    <cfRule type="expression" dxfId="364" priority="322">
      <formula>$A$27</formula>
    </cfRule>
  </conditionalFormatting>
  <conditionalFormatting sqref="D28">
    <cfRule type="expression" dxfId="363" priority="323">
      <formula>$A$28</formula>
    </cfRule>
  </conditionalFormatting>
  <conditionalFormatting sqref="D29">
    <cfRule type="expression" dxfId="362" priority="324">
      <formula>$A$29</formula>
    </cfRule>
  </conditionalFormatting>
  <conditionalFormatting sqref="D33">
    <cfRule type="expression" dxfId="361" priority="279">
      <formula>$A$33</formula>
    </cfRule>
  </conditionalFormatting>
  <conditionalFormatting sqref="D36">
    <cfRule type="expression" dxfId="360" priority="54">
      <formula>$A$36</formula>
    </cfRule>
  </conditionalFormatting>
  <conditionalFormatting sqref="D37">
    <cfRule type="expression" dxfId="359" priority="55">
      <formula>$A$37</formula>
    </cfRule>
  </conditionalFormatting>
  <conditionalFormatting sqref="D38">
    <cfRule type="expression" dxfId="358" priority="275">
      <formula>$A$38</formula>
    </cfRule>
  </conditionalFormatting>
  <conditionalFormatting sqref="D39">
    <cfRule type="expression" dxfId="357" priority="274">
      <formula>$A$39</formula>
    </cfRule>
  </conditionalFormatting>
  <conditionalFormatting sqref="D40">
    <cfRule type="expression" dxfId="356" priority="273">
      <formula>$A$40</formula>
    </cfRule>
  </conditionalFormatting>
  <conditionalFormatting sqref="D41">
    <cfRule type="expression" dxfId="355" priority="267">
      <formula>$A$41</formula>
    </cfRule>
  </conditionalFormatting>
  <conditionalFormatting sqref="D43">
    <cfRule type="expression" dxfId="354" priority="270">
      <formula>$A$43</formula>
    </cfRule>
  </conditionalFormatting>
  <conditionalFormatting sqref="D50">
    <cfRule type="expression" dxfId="353" priority="53">
      <formula>$A$50</formula>
    </cfRule>
  </conditionalFormatting>
  <conditionalFormatting sqref="D51">
    <cfRule type="expression" dxfId="352" priority="269">
      <formula>$A$51</formula>
    </cfRule>
  </conditionalFormatting>
  <conditionalFormatting sqref="D53">
    <cfRule type="expression" dxfId="351" priority="266">
      <formula>$A$53</formula>
    </cfRule>
  </conditionalFormatting>
  <conditionalFormatting sqref="D67">
    <cfRule type="expression" dxfId="350" priority="15">
      <formula>$A$67</formula>
    </cfRule>
  </conditionalFormatting>
  <conditionalFormatting sqref="D70">
    <cfRule type="expression" dxfId="349" priority="265">
      <formula>$A$70</formula>
    </cfRule>
  </conditionalFormatting>
  <conditionalFormatting sqref="D71">
    <cfRule type="expression" dxfId="348" priority="264">
      <formula>$A$71</formula>
    </cfRule>
  </conditionalFormatting>
  <conditionalFormatting sqref="D72">
    <cfRule type="expression" dxfId="347" priority="91">
      <formula>$A$72</formula>
    </cfRule>
  </conditionalFormatting>
  <conditionalFormatting sqref="D73">
    <cfRule type="expression" dxfId="346" priority="90">
      <formula>$A$73</formula>
    </cfRule>
  </conditionalFormatting>
  <conditionalFormatting sqref="D80">
    <cfRule type="cellIs" dxfId="345" priority="45" operator="lessThanOrEqual">
      <formula>13000</formula>
    </cfRule>
    <cfRule type="cellIs" dxfId="344" priority="46" operator="greaterThan">
      <formula>13000</formula>
    </cfRule>
  </conditionalFormatting>
  <conditionalFormatting sqref="D80:D81">
    <cfRule type="containsBlanks" dxfId="343" priority="40">
      <formula>LEN(TRIM(D80))=0</formula>
    </cfRule>
  </conditionalFormatting>
  <conditionalFormatting sqref="D81">
    <cfRule type="cellIs" dxfId="342" priority="44" operator="lessThanOrEqual">
      <formula>100</formula>
    </cfRule>
    <cfRule type="cellIs" dxfId="341" priority="43" operator="greaterThan">
      <formula>100</formula>
    </cfRule>
  </conditionalFormatting>
  <conditionalFormatting sqref="D90">
    <cfRule type="expression" dxfId="340" priority="56">
      <formula>$A$90</formula>
    </cfRule>
  </conditionalFormatting>
  <conditionalFormatting sqref="D99">
    <cfRule type="containsBlanks" dxfId="339" priority="39">
      <formula>LEN(TRIM(D99))=0</formula>
    </cfRule>
    <cfRule type="expression" dxfId="338" priority="50">
      <formula>$A$99</formula>
    </cfRule>
    <cfRule type="expression" dxfId="337" priority="49">
      <formula>$R$99</formula>
    </cfRule>
    <cfRule type="cellIs" dxfId="336" priority="48" operator="greaterThan">
      <formula>3.7</formula>
    </cfRule>
  </conditionalFormatting>
  <conditionalFormatting sqref="D104">
    <cfRule type="expression" dxfId="335" priority="47">
      <formula>$A$104</formula>
    </cfRule>
  </conditionalFormatting>
  <conditionalFormatting sqref="D108">
    <cfRule type="expression" dxfId="334" priority="113">
      <formula>$A$108</formula>
    </cfRule>
  </conditionalFormatting>
  <conditionalFormatting sqref="D112">
    <cfRule type="expression" dxfId="333" priority="187">
      <formula>$A$112</formula>
    </cfRule>
  </conditionalFormatting>
  <conditionalFormatting sqref="D113">
    <cfRule type="expression" dxfId="332" priority="193">
      <formula>$A$113</formula>
    </cfRule>
  </conditionalFormatting>
  <conditionalFormatting sqref="D115">
    <cfRule type="expression" dxfId="331" priority="184">
      <formula>$A$115</formula>
    </cfRule>
  </conditionalFormatting>
  <conditionalFormatting sqref="D116">
    <cfRule type="expression" dxfId="330" priority="37">
      <formula>$A$116</formula>
    </cfRule>
  </conditionalFormatting>
  <conditionalFormatting sqref="D117">
    <cfRule type="expression" dxfId="329" priority="9">
      <formula>$A$117</formula>
    </cfRule>
  </conditionalFormatting>
  <conditionalFormatting sqref="D118">
    <cfRule type="expression" dxfId="328" priority="28">
      <formula>$A$118</formula>
    </cfRule>
  </conditionalFormatting>
  <conditionalFormatting sqref="D119">
    <cfRule type="expression" dxfId="327" priority="180">
      <formula>$A$119</formula>
    </cfRule>
  </conditionalFormatting>
  <conditionalFormatting sqref="D120">
    <cfRule type="expression" dxfId="326" priority="179">
      <formula>$A$120</formula>
    </cfRule>
  </conditionalFormatting>
  <conditionalFormatting sqref="D121">
    <cfRule type="expression" dxfId="325" priority="178">
      <formula>$A$121</formula>
    </cfRule>
  </conditionalFormatting>
  <conditionalFormatting sqref="D122">
    <cfRule type="expression" dxfId="324" priority="188">
      <formula>$A$122</formula>
    </cfRule>
  </conditionalFormatting>
  <conditionalFormatting sqref="D123">
    <cfRule type="expression" dxfId="323" priority="177">
      <formula>$A$123</formula>
    </cfRule>
  </conditionalFormatting>
  <conditionalFormatting sqref="D124">
    <cfRule type="expression" dxfId="322" priority="30">
      <formula>$A$124</formula>
    </cfRule>
  </conditionalFormatting>
  <conditionalFormatting sqref="D128">
    <cfRule type="expression" dxfId="321" priority="35">
      <formula>$A$128</formula>
    </cfRule>
  </conditionalFormatting>
  <conditionalFormatting sqref="D129">
    <cfRule type="expression" dxfId="320" priority="36">
      <formula>$A$129</formula>
    </cfRule>
  </conditionalFormatting>
  <conditionalFormatting sqref="D130:D132">
    <cfRule type="expression" dxfId="319" priority="71">
      <formula>$A130</formula>
    </cfRule>
  </conditionalFormatting>
  <conditionalFormatting sqref="D134">
    <cfRule type="expression" dxfId="318" priority="142">
      <formula>$A$134</formula>
    </cfRule>
  </conditionalFormatting>
  <conditionalFormatting sqref="D135:D136">
    <cfRule type="expression" dxfId="317" priority="141">
      <formula>$A$135</formula>
    </cfRule>
  </conditionalFormatting>
  <conditionalFormatting sqref="D136">
    <cfRule type="expression" dxfId="316" priority="27">
      <formula>$A$136</formula>
    </cfRule>
  </conditionalFormatting>
  <conditionalFormatting sqref="D137">
    <cfRule type="expression" dxfId="315" priority="23">
      <formula>$A$137</formula>
    </cfRule>
  </conditionalFormatting>
  <conditionalFormatting sqref="D138">
    <cfRule type="expression" dxfId="314" priority="21">
      <formula>$A$138</formula>
    </cfRule>
  </conditionalFormatting>
  <conditionalFormatting sqref="D139">
    <cfRule type="expression" dxfId="313" priority="5">
      <formula>$A$139</formula>
    </cfRule>
  </conditionalFormatting>
  <conditionalFormatting sqref="D140">
    <cfRule type="expression" dxfId="312" priority="17">
      <formula>$A$140</formula>
    </cfRule>
  </conditionalFormatting>
  <conditionalFormatting sqref="D141">
    <cfRule type="expression" dxfId="311" priority="149">
      <formula>$A$141</formula>
    </cfRule>
  </conditionalFormatting>
  <conditionalFormatting sqref="D142">
    <cfRule type="expression" dxfId="310" priority="137">
      <formula>$A$142</formula>
    </cfRule>
  </conditionalFormatting>
  <conditionalFormatting sqref="D143">
    <cfRule type="expression" dxfId="309" priority="133">
      <formula>$A$143</formula>
    </cfRule>
  </conditionalFormatting>
  <conditionalFormatting sqref="D144">
    <cfRule type="expression" dxfId="308" priority="150">
      <formula>$A$144</formula>
    </cfRule>
  </conditionalFormatting>
  <conditionalFormatting sqref="D145">
    <cfRule type="expression" dxfId="307" priority="13">
      <formula>$A$145</formula>
    </cfRule>
  </conditionalFormatting>
  <conditionalFormatting sqref="D146">
    <cfRule type="expression" dxfId="306" priority="132">
      <formula>$A$146</formula>
    </cfRule>
  </conditionalFormatting>
  <conditionalFormatting sqref="D147">
    <cfRule type="expression" dxfId="305" priority="148">
      <formula>$A$147</formula>
    </cfRule>
  </conditionalFormatting>
  <conditionalFormatting sqref="D148">
    <cfRule type="expression" dxfId="304" priority="146">
      <formula>$A$148</formula>
    </cfRule>
  </conditionalFormatting>
  <conditionalFormatting sqref="D149">
    <cfRule type="cellIs" dxfId="303" priority="172" operator="between">
      <formula>19</formula>
      <formula>45</formula>
    </cfRule>
    <cfRule type="cellIs" dxfId="302" priority="170" operator="lessThan">
      <formula>15</formula>
    </cfRule>
    <cfRule type="cellIs" dxfId="301" priority="169" operator="greaterThan">
      <formula>55</formula>
    </cfRule>
  </conditionalFormatting>
  <conditionalFormatting sqref="D149:D150">
    <cfRule type="cellIs" dxfId="300" priority="58" operator="equal">
      <formula>0</formula>
    </cfRule>
  </conditionalFormatting>
  <conditionalFormatting sqref="D150">
    <cfRule type="cellIs" dxfId="299" priority="171" operator="between">
      <formula>36</formula>
      <formula>40</formula>
    </cfRule>
    <cfRule type="cellIs" dxfId="298" priority="168" operator="lessThan">
      <formula>36</formula>
    </cfRule>
    <cfRule type="cellIs" dxfId="297" priority="167" operator="greaterThan">
      <formula>40</formula>
    </cfRule>
  </conditionalFormatting>
  <conditionalFormatting sqref="D151">
    <cfRule type="expression" dxfId="296" priority="25">
      <formula>$A$151</formula>
    </cfRule>
  </conditionalFormatting>
  <conditionalFormatting sqref="D152:D153">
    <cfRule type="expression" dxfId="295" priority="11">
      <formula>$A$152</formula>
    </cfRule>
  </conditionalFormatting>
  <conditionalFormatting sqref="D153">
    <cfRule type="expression" dxfId="294" priority="19">
      <formula>$A$153</formula>
    </cfRule>
  </conditionalFormatting>
  <conditionalFormatting sqref="D154">
    <cfRule type="expression" dxfId="293" priority="33">
      <formula>$A$154</formula>
    </cfRule>
  </conditionalFormatting>
  <conditionalFormatting sqref="D156">
    <cfRule type="expression" dxfId="292" priority="130">
      <formula>$A$156</formula>
    </cfRule>
  </conditionalFormatting>
  <conditionalFormatting sqref="D157">
    <cfRule type="expression" dxfId="291" priority="185">
      <formula>$A157</formula>
    </cfRule>
  </conditionalFormatting>
  <conditionalFormatting sqref="D158">
    <cfRule type="expression" dxfId="290" priority="123">
      <formula>$A$158</formula>
    </cfRule>
  </conditionalFormatting>
  <conditionalFormatting sqref="D159">
    <cfRule type="expression" dxfId="289" priority="122">
      <formula>$A$159</formula>
    </cfRule>
  </conditionalFormatting>
  <conditionalFormatting sqref="D160">
    <cfRule type="expression" dxfId="288" priority="12">
      <formula>$A$160</formula>
    </cfRule>
    <cfRule type="expression" dxfId="287" priority="325">
      <formula>#REF!</formula>
    </cfRule>
  </conditionalFormatting>
  <conditionalFormatting sqref="D162">
    <cfRule type="expression" dxfId="286" priority="124">
      <formula>$A$162</formula>
    </cfRule>
  </conditionalFormatting>
  <conditionalFormatting sqref="D163">
    <cfRule type="expression" dxfId="285" priority="10">
      <formula>$A$163</formula>
    </cfRule>
  </conditionalFormatting>
  <conditionalFormatting sqref="D164">
    <cfRule type="expression" dxfId="284" priority="61">
      <formula>$A$164</formula>
    </cfRule>
  </conditionalFormatting>
  <conditionalFormatting sqref="D165">
    <cfRule type="expression" dxfId="283" priority="62">
      <formula>$A$165</formula>
    </cfRule>
  </conditionalFormatting>
  <conditionalFormatting sqref="D168">
    <cfRule type="expression" dxfId="282" priority="1">
      <formula>$A$168</formula>
    </cfRule>
  </conditionalFormatting>
  <conditionalFormatting sqref="D169">
    <cfRule type="expression" dxfId="281" priority="160">
      <formula>$A$169</formula>
    </cfRule>
  </conditionalFormatting>
  <conditionalFormatting sqref="D170">
    <cfRule type="expression" dxfId="280" priority="121">
      <formula>$A$170</formula>
    </cfRule>
  </conditionalFormatting>
  <conditionalFormatting sqref="D171">
    <cfRule type="expression" dxfId="279" priority="119">
      <formula>$A$171</formula>
    </cfRule>
  </conditionalFormatting>
  <conditionalFormatting sqref="D172">
    <cfRule type="expression" dxfId="278" priority="118">
      <formula>$A$172</formula>
    </cfRule>
  </conditionalFormatting>
  <conditionalFormatting sqref="D173">
    <cfRule type="expression" dxfId="277" priority="117">
      <formula>$A$173</formula>
    </cfRule>
  </conditionalFormatting>
  <conditionalFormatting sqref="D174">
    <cfRule type="expression" dxfId="276" priority="116">
      <formula>$A$174</formula>
    </cfRule>
  </conditionalFormatting>
  <conditionalFormatting sqref="D175">
    <cfRule type="expression" dxfId="275" priority="115">
      <formula>$A$175</formula>
    </cfRule>
  </conditionalFormatting>
  <conditionalFormatting sqref="E83:J83">
    <cfRule type="cellIs" dxfId="274" priority="227" operator="between">
      <formula>1.6</formula>
      <formula>2.6</formula>
    </cfRule>
    <cfRule type="cellIs" dxfId="273" priority="226" operator="greaterThanOrEqual">
      <formula>2.7</formula>
    </cfRule>
  </conditionalFormatting>
  <conditionalFormatting sqref="G31:N32">
    <cfRule type="cellIs" dxfId="272" priority="259" operator="equal">
      <formula>"ON TIME"</formula>
    </cfRule>
    <cfRule type="cellIs" dxfId="271" priority="260" operator="equal">
      <formula>"LATE"</formula>
    </cfRule>
    <cfRule type="cellIs" dxfId="270" priority="261" operator="equal">
      <formula>"EARLY"</formula>
    </cfRule>
  </conditionalFormatting>
  <conditionalFormatting sqref="G92:N92">
    <cfRule type="cellIs" dxfId="269" priority="230" operator="equal">
      <formula>"LATE"</formula>
    </cfRule>
    <cfRule type="cellIs" dxfId="268" priority="231" operator="equal">
      <formula>"EARLY"</formula>
    </cfRule>
    <cfRule type="cellIs" dxfId="267" priority="229" operator="equal">
      <formula>"ON TIME"</formula>
    </cfRule>
  </conditionalFormatting>
  <conditionalFormatting sqref="G105:N105">
    <cfRule type="cellIs" dxfId="266" priority="214" operator="equal">
      <formula>"EARLY"</formula>
    </cfRule>
    <cfRule type="cellIs" dxfId="265" priority="213" operator="equal">
      <formula>"LATE"</formula>
    </cfRule>
    <cfRule type="cellIs" dxfId="264" priority="212" operator="equal">
      <formula>"ON TIME"</formula>
    </cfRule>
  </conditionalFormatting>
  <conditionalFormatting sqref="G107:N107">
    <cfRule type="cellIs" dxfId="263" priority="164" operator="equal">
      <formula>"ON TIME"</formula>
    </cfRule>
    <cfRule type="cellIs" dxfId="262" priority="165" operator="equal">
      <formula>"LATE"</formula>
    </cfRule>
    <cfRule type="cellIs" dxfId="261" priority="166" operator="equal">
      <formula>"EARLY"</formula>
    </cfRule>
  </conditionalFormatting>
  <conditionalFormatting sqref="G176:N176">
    <cfRule type="cellIs" dxfId="260" priority="161" operator="equal">
      <formula>"ON TIME"</formula>
    </cfRule>
    <cfRule type="cellIs" dxfId="259" priority="163" operator="equal">
      <formula>"EARLY"</formula>
    </cfRule>
    <cfRule type="cellIs" dxfId="258" priority="162" operator="equal">
      <formula>"LATE"</formula>
    </cfRule>
  </conditionalFormatting>
  <conditionalFormatting sqref="O86 Q97 O174:O176">
    <cfRule type="expression" dxfId="257" priority="243">
      <formula>#REF!</formula>
    </cfRule>
  </conditionalFormatting>
  <conditionalFormatting sqref="Q8">
    <cfRule type="expression" dxfId="256" priority="306">
      <formula>#REF!</formula>
    </cfRule>
  </conditionalFormatting>
  <conditionalFormatting sqref="Q12:Q13 Q77">
    <cfRule type="expression" dxfId="255" priority="305">
      <formula>#REF!</formula>
    </cfRule>
  </conditionalFormatting>
  <conditionalFormatting sqref="Q88">
    <cfRule type="expression" dxfId="254" priority="241">
      <formula>#REF!</formula>
    </cfRule>
  </conditionalFormatting>
  <conditionalFormatting sqref="Q93:Q95">
    <cfRule type="expression" dxfId="253" priority="210">
      <formula>#REF!</formula>
    </cfRule>
  </conditionalFormatting>
  <conditionalFormatting sqref="Q100 O101">
    <cfRule type="expression" dxfId="252" priority="211">
      <formula>#REF!</formula>
    </cfRule>
  </conditionalFormatting>
  <conditionalFormatting sqref="Q108">
    <cfRule type="expression" dxfId="251" priority="3">
      <formula>#REF!</formula>
    </cfRule>
  </conditionalFormatting>
  <conditionalFormatting sqref="Q116">
    <cfRule type="expression" dxfId="25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6" t="s">
        <v>237</v>
      </c>
      <c r="B1" s="458"/>
      <c r="C1">
        <f>'Cover Service Sheet'!E10</f>
        <v>0</v>
      </c>
    </row>
    <row r="3" spans="1:7" x14ac:dyDescent="0.35">
      <c r="A3" s="466" t="s">
        <v>238</v>
      </c>
      <c r="B3" s="458"/>
      <c r="G3" s="197"/>
    </row>
    <row r="4" spans="1:7" x14ac:dyDescent="0.35">
      <c r="A4" s="466" t="s">
        <v>239</v>
      </c>
      <c r="B4" s="458"/>
      <c r="G4" s="197"/>
    </row>
    <row r="5" spans="1:7" x14ac:dyDescent="0.35">
      <c r="A5" s="166" t="s">
        <v>240</v>
      </c>
      <c r="G5" s="197"/>
    </row>
    <row r="6" spans="1:7" x14ac:dyDescent="0.35">
      <c r="A6" s="166" t="s">
        <v>241</v>
      </c>
      <c r="G6" s="197"/>
    </row>
    <row r="7" spans="1:7" x14ac:dyDescent="0.35">
      <c r="A7" s="166" t="s">
        <v>242</v>
      </c>
      <c r="G7" s="202"/>
    </row>
    <row r="8" spans="1:7" x14ac:dyDescent="0.35">
      <c r="A8" s="466" t="s">
        <v>243</v>
      </c>
      <c r="B8" s="458"/>
      <c r="G8" s="197"/>
    </row>
    <row r="9" spans="1:7" x14ac:dyDescent="0.35">
      <c r="A9" s="166" t="s">
        <v>244</v>
      </c>
      <c r="G9" s="197"/>
    </row>
    <row r="10" spans="1:7" x14ac:dyDescent="0.35">
      <c r="A10" s="466" t="s">
        <v>245</v>
      </c>
      <c r="B10" s="458"/>
      <c r="C10" s="458"/>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6" t="s">
        <v>120</v>
      </c>
      <c r="B15" s="458"/>
      <c r="C15" s="458"/>
      <c r="G15" s="197"/>
    </row>
    <row r="16" spans="1:7" x14ac:dyDescent="0.35">
      <c r="A16" s="466" t="s">
        <v>249</v>
      </c>
      <c r="B16" s="458"/>
      <c r="C16" s="458"/>
      <c r="D16" s="458"/>
      <c r="E16" s="458"/>
      <c r="F16" s="458"/>
      <c r="G16" s="197"/>
    </row>
    <row r="17" spans="1:7" x14ac:dyDescent="0.35">
      <c r="A17" s="466" t="s">
        <v>250</v>
      </c>
      <c r="B17" s="458"/>
      <c r="G17" s="197"/>
    </row>
    <row r="18" spans="1:7" x14ac:dyDescent="0.35">
      <c r="A18" s="466" t="s">
        <v>251</v>
      </c>
      <c r="B18" s="458"/>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49" t="s">
        <v>252</v>
      </c>
      <c r="D2" s="449"/>
      <c r="E2" s="449"/>
      <c r="F2" s="449"/>
      <c r="G2" s="449"/>
      <c r="H2" s="449"/>
      <c r="I2" s="449"/>
      <c r="J2" s="449"/>
      <c r="K2" s="449"/>
      <c r="L2" s="449"/>
      <c r="M2" s="449"/>
      <c r="N2" s="449"/>
      <c r="O2" s="449"/>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t="e">
        <f>'Cover Service Sheet'!D5</f>
        <v>#N/A</v>
      </c>
      <c r="E5" s="486" t="e">
        <f>'Cover Service Sheet'!E5&amp;'Cover Service Sheet'!F5</f>
        <v>#N/A</v>
      </c>
      <c r="F5" s="486"/>
      <c r="G5" s="486"/>
      <c r="H5" s="486"/>
      <c r="I5" s="486"/>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7">
        <v>0</v>
      </c>
      <c r="F10" s="487"/>
      <c r="G10" s="487"/>
      <c r="H10" s="487"/>
      <c r="I10" s="487"/>
      <c r="J10" s="487"/>
      <c r="K10" s="487"/>
      <c r="L10" s="487"/>
      <c r="M10" s="487"/>
      <c r="N10" s="487"/>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5" t="s">
        <v>265</v>
      </c>
      <c r="D14" s="435"/>
      <c r="E14" s="435"/>
      <c r="F14" s="435"/>
      <c r="G14" s="435"/>
      <c r="H14" s="435"/>
      <c r="I14" s="435"/>
      <c r="J14" s="435"/>
      <c r="K14" s="435"/>
      <c r="L14" s="435"/>
      <c r="M14" s="435"/>
      <c r="N14" s="435"/>
      <c r="O14" s="435"/>
      <c r="P14" s="226"/>
    </row>
    <row r="15" spans="1:17" s="220" customFormat="1" ht="15.75" x14ac:dyDescent="0.35">
      <c r="A15" s="227"/>
      <c r="B15" s="203">
        <f>B13+1</f>
        <v>26</v>
      </c>
      <c r="C15" s="228" t="s">
        <v>163</v>
      </c>
      <c r="D15" s="210"/>
      <c r="E15" s="433" t="s">
        <v>67</v>
      </c>
      <c r="F15" s="433"/>
      <c r="G15" s="439" t="str">
        <f>IF(D15=D7,"ON TIME",IF(D15&gt;D7,"LATE",IF(D15&lt;D7,"EARLY")))</f>
        <v>ON TIME</v>
      </c>
      <c r="H15" s="439"/>
      <c r="I15" s="439"/>
      <c r="J15" s="439"/>
      <c r="K15" s="439"/>
      <c r="L15" s="439"/>
      <c r="M15" s="439"/>
      <c r="N15" s="439"/>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49" t="s">
        <v>268</v>
      </c>
      <c r="F17" s="449"/>
      <c r="G17" s="449"/>
      <c r="H17" s="449"/>
      <c r="I17" s="449"/>
      <c r="J17" s="449"/>
      <c r="K17" s="449"/>
      <c r="L17" s="449"/>
      <c r="M17" s="449"/>
      <c r="N17" s="449"/>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56"/>
      <c r="F25" s="456"/>
      <c r="G25" s="456"/>
      <c r="H25" s="456"/>
      <c r="I25" s="456"/>
      <c r="J25" s="456"/>
      <c r="K25" s="456"/>
      <c r="L25" s="456"/>
      <c r="M25" s="456"/>
      <c r="N25" s="456"/>
      <c r="O25" s="211" t="str">
        <f>IF(A25=TRUE,"Charge circuit checked and verified PASS","")</f>
        <v/>
      </c>
    </row>
    <row r="26" spans="1:16" x14ac:dyDescent="0.35">
      <c r="A26" s="236">
        <v>4.0999999999999996</v>
      </c>
      <c r="B26" s="203">
        <f t="shared" si="0"/>
        <v>36</v>
      </c>
      <c r="C26" s="205" t="s">
        <v>275</v>
      </c>
      <c r="D26" s="237"/>
      <c r="E26" s="483"/>
      <c r="F26" s="483"/>
      <c r="G26" s="483"/>
      <c r="H26" s="483"/>
      <c r="I26" s="483"/>
      <c r="J26" s="483"/>
      <c r="K26" s="483"/>
      <c r="L26" s="483"/>
      <c r="M26" s="483"/>
      <c r="N26" s="483"/>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64"/>
      <c r="F32" s="464"/>
      <c r="G32" s="464"/>
      <c r="H32" s="464"/>
      <c r="I32" s="464"/>
      <c r="J32" s="464"/>
      <c r="K32" s="464"/>
      <c r="L32" s="464"/>
      <c r="M32" s="464"/>
      <c r="N32" s="464"/>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e">
        <f>D5&amp;E5</f>
        <v>#N/A</v>
      </c>
      <c r="D60" s="243" t="s">
        <v>293</v>
      </c>
    </row>
    <row r="61" spans="1:25" x14ac:dyDescent="0.35">
      <c r="A61" s="219" t="b">
        <v>0</v>
      </c>
      <c r="B61" s="203">
        <f t="shared" si="0"/>
        <v>71</v>
      </c>
      <c r="C61" s="245"/>
      <c r="D61" s="243"/>
    </row>
    <row r="62" spans="1:25" ht="15" x14ac:dyDescent="0.35">
      <c r="B62" s="203">
        <f t="shared" si="0"/>
        <v>72</v>
      </c>
      <c r="C62" s="205"/>
      <c r="D62" s="212"/>
      <c r="O62" s="484"/>
      <c r="P62" s="484"/>
      <c r="Q62" s="484"/>
      <c r="R62" s="484"/>
      <c r="S62" s="484"/>
      <c r="T62" s="484"/>
      <c r="U62" s="484"/>
      <c r="V62" s="484"/>
      <c r="W62" s="484"/>
      <c r="X62" s="484"/>
      <c r="Y62" s="485"/>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56"/>
      <c r="F65" s="456"/>
      <c r="G65" s="456"/>
      <c r="H65" s="456"/>
      <c r="I65" s="456"/>
      <c r="J65" s="456"/>
      <c r="K65" s="456"/>
      <c r="L65" s="456"/>
      <c r="M65" s="456"/>
      <c r="N65" s="456"/>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5" t="s">
        <v>127</v>
      </c>
      <c r="D70" s="435"/>
      <c r="E70" s="435"/>
      <c r="F70" s="435"/>
      <c r="G70" s="435"/>
      <c r="H70" s="435"/>
      <c r="I70" s="435"/>
      <c r="J70" s="435"/>
      <c r="K70" s="435"/>
      <c r="L70" s="435"/>
      <c r="M70" s="435"/>
      <c r="N70" s="435"/>
      <c r="O70" s="435"/>
      <c r="P70" s="226"/>
    </row>
    <row r="71" spans="1:16" x14ac:dyDescent="0.35">
      <c r="A71" s="219" t="b">
        <v>0</v>
      </c>
      <c r="B71" s="203">
        <f>B69+1</f>
        <v>80</v>
      </c>
      <c r="C71" s="232"/>
      <c r="D71" s="233" t="s">
        <v>128</v>
      </c>
      <c r="E71" s="456"/>
      <c r="F71" s="456"/>
      <c r="G71" s="456"/>
      <c r="H71" s="456"/>
      <c r="I71" s="456"/>
      <c r="J71" s="456"/>
      <c r="K71" s="456"/>
      <c r="L71" s="456"/>
      <c r="M71" s="456"/>
      <c r="N71" s="456"/>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8" t="s">
        <v>133</v>
      </c>
      <c r="F76" s="438"/>
      <c r="G76" s="438"/>
      <c r="H76" s="438"/>
      <c r="I76" s="438"/>
      <c r="J76" s="438"/>
      <c r="K76" s="438"/>
      <c r="L76" s="438"/>
      <c r="M76" s="438"/>
      <c r="N76" s="438"/>
      <c r="O76" s="211" t="str">
        <f>IF(A76=FALSE,"Secondary purge test FAIL/not completed","Secondary purge test PASS")</f>
        <v>Secondary purge test FAIL/not completed</v>
      </c>
      <c r="P76" s="209"/>
    </row>
    <row r="77" spans="1:16" x14ac:dyDescent="0.35">
      <c r="A77" s="219">
        <v>2000</v>
      </c>
      <c r="B77" s="203">
        <f t="shared" si="1"/>
        <v>86</v>
      </c>
      <c r="C77" s="254"/>
      <c r="D77" s="212"/>
      <c r="E77" s="456"/>
      <c r="F77" s="456"/>
      <c r="G77" s="456"/>
      <c r="H77" s="456"/>
      <c r="I77" s="456"/>
      <c r="J77" s="456"/>
      <c r="K77" s="456"/>
      <c r="L77" s="456"/>
      <c r="M77" s="456"/>
      <c r="N77" s="456"/>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56"/>
      <c r="F78" s="456"/>
      <c r="G78" s="456"/>
      <c r="H78" s="456"/>
      <c r="I78" s="456"/>
      <c r="J78" s="456"/>
      <c r="K78" s="456"/>
      <c r="L78" s="456"/>
      <c r="M78" s="456"/>
      <c r="N78" s="456"/>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56"/>
      <c r="F79" s="456"/>
      <c r="G79" s="456"/>
      <c r="H79" s="456"/>
      <c r="I79" s="456"/>
      <c r="J79" s="456"/>
      <c r="K79" s="456"/>
      <c r="L79" s="456"/>
      <c r="M79" s="456"/>
      <c r="N79" s="456"/>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56"/>
      <c r="F80" s="456"/>
      <c r="G80" s="456"/>
      <c r="H80" s="456"/>
      <c r="I80" s="456"/>
      <c r="J80" s="456"/>
      <c r="K80" s="456"/>
      <c r="L80" s="456"/>
      <c r="M80" s="456"/>
      <c r="N80" s="456"/>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5" t="s">
        <v>136</v>
      </c>
      <c r="D81" s="435"/>
      <c r="E81" s="435"/>
      <c r="F81" s="435"/>
      <c r="G81" s="435"/>
      <c r="H81" s="435"/>
      <c r="I81" s="435"/>
      <c r="J81" s="435"/>
      <c r="K81" s="435"/>
      <c r="L81" s="435"/>
      <c r="M81" s="435"/>
      <c r="N81" s="435"/>
      <c r="O81" s="435"/>
      <c r="P81" s="226"/>
    </row>
    <row r="82" spans="1:16" x14ac:dyDescent="0.35">
      <c r="A82" s="219" t="b">
        <v>0</v>
      </c>
      <c r="B82" s="203">
        <f>B80+1</f>
        <v>90</v>
      </c>
      <c r="C82" s="241"/>
      <c r="D82" s="233" t="s">
        <v>137</v>
      </c>
      <c r="E82" s="459"/>
      <c r="F82" s="460"/>
      <c r="G82" s="460"/>
      <c r="H82" s="460"/>
      <c r="I82" s="460"/>
      <c r="J82" s="460"/>
      <c r="K82" s="451" t="s">
        <v>138</v>
      </c>
      <c r="L82" s="451"/>
      <c r="M82" s="451"/>
      <c r="N82" s="451"/>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8" t="s">
        <v>139</v>
      </c>
      <c r="F84" s="438"/>
      <c r="G84" s="438"/>
      <c r="H84" s="438"/>
      <c r="I84" s="438"/>
      <c r="J84" s="438"/>
      <c r="K84" s="438"/>
      <c r="L84" s="438"/>
      <c r="M84" s="438"/>
      <c r="N84" s="438"/>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3" t="s">
        <v>141</v>
      </c>
      <c r="F85" s="433"/>
      <c r="G85" s="433"/>
      <c r="H85" s="433"/>
      <c r="I85" s="433"/>
      <c r="J85" s="433"/>
      <c r="K85" s="482"/>
      <c r="L85" s="482"/>
      <c r="M85" s="482"/>
      <c r="N85" s="482"/>
      <c r="O85" s="211" t="str">
        <f>IF(A85=TRUE,"Customer advised of additional work required for approval","")</f>
        <v/>
      </c>
    </row>
    <row r="86" spans="1:16" x14ac:dyDescent="0.35">
      <c r="A86" s="219" t="b">
        <v>0</v>
      </c>
      <c r="B86" s="203">
        <f t="shared" si="2"/>
        <v>94</v>
      </c>
      <c r="C86" s="241"/>
      <c r="D86" s="240" t="s">
        <v>303</v>
      </c>
      <c r="E86" s="438" t="s">
        <v>139</v>
      </c>
      <c r="F86" s="438"/>
      <c r="G86" s="438"/>
      <c r="H86" s="438"/>
      <c r="I86" s="438"/>
      <c r="J86" s="438"/>
      <c r="K86" s="438"/>
      <c r="L86" s="438"/>
      <c r="M86" s="438"/>
      <c r="N86" s="438"/>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3" t="s">
        <v>143</v>
      </c>
      <c r="F87" s="433"/>
      <c r="G87" s="433"/>
      <c r="H87" s="433"/>
      <c r="I87" s="433"/>
      <c r="J87" s="433"/>
      <c r="K87" s="482"/>
      <c r="L87" s="482"/>
      <c r="M87" s="482"/>
      <c r="N87" s="482"/>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42">
        <f>D89-D16</f>
        <v>0</v>
      </c>
      <c r="J89" s="442"/>
      <c r="K89" s="442"/>
      <c r="L89" s="442"/>
      <c r="M89" s="442"/>
      <c r="N89" s="442"/>
      <c r="O89" s="213"/>
    </row>
    <row r="90" spans="1:16" x14ac:dyDescent="0.35">
      <c r="C90" s="435" t="s">
        <v>146</v>
      </c>
      <c r="D90" s="435"/>
      <c r="E90" s="435"/>
      <c r="F90" s="435"/>
      <c r="G90" s="435"/>
      <c r="H90" s="435"/>
      <c r="I90" s="435"/>
      <c r="J90" s="435"/>
      <c r="K90" s="435"/>
      <c r="L90" s="435"/>
      <c r="M90" s="435"/>
      <c r="N90" s="435"/>
      <c r="O90" s="435"/>
      <c r="P90" s="226"/>
    </row>
    <row r="91" spans="1:16" s="220" customFormat="1" ht="15.75" customHeight="1" x14ac:dyDescent="0.35">
      <c r="A91" s="227"/>
      <c r="B91" s="203">
        <f>B89+1</f>
        <v>98</v>
      </c>
      <c r="C91" s="228" t="s">
        <v>147</v>
      </c>
      <c r="D91" s="210"/>
      <c r="E91" s="433" t="s">
        <v>67</v>
      </c>
      <c r="F91" s="433"/>
      <c r="G91" s="434" t="str">
        <f>IF(D91=$D$7,"ON TIME",IF(D91&gt;$D$7,"LATE",IF(D91&lt;$D$7,"EARLY")))</f>
        <v>ON TIME</v>
      </c>
      <c r="H91" s="434"/>
      <c r="I91" s="434"/>
      <c r="J91" s="434"/>
      <c r="K91" s="434"/>
      <c r="L91" s="434"/>
      <c r="M91" s="434"/>
      <c r="N91" s="434"/>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40">
        <v>0</v>
      </c>
      <c r="F93" s="440"/>
      <c r="G93" s="440"/>
      <c r="H93" s="440"/>
      <c r="I93" s="440"/>
      <c r="J93" s="440"/>
      <c r="K93" s="440"/>
      <c r="L93" s="440"/>
      <c r="M93" s="440"/>
      <c r="N93" s="440"/>
      <c r="O93" s="211" t="str">
        <f>IF(A93=TRUE,"SO received and on system","Awaiting customers purchase order")</f>
        <v>Awaiting customers purchase order</v>
      </c>
      <c r="P93" s="220"/>
    </row>
    <row r="94" spans="1:16" x14ac:dyDescent="0.35">
      <c r="A94" s="219" t="b">
        <v>0</v>
      </c>
      <c r="B94" s="203">
        <f t="shared" si="1"/>
        <v>101</v>
      </c>
      <c r="C94" s="256"/>
      <c r="D94" s="233" t="s">
        <v>309</v>
      </c>
      <c r="E94" s="440">
        <v>0</v>
      </c>
      <c r="F94" s="440"/>
      <c r="G94" s="440"/>
      <c r="H94" s="440"/>
      <c r="I94" s="440"/>
      <c r="J94" s="440"/>
      <c r="K94" s="440"/>
      <c r="L94" s="440"/>
      <c r="M94" s="440"/>
      <c r="N94" s="440"/>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0"/>
      <c r="F97" s="479"/>
      <c r="G97" s="479"/>
      <c r="H97" s="479"/>
      <c r="I97" s="479"/>
      <c r="J97" s="479"/>
      <c r="K97" s="451" t="s">
        <v>138</v>
      </c>
      <c r="L97" s="451"/>
      <c r="M97" s="451"/>
      <c r="N97" s="451"/>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1"/>
      <c r="F99" s="456"/>
      <c r="G99" s="456"/>
      <c r="H99" s="456"/>
      <c r="I99" s="456"/>
      <c r="J99" s="456"/>
      <c r="K99" s="456"/>
      <c r="L99" s="456"/>
      <c r="M99" s="456"/>
      <c r="N99" s="456"/>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1"/>
      <c r="F100" s="456"/>
      <c r="G100" s="456"/>
      <c r="H100" s="456"/>
      <c r="I100" s="456"/>
      <c r="J100" s="456"/>
      <c r="K100" s="456"/>
      <c r="L100" s="456"/>
      <c r="M100" s="456"/>
      <c r="N100" s="456"/>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1"/>
      <c r="F101" s="456"/>
      <c r="G101" s="456"/>
      <c r="H101" s="456"/>
      <c r="I101" s="456"/>
      <c r="J101" s="456"/>
      <c r="K101" s="456"/>
      <c r="L101" s="456"/>
      <c r="M101" s="456"/>
      <c r="N101" s="456"/>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1"/>
      <c r="F102" s="456"/>
      <c r="G102" s="456"/>
      <c r="H102" s="456"/>
      <c r="I102" s="456"/>
      <c r="J102" s="456"/>
      <c r="K102" s="456"/>
      <c r="L102" s="456"/>
      <c r="M102" s="456"/>
      <c r="N102" s="456"/>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8" t="s">
        <v>152</v>
      </c>
      <c r="F103" s="438"/>
      <c r="G103" s="438"/>
      <c r="H103" s="438"/>
      <c r="I103" s="438"/>
      <c r="J103" s="438"/>
      <c r="K103" s="438"/>
      <c r="L103" s="438"/>
      <c r="M103" s="438"/>
      <c r="N103" s="438"/>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8" t="s">
        <v>152</v>
      </c>
      <c r="F109" s="438"/>
      <c r="G109" s="438"/>
      <c r="H109" s="438"/>
      <c r="I109" s="438"/>
      <c r="J109" s="438"/>
      <c r="K109" s="438"/>
      <c r="L109" s="438"/>
      <c r="M109" s="438"/>
      <c r="N109" s="438"/>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79"/>
      <c r="L112" s="479"/>
      <c r="M112" s="479"/>
      <c r="N112" s="479"/>
      <c r="O112" s="211" t="str">
        <f>IF(A112=TRUE,"Moisture sensor replaced as part of service","")</f>
        <v/>
      </c>
    </row>
    <row r="113" spans="1:16" x14ac:dyDescent="0.35">
      <c r="A113" s="219" t="b">
        <v>0</v>
      </c>
      <c r="B113" s="203">
        <f t="shared" si="1"/>
        <v>119</v>
      </c>
      <c r="C113" s="241"/>
      <c r="D113" s="233" t="s">
        <v>324</v>
      </c>
      <c r="E113" s="480"/>
      <c r="F113" s="479"/>
      <c r="G113" s="220" t="s">
        <v>325</v>
      </c>
      <c r="I113" s="479"/>
      <c r="J113" s="479"/>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79"/>
      <c r="F115" s="479"/>
      <c r="G115" s="479"/>
      <c r="H115" s="479"/>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5" t="s">
        <v>136</v>
      </c>
      <c r="D120" s="435"/>
      <c r="E120" s="435"/>
      <c r="F120" s="435"/>
      <c r="G120" s="435"/>
      <c r="H120" s="435"/>
      <c r="I120" s="435"/>
      <c r="J120" s="435"/>
      <c r="K120" s="435"/>
      <c r="L120" s="435"/>
      <c r="M120" s="435"/>
      <c r="N120" s="435"/>
      <c r="O120" s="435"/>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56"/>
      <c r="F124" s="456"/>
      <c r="G124" s="456"/>
      <c r="H124" s="456"/>
      <c r="I124" s="456"/>
      <c r="J124" s="456"/>
      <c r="K124" s="456"/>
      <c r="L124" s="456"/>
      <c r="M124" s="456"/>
      <c r="N124" s="456"/>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56"/>
      <c r="F125" s="456"/>
      <c r="G125" s="456"/>
      <c r="H125" s="456"/>
      <c r="I125" s="456"/>
      <c r="J125" s="456"/>
      <c r="K125" s="456"/>
      <c r="L125" s="456"/>
      <c r="M125" s="456"/>
      <c r="N125" s="456"/>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3"/>
      <c r="F127" s="473"/>
      <c r="G127" s="473"/>
      <c r="H127" s="473"/>
      <c r="I127" s="473"/>
      <c r="J127" s="473"/>
      <c r="K127" s="473"/>
      <c r="L127" s="473"/>
      <c r="M127" s="473"/>
      <c r="N127" s="473"/>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3" t="s">
        <v>67</v>
      </c>
      <c r="F131" s="433"/>
      <c r="G131" s="439" t="str">
        <f>IF(D131=D13,"ON TIME",IF(D131&gt;D13,"LATE",IF(D131&lt;D13,"EARLY")))</f>
        <v>EARLY</v>
      </c>
      <c r="H131" s="439"/>
      <c r="I131" s="439"/>
      <c r="J131" s="439"/>
      <c r="K131" s="439"/>
      <c r="L131" s="439"/>
      <c r="M131" s="439"/>
      <c r="N131" s="439"/>
      <c r="O131" s="220"/>
      <c r="P131" s="205"/>
    </row>
    <row r="132" spans="1:28" x14ac:dyDescent="0.35">
      <c r="B132" s="203">
        <f t="shared" si="1"/>
        <v>137</v>
      </c>
      <c r="C132" s="228" t="s">
        <v>335</v>
      </c>
      <c r="D132" s="229"/>
      <c r="E132" s="231" t="s">
        <v>306</v>
      </c>
      <c r="F132" s="213"/>
      <c r="G132" s="228"/>
      <c r="H132" s="228"/>
      <c r="I132" s="442">
        <f>D132-D92</f>
        <v>0</v>
      </c>
      <c r="J132" s="442"/>
      <c r="K132" s="442"/>
      <c r="L132" s="442"/>
      <c r="M132" s="442"/>
      <c r="N132" s="442"/>
      <c r="O132" s="213"/>
    </row>
    <row r="133" spans="1:28" x14ac:dyDescent="0.35">
      <c r="C133" s="435" t="s">
        <v>162</v>
      </c>
      <c r="D133" s="435"/>
      <c r="E133" s="435"/>
      <c r="F133" s="435"/>
      <c r="G133" s="435"/>
      <c r="H133" s="435"/>
      <c r="I133" s="435"/>
      <c r="J133" s="435"/>
      <c r="K133" s="435"/>
      <c r="L133" s="435"/>
      <c r="M133" s="435"/>
      <c r="N133" s="435"/>
      <c r="O133" s="435"/>
    </row>
    <row r="134" spans="1:28" ht="15.75" x14ac:dyDescent="0.35">
      <c r="B134" s="203">
        <f>B132+1</f>
        <v>138</v>
      </c>
      <c r="C134" s="228" t="s">
        <v>163</v>
      </c>
      <c r="D134" s="210"/>
      <c r="E134" s="433" t="s">
        <v>67</v>
      </c>
      <c r="F134" s="433"/>
      <c r="G134" s="434" t="str">
        <f>IF(D134=D13,"ON TIME",IF(D134&gt;D13,"LATE",IF(D134&lt;D13,"EARLY")))</f>
        <v>EARLY</v>
      </c>
      <c r="H134" s="434"/>
      <c r="I134" s="434"/>
      <c r="J134" s="434"/>
      <c r="K134" s="434"/>
      <c r="L134" s="434"/>
      <c r="M134" s="434"/>
      <c r="N134" s="434"/>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42">
        <f>D136-D135</f>
        <v>0</v>
      </c>
      <c r="J136" s="442"/>
      <c r="K136" s="442"/>
      <c r="L136" s="442"/>
      <c r="M136" s="442"/>
      <c r="N136" s="442"/>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3"/>
      <c r="F140" s="473"/>
      <c r="G140" s="473"/>
      <c r="H140" s="473"/>
      <c r="I140" s="473"/>
      <c r="J140" s="473"/>
      <c r="K140" s="473"/>
      <c r="L140" s="473"/>
      <c r="M140" s="473"/>
      <c r="N140" s="473"/>
      <c r="O140" s="211" t="str">
        <f>IF(A140=TRUE,"Calibration complete PASSED","")</f>
        <v/>
      </c>
    </row>
    <row r="141" spans="1:28" ht="15.75" x14ac:dyDescent="0.35">
      <c r="C141" s="430" t="s">
        <v>166</v>
      </c>
      <c r="D141" s="430"/>
      <c r="E141" s="430"/>
      <c r="F141" s="430"/>
      <c r="G141" s="430"/>
      <c r="H141" s="430"/>
      <c r="I141" s="430"/>
      <c r="J141" s="430"/>
      <c r="K141" s="430"/>
      <c r="L141" s="430"/>
      <c r="M141" s="430"/>
      <c r="N141" s="430"/>
      <c r="O141" s="430"/>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e">
        <f>D5&amp;E5</f>
        <v>#N/A</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37" t="s">
        <v>172</v>
      </c>
      <c r="H160" s="437"/>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7" t="e">
        <f>'Auto-Calibration record'!B65</f>
        <v>#N/A</v>
      </c>
      <c r="H161" s="478"/>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7" t="e">
        <f>'Auto-Calibration record'!C65</f>
        <v>#N/A</v>
      </c>
      <c r="H162" s="478"/>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7" t="e">
        <f>'Auto-Calibration record'!D65</f>
        <v>#N/A</v>
      </c>
      <c r="H163" s="478"/>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7" t="e">
        <f>'Auto-Calibration record'!E65</f>
        <v>#N/A</v>
      </c>
      <c r="H164" s="478"/>
    </row>
    <row r="165" spans="1:18" x14ac:dyDescent="0.35">
      <c r="A165" s="219" t="b">
        <v>0</v>
      </c>
      <c r="B165" s="203">
        <f t="shared" si="3"/>
        <v>167</v>
      </c>
      <c r="C165" s="228" t="s">
        <v>358</v>
      </c>
      <c r="D165" s="270"/>
      <c r="E165" s="204">
        <v>5</v>
      </c>
      <c r="F165" s="204">
        <v>25</v>
      </c>
      <c r="G165" s="477" t="e">
        <f>'Auto-Calibration record'!F65</f>
        <v>#N/A</v>
      </c>
      <c r="H165" s="478"/>
    </row>
    <row r="166" spans="1:18" x14ac:dyDescent="0.35">
      <c r="A166" s="219" t="b">
        <v>0</v>
      </c>
      <c r="B166" s="203">
        <f t="shared" si="3"/>
        <v>168</v>
      </c>
      <c r="C166" s="228" t="s">
        <v>359</v>
      </c>
      <c r="D166" s="273"/>
      <c r="E166" s="204">
        <v>6</v>
      </c>
      <c r="F166" s="204">
        <v>38</v>
      </c>
      <c r="G166" s="477" t="e">
        <f>'Auto-Calibration record'!G65</f>
        <v>#N/A</v>
      </c>
      <c r="H166" s="478"/>
    </row>
    <row r="167" spans="1:18" x14ac:dyDescent="0.35">
      <c r="A167" s="219" t="b">
        <v>0</v>
      </c>
      <c r="B167" s="203">
        <f t="shared" si="3"/>
        <v>169</v>
      </c>
      <c r="C167" s="279" t="s">
        <v>360</v>
      </c>
      <c r="D167" s="273"/>
      <c r="E167" s="204">
        <v>7</v>
      </c>
      <c r="F167" s="204">
        <v>50</v>
      </c>
      <c r="G167" s="477" t="e">
        <f>'Auto-Calibration record'!H65</f>
        <v>#N/A</v>
      </c>
      <c r="H167" s="478"/>
    </row>
    <row r="168" spans="1:18" x14ac:dyDescent="0.35">
      <c r="A168" s="219" t="b">
        <v>0</v>
      </c>
      <c r="B168" s="203">
        <f t="shared" si="3"/>
        <v>170</v>
      </c>
      <c r="C168" s="228" t="s">
        <v>361</v>
      </c>
      <c r="D168" s="273"/>
      <c r="E168" s="204">
        <v>8</v>
      </c>
      <c r="F168" s="204">
        <v>70</v>
      </c>
      <c r="G168" s="477" t="e">
        <f>'Auto-Calibration record'!I65</f>
        <v>#N/A</v>
      </c>
      <c r="H168" s="478"/>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2" t="s">
        <v>438</v>
      </c>
      <c r="F219" s="453"/>
      <c r="G219" s="453"/>
      <c r="H219" s="453"/>
      <c r="I219" s="453"/>
      <c r="J219" s="453"/>
      <c r="K219" s="453"/>
      <c r="L219" s="453"/>
      <c r="M219" s="453"/>
      <c r="N219" s="453"/>
      <c r="O219" s="453"/>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3"/>
      <c r="F225" s="433"/>
      <c r="G225" s="434"/>
      <c r="H225" s="434"/>
      <c r="I225" s="434"/>
      <c r="J225" s="434"/>
      <c r="K225" s="434"/>
      <c r="L225" s="434"/>
      <c r="M225" s="434"/>
      <c r="N225" s="434"/>
    </row>
    <row r="226" spans="2:14" x14ac:dyDescent="0.35">
      <c r="B226" s="203">
        <f t="shared" si="4"/>
        <v>223</v>
      </c>
      <c r="C226" s="228" t="s">
        <v>414</v>
      </c>
      <c r="D226" s="229"/>
      <c r="E226" s="231" t="s">
        <v>306</v>
      </c>
      <c r="F226" s="213"/>
      <c r="G226" s="228"/>
      <c r="H226" s="228"/>
      <c r="I226" s="442"/>
      <c r="J226" s="442"/>
      <c r="K226" s="442"/>
      <c r="L226" s="442"/>
      <c r="M226" s="442"/>
      <c r="N226" s="442"/>
    </row>
    <row r="227" spans="2:14" x14ac:dyDescent="0.35">
      <c r="B227" s="203">
        <f t="shared" si="4"/>
        <v>224</v>
      </c>
      <c r="C227" s="205" t="s">
        <v>415</v>
      </c>
      <c r="E227" s="473"/>
      <c r="F227" s="473"/>
      <c r="G227" s="473"/>
      <c r="H227" s="473"/>
      <c r="I227" s="473"/>
      <c r="J227" s="473"/>
      <c r="K227" s="473"/>
      <c r="L227" s="473"/>
      <c r="M227" s="473"/>
      <c r="N227" s="473"/>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67"/>
      <c r="F233" s="468"/>
      <c r="G233" s="468"/>
      <c r="H233" s="468"/>
      <c r="I233" s="468"/>
      <c r="J233" s="468"/>
      <c r="K233" s="469"/>
      <c r="L233" s="213"/>
    </row>
    <row r="234" spans="2:14" x14ac:dyDescent="0.35">
      <c r="B234" s="280"/>
      <c r="C234" s="281" t="s">
        <v>422</v>
      </c>
      <c r="D234" s="282"/>
      <c r="E234" s="467"/>
      <c r="F234" s="468"/>
      <c r="G234" s="468"/>
      <c r="H234" s="468"/>
      <c r="I234" s="468"/>
      <c r="J234" s="468"/>
      <c r="K234" s="469"/>
      <c r="L234" s="213"/>
    </row>
    <row r="235" spans="2:14" x14ac:dyDescent="0.35">
      <c r="B235" s="296"/>
      <c r="C235" s="295" t="s">
        <v>423</v>
      </c>
      <c r="D235" s="297"/>
      <c r="E235" s="467"/>
      <c r="F235" s="468"/>
      <c r="G235" s="468"/>
      <c r="H235" s="468"/>
      <c r="I235" s="468"/>
      <c r="J235" s="468"/>
      <c r="K235" s="469"/>
      <c r="L235" s="213"/>
    </row>
    <row r="236" spans="2:14" x14ac:dyDescent="0.35">
      <c r="B236" s="280"/>
      <c r="C236" s="295"/>
      <c r="D236" s="282"/>
      <c r="E236" s="474" t="s">
        <v>67</v>
      </c>
      <c r="F236" s="475"/>
      <c r="G236" s="476" t="str">
        <f>IF(D225=D13,"ON TIME",IF(D225&gt;D13,"LATE",IF(D225&lt;D13,"EARLY")))</f>
        <v>EARLY</v>
      </c>
      <c r="H236" s="432"/>
      <c r="I236" s="432"/>
      <c r="J236" s="432"/>
      <c r="K236" s="432"/>
      <c r="L236" s="432"/>
      <c r="M236" s="432"/>
      <c r="N236" s="432"/>
    </row>
    <row r="237" spans="2:14" x14ac:dyDescent="0.35">
      <c r="B237" s="280"/>
      <c r="C237" s="295"/>
      <c r="D237" s="282"/>
      <c r="E237" s="467"/>
      <c r="F237" s="468"/>
      <c r="G237" s="468"/>
      <c r="H237" s="468"/>
      <c r="I237" s="468"/>
      <c r="J237" s="468"/>
      <c r="K237" s="469"/>
      <c r="L237" s="213"/>
    </row>
    <row r="238" spans="2:14" x14ac:dyDescent="0.35">
      <c r="B238" s="280"/>
      <c r="C238" s="295"/>
      <c r="D238" s="282"/>
      <c r="E238" s="467"/>
      <c r="F238" s="468"/>
      <c r="G238" s="468"/>
      <c r="H238" s="468"/>
      <c r="I238" s="468"/>
      <c r="J238" s="468"/>
      <c r="K238" s="469"/>
      <c r="L238" s="213"/>
    </row>
    <row r="239" spans="2:14" x14ac:dyDescent="0.35">
      <c r="B239" s="280"/>
      <c r="C239" s="281"/>
      <c r="D239" s="282"/>
      <c r="E239" s="467"/>
      <c r="F239" s="468"/>
      <c r="G239" s="468"/>
      <c r="H239" s="468"/>
      <c r="I239" s="468"/>
      <c r="J239" s="468"/>
      <c r="K239" s="469"/>
      <c r="L239" s="213"/>
    </row>
    <row r="240" spans="2:14" x14ac:dyDescent="0.35">
      <c r="B240" s="280"/>
      <c r="C240" s="281"/>
      <c r="D240" s="282"/>
      <c r="E240" s="467"/>
      <c r="F240" s="468"/>
      <c r="G240" s="468"/>
      <c r="H240" s="468"/>
      <c r="I240" s="468"/>
      <c r="J240" s="468"/>
      <c r="K240" s="469"/>
      <c r="L240" s="213"/>
    </row>
    <row r="241" spans="2:12" x14ac:dyDescent="0.35">
      <c r="B241" s="280"/>
      <c r="C241" s="281"/>
      <c r="D241" s="282"/>
      <c r="E241" s="467"/>
      <c r="F241" s="468"/>
      <c r="G241" s="468"/>
      <c r="H241" s="468"/>
      <c r="I241" s="468"/>
      <c r="J241" s="468"/>
      <c r="K241" s="469"/>
      <c r="L241" s="213"/>
    </row>
    <row r="242" spans="2:12" x14ac:dyDescent="0.35">
      <c r="B242" s="280"/>
      <c r="C242" s="295" t="s">
        <v>424</v>
      </c>
      <c r="D242" s="282"/>
      <c r="E242" s="467"/>
      <c r="F242" s="468"/>
      <c r="G242" s="468"/>
      <c r="H242" s="468"/>
      <c r="I242" s="468"/>
      <c r="J242" s="468"/>
      <c r="K242" s="469"/>
      <c r="L242" s="213"/>
    </row>
    <row r="243" spans="2:12" x14ac:dyDescent="0.35">
      <c r="B243" s="280"/>
      <c r="C243" s="295" t="s">
        <v>236</v>
      </c>
      <c r="D243" s="282"/>
      <c r="E243" s="467"/>
      <c r="F243" s="468"/>
      <c r="G243" s="468"/>
      <c r="H243" s="468"/>
      <c r="I243" s="468"/>
      <c r="J243" s="468"/>
      <c r="K243" s="469"/>
      <c r="L243" s="213"/>
    </row>
    <row r="244" spans="2:12" x14ac:dyDescent="0.35">
      <c r="B244" s="286"/>
      <c r="C244" s="287"/>
      <c r="D244" s="288"/>
      <c r="E244" s="467"/>
      <c r="F244" s="468"/>
      <c r="G244" s="468"/>
      <c r="H244" s="468"/>
      <c r="I244" s="468"/>
      <c r="J244" s="468"/>
      <c r="K244" s="469"/>
      <c r="L244" s="213"/>
    </row>
    <row r="245" spans="2:12" x14ac:dyDescent="0.35">
      <c r="B245" s="280"/>
      <c r="C245" s="281"/>
      <c r="D245" s="282"/>
      <c r="E245" s="467"/>
      <c r="F245" s="468"/>
      <c r="G245" s="468"/>
      <c r="H245" s="468"/>
      <c r="I245" s="468"/>
      <c r="J245" s="468"/>
      <c r="K245" s="469"/>
      <c r="L245" s="213"/>
    </row>
    <row r="246" spans="2:12" x14ac:dyDescent="0.35">
      <c r="B246" s="283"/>
      <c r="C246" s="284"/>
      <c r="D246" s="285"/>
      <c r="E246" s="470"/>
      <c r="F246" s="471"/>
      <c r="G246" s="471"/>
      <c r="H246" s="471"/>
      <c r="I246" s="471"/>
      <c r="J246" s="471"/>
      <c r="K246" s="472"/>
      <c r="L246" s="213"/>
    </row>
    <row r="247" spans="2:12" x14ac:dyDescent="0.35">
      <c r="B247" s="283"/>
      <c r="C247" s="284"/>
      <c r="D247" s="285"/>
      <c r="E247" s="470"/>
      <c r="F247" s="471"/>
      <c r="G247" s="471"/>
      <c r="H247" s="471"/>
      <c r="I247" s="471"/>
      <c r="J247" s="471"/>
      <c r="K247" s="472"/>
      <c r="L247" s="213"/>
    </row>
    <row r="248" spans="2:12" x14ac:dyDescent="0.35">
      <c r="B248" s="283"/>
      <c r="C248" s="284"/>
      <c r="D248" s="285"/>
      <c r="E248" s="470"/>
      <c r="F248" s="471"/>
      <c r="G248" s="471"/>
      <c r="H248" s="471"/>
      <c r="I248" s="471"/>
      <c r="J248" s="471"/>
      <c r="K248" s="472"/>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49" priority="151">
      <formula>$A$18</formula>
    </cfRule>
  </conditionalFormatting>
  <conditionalFormatting sqref="C19">
    <cfRule type="expression" dxfId="248" priority="13">
      <formula>$A$19</formula>
    </cfRule>
  </conditionalFormatting>
  <conditionalFormatting sqref="C20">
    <cfRule type="expression" dxfId="247" priority="12">
      <formula>$A$20</formula>
    </cfRule>
  </conditionalFormatting>
  <conditionalFormatting sqref="C21">
    <cfRule type="expression" dxfId="246" priority="11">
      <formula>$A$21</formula>
    </cfRule>
  </conditionalFormatting>
  <conditionalFormatting sqref="C22">
    <cfRule type="expression" dxfId="245" priority="10">
      <formula>$A$22</formula>
    </cfRule>
  </conditionalFormatting>
  <conditionalFormatting sqref="C23">
    <cfRule type="expression" dxfId="244" priority="150">
      <formula>$A$23</formula>
    </cfRule>
  </conditionalFormatting>
  <conditionalFormatting sqref="C24">
    <cfRule type="expression" dxfId="243" priority="88">
      <formula>$A$24</formula>
    </cfRule>
  </conditionalFormatting>
  <conditionalFormatting sqref="C25">
    <cfRule type="expression" dxfId="242" priority="149">
      <formula>$A$25</formula>
    </cfRule>
  </conditionalFormatting>
  <conditionalFormatting sqref="C27">
    <cfRule type="expression" dxfId="241" priority="29">
      <formula>$A$27</formula>
    </cfRule>
  </conditionalFormatting>
  <conditionalFormatting sqref="C32">
    <cfRule type="expression" dxfId="240" priority="146">
      <formula>$A$32</formula>
    </cfRule>
  </conditionalFormatting>
  <conditionalFormatting sqref="C36">
    <cfRule type="expression" dxfId="239" priority="77">
      <formula>$A$36</formula>
    </cfRule>
  </conditionalFormatting>
  <conditionalFormatting sqref="C40">
    <cfRule type="expression" dxfId="238" priority="145">
      <formula>$A$40</formula>
    </cfRule>
  </conditionalFormatting>
  <conditionalFormatting sqref="C44">
    <cfRule type="expression" dxfId="237" priority="25">
      <formula>$A$44</formula>
    </cfRule>
  </conditionalFormatting>
  <conditionalFormatting sqref="C46">
    <cfRule type="expression" dxfId="236" priority="144">
      <formula>$A$46</formula>
    </cfRule>
  </conditionalFormatting>
  <conditionalFormatting sqref="C54">
    <cfRule type="expression" dxfId="235" priority="87">
      <formula>$A$54</formula>
    </cfRule>
  </conditionalFormatting>
  <conditionalFormatting sqref="C55">
    <cfRule type="expression" dxfId="234" priority="85">
      <formula>$A$55</formula>
    </cfRule>
  </conditionalFormatting>
  <conditionalFormatting sqref="C56">
    <cfRule type="expression" dxfId="233" priority="86">
      <formula>$A$56</formula>
    </cfRule>
  </conditionalFormatting>
  <conditionalFormatting sqref="C57">
    <cfRule type="expression" dxfId="232" priority="147">
      <formula>$A$57</formula>
    </cfRule>
  </conditionalFormatting>
  <conditionalFormatting sqref="C58">
    <cfRule type="expression" dxfId="231" priority="84">
      <formula>$A$58</formula>
    </cfRule>
  </conditionalFormatting>
  <conditionalFormatting sqref="C59">
    <cfRule type="expression" dxfId="230" priority="83">
      <formula>$A$59</formula>
    </cfRule>
  </conditionalFormatting>
  <conditionalFormatting sqref="C60">
    <cfRule type="expression" dxfId="229" priority="82">
      <formula>$A$60</formula>
    </cfRule>
  </conditionalFormatting>
  <conditionalFormatting sqref="C61">
    <cfRule type="expression" dxfId="228" priority="81">
      <formula>$A$61</formula>
    </cfRule>
  </conditionalFormatting>
  <conditionalFormatting sqref="C64">
    <cfRule type="expression" dxfId="227" priority="26">
      <formula>$A$64</formula>
    </cfRule>
  </conditionalFormatting>
  <conditionalFormatting sqref="C65">
    <cfRule type="expression" dxfId="226" priority="78">
      <formula>$A$65</formula>
    </cfRule>
  </conditionalFormatting>
  <conditionalFormatting sqref="C67">
    <cfRule type="expression" dxfId="225" priority="80">
      <formula>$A$67</formula>
    </cfRule>
  </conditionalFormatting>
  <conditionalFormatting sqref="C68">
    <cfRule type="expression" dxfId="224" priority="79">
      <formula>$A$68</formula>
    </cfRule>
  </conditionalFormatting>
  <conditionalFormatting sqref="C69">
    <cfRule type="expression" dxfId="223" priority="143">
      <formula>$A$69</formula>
    </cfRule>
  </conditionalFormatting>
  <conditionalFormatting sqref="C71">
    <cfRule type="expression" dxfId="222" priority="142">
      <formula>$A$71</formula>
    </cfRule>
  </conditionalFormatting>
  <conditionalFormatting sqref="C72">
    <cfRule type="expression" dxfId="221" priority="141">
      <formula>$A$72</formula>
    </cfRule>
  </conditionalFormatting>
  <conditionalFormatting sqref="C73">
    <cfRule type="expression" dxfId="220" priority="140">
      <formula>$A$73</formula>
    </cfRule>
  </conditionalFormatting>
  <conditionalFormatting sqref="C74">
    <cfRule type="expression" dxfId="219" priority="139">
      <formula>$A$74</formula>
    </cfRule>
  </conditionalFormatting>
  <conditionalFormatting sqref="C76">
    <cfRule type="expression" dxfId="218" priority="137">
      <formula>$A$76</formula>
    </cfRule>
  </conditionalFormatting>
  <conditionalFormatting sqref="C82">
    <cfRule type="expression" dxfId="217" priority="1">
      <formula>$A$82</formula>
    </cfRule>
  </conditionalFormatting>
  <conditionalFormatting sqref="C83">
    <cfRule type="expression" dxfId="216" priority="138">
      <formula>$A$83</formula>
    </cfRule>
  </conditionalFormatting>
  <conditionalFormatting sqref="C84">
    <cfRule type="expression" dxfId="215" priority="136">
      <formula>$A$84</formula>
    </cfRule>
  </conditionalFormatting>
  <conditionalFormatting sqref="C85">
    <cfRule type="expression" dxfId="214" priority="135">
      <formula>$A$85</formula>
    </cfRule>
  </conditionalFormatting>
  <conditionalFormatting sqref="C86">
    <cfRule type="expression" dxfId="213" priority="17">
      <formula>$A$86</formula>
    </cfRule>
  </conditionalFormatting>
  <conditionalFormatting sqref="C87">
    <cfRule type="expression" dxfId="212" priority="134">
      <formula>$A$87</formula>
    </cfRule>
  </conditionalFormatting>
  <conditionalFormatting sqref="C93">
    <cfRule type="expression" dxfId="211" priority="180">
      <formula>$A93</formula>
    </cfRule>
  </conditionalFormatting>
  <conditionalFormatting sqref="C94">
    <cfRule type="expression" dxfId="210" priority="181">
      <formula>$A$94</formula>
    </cfRule>
  </conditionalFormatting>
  <conditionalFormatting sqref="C95">
    <cfRule type="expression" dxfId="209" priority="133">
      <formula>$A$95</formula>
    </cfRule>
  </conditionalFormatting>
  <conditionalFormatting sqref="C97">
    <cfRule type="expression" dxfId="208" priority="152">
      <formula>$A$97</formula>
    </cfRule>
  </conditionalFormatting>
  <conditionalFormatting sqref="C98">
    <cfRule type="expression" dxfId="207" priority="179">
      <formula>$A$98</formula>
    </cfRule>
  </conditionalFormatting>
  <conditionalFormatting sqref="C103">
    <cfRule type="expression" dxfId="206" priority="153">
      <formula>$A$103</formula>
    </cfRule>
  </conditionalFormatting>
  <conditionalFormatting sqref="C104">
    <cfRule type="expression" dxfId="205" priority="132">
      <formula>$A$104</formula>
    </cfRule>
  </conditionalFormatting>
  <conditionalFormatting sqref="C105">
    <cfRule type="expression" dxfId="204" priority="14">
      <formula>$A$105</formula>
    </cfRule>
  </conditionalFormatting>
  <conditionalFormatting sqref="C106">
    <cfRule type="expression" dxfId="203" priority="131">
      <formula>$A$106</formula>
    </cfRule>
  </conditionalFormatting>
  <conditionalFormatting sqref="C107">
    <cfRule type="expression" dxfId="202" priority="130">
      <formula>$A$107</formula>
    </cfRule>
  </conditionalFormatting>
  <conditionalFormatting sqref="C108">
    <cfRule type="expression" dxfId="201" priority="129">
      <formula>$A$108</formula>
    </cfRule>
  </conditionalFormatting>
  <conditionalFormatting sqref="C109">
    <cfRule type="expression" dxfId="200" priority="128">
      <formula>$A$109</formula>
    </cfRule>
  </conditionalFormatting>
  <conditionalFormatting sqref="C110">
    <cfRule type="expression" dxfId="199" priority="24">
      <formula>$A$110</formula>
    </cfRule>
  </conditionalFormatting>
  <conditionalFormatting sqref="C111">
    <cfRule type="expression" dxfId="198" priority="127">
      <formula>$A$111</formula>
    </cfRule>
  </conditionalFormatting>
  <conditionalFormatting sqref="C112">
    <cfRule type="expression" dxfId="197" priority="126">
      <formula>$A$112</formula>
    </cfRule>
  </conditionalFormatting>
  <conditionalFormatting sqref="C113">
    <cfRule type="expression" dxfId="196" priority="171">
      <formula>$A$113</formula>
    </cfRule>
  </conditionalFormatting>
  <conditionalFormatting sqref="C114">
    <cfRule type="expression" dxfId="195" priority="20">
      <formula>$A$114</formula>
    </cfRule>
  </conditionalFormatting>
  <conditionalFormatting sqref="C115">
    <cfRule type="expression" dxfId="194" priority="19">
      <formula>$A$115</formula>
    </cfRule>
  </conditionalFormatting>
  <conditionalFormatting sqref="C116">
    <cfRule type="expression" dxfId="193" priority="18">
      <formula>$A$116</formula>
    </cfRule>
  </conditionalFormatting>
  <conditionalFormatting sqref="C117">
    <cfRule type="expression" dxfId="192" priority="177">
      <formula>$A$117</formula>
    </cfRule>
  </conditionalFormatting>
  <conditionalFormatting sqref="C118">
    <cfRule type="expression" dxfId="191" priority="176">
      <formula>$A$118</formula>
    </cfRule>
  </conditionalFormatting>
  <conditionalFormatting sqref="C119">
    <cfRule type="expression" dxfId="190" priority="175">
      <formula>$A$119</formula>
    </cfRule>
  </conditionalFormatting>
  <conditionalFormatting sqref="C121">
    <cfRule type="expression" dxfId="189" priority="174">
      <formula>$A$121</formula>
    </cfRule>
  </conditionalFormatting>
  <conditionalFormatting sqref="C126">
    <cfRule type="expression" dxfId="188" priority="75">
      <formula>$A$126</formula>
    </cfRule>
  </conditionalFormatting>
  <conditionalFormatting sqref="C128">
    <cfRule type="expression" dxfId="187" priority="73">
      <formula>$A$128</formula>
    </cfRule>
  </conditionalFormatting>
  <conditionalFormatting sqref="C129">
    <cfRule type="expression" dxfId="186" priority="74">
      <formula>$A$129</formula>
    </cfRule>
  </conditionalFormatting>
  <conditionalFormatting sqref="C130">
    <cfRule type="expression" dxfId="185" priority="72">
      <formula>$A$130</formula>
    </cfRule>
  </conditionalFormatting>
  <conditionalFormatting sqref="D9">
    <cfRule type="expression" dxfId="184" priority="178">
      <formula>$A9</formula>
    </cfRule>
  </conditionalFormatting>
  <conditionalFormatting sqref="D17">
    <cfRule type="expression" dxfId="183" priority="173">
      <formula>#REF!</formula>
    </cfRule>
    <cfRule type="expression" dxfId="182" priority="172">
      <formula>#REF!</formula>
    </cfRule>
  </conditionalFormatting>
  <conditionalFormatting sqref="D138">
    <cfRule type="expression" dxfId="181" priority="21">
      <formula>$A$138</formula>
    </cfRule>
  </conditionalFormatting>
  <conditionalFormatting sqref="D139">
    <cfRule type="expression" dxfId="180" priority="22">
      <formula>$A$139</formula>
    </cfRule>
  </conditionalFormatting>
  <conditionalFormatting sqref="D140">
    <cfRule type="expression" dxfId="179" priority="28">
      <formula>$A$140</formula>
    </cfRule>
  </conditionalFormatting>
  <conditionalFormatting sqref="D144">
    <cfRule type="expression" dxfId="178" priority="119">
      <formula>$A$144</formula>
    </cfRule>
  </conditionalFormatting>
  <conditionalFormatting sqref="D145">
    <cfRule type="expression" dxfId="177" priority="125">
      <formula>$A$145</formula>
    </cfRule>
  </conditionalFormatting>
  <conditionalFormatting sqref="D147">
    <cfRule type="expression" dxfId="176" priority="116">
      <formula>$A$147</formula>
    </cfRule>
  </conditionalFormatting>
  <conditionalFormatting sqref="D148">
    <cfRule type="expression" dxfId="175" priority="115">
      <formula>$A$148</formula>
    </cfRule>
  </conditionalFormatting>
  <conditionalFormatting sqref="D149">
    <cfRule type="expression" dxfId="174" priority="118">
      <formula>$A$149</formula>
    </cfRule>
  </conditionalFormatting>
  <conditionalFormatting sqref="D150">
    <cfRule type="expression" dxfId="173" priority="71">
      <formula>$A123</formula>
    </cfRule>
    <cfRule type="expression" dxfId="172" priority="114">
      <formula>$A$150</formula>
    </cfRule>
  </conditionalFormatting>
  <conditionalFormatting sqref="D151">
    <cfRule type="expression" dxfId="171" priority="113">
      <formula>$A$151</formula>
    </cfRule>
  </conditionalFormatting>
  <conditionalFormatting sqref="D152">
    <cfRule type="expression" dxfId="170" priority="112">
      <formula>$A$152</formula>
    </cfRule>
  </conditionalFormatting>
  <conditionalFormatting sqref="D153">
    <cfRule type="expression" dxfId="169" priority="111">
      <formula>$A$153</formula>
    </cfRule>
  </conditionalFormatting>
  <conditionalFormatting sqref="D154">
    <cfRule type="expression" dxfId="168" priority="110">
      <formula>$A$154</formula>
    </cfRule>
  </conditionalFormatting>
  <conditionalFormatting sqref="D155">
    <cfRule type="expression" dxfId="167" priority="120">
      <formula>$A$155</formula>
    </cfRule>
  </conditionalFormatting>
  <conditionalFormatting sqref="D156">
    <cfRule type="expression" dxfId="166" priority="121">
      <formula>$A$156</formula>
    </cfRule>
  </conditionalFormatting>
  <conditionalFormatting sqref="D157">
    <cfRule type="expression" dxfId="165" priority="122">
      <formula>$A$157</formula>
    </cfRule>
  </conditionalFormatting>
  <conditionalFormatting sqref="D158">
    <cfRule type="expression" dxfId="164" priority="123">
      <formula>$A$158</formula>
    </cfRule>
  </conditionalFormatting>
  <conditionalFormatting sqref="D159">
    <cfRule type="expression" dxfId="163" priority="124">
      <formula>$A$159</formula>
    </cfRule>
  </conditionalFormatting>
  <conditionalFormatting sqref="D160">
    <cfRule type="expression" dxfId="162" priority="109">
      <formula>$A$160</formula>
    </cfRule>
  </conditionalFormatting>
  <conditionalFormatting sqref="D161">
    <cfRule type="expression" dxfId="161" priority="108">
      <formula>$A$161</formula>
    </cfRule>
  </conditionalFormatting>
  <conditionalFormatting sqref="D162">
    <cfRule type="expression" dxfId="160" priority="107">
      <formula>$A$162</formula>
    </cfRule>
  </conditionalFormatting>
  <conditionalFormatting sqref="D163:D172">
    <cfRule type="expression" dxfId="159" priority="106">
      <formula>$A163</formula>
    </cfRule>
  </conditionalFormatting>
  <conditionalFormatting sqref="D174">
    <cfRule type="expression" dxfId="158" priority="60">
      <formula>$A$174</formula>
    </cfRule>
  </conditionalFormatting>
  <conditionalFormatting sqref="D175">
    <cfRule type="expression" dxfId="157" priority="59">
      <formula>$A$175</formula>
    </cfRule>
  </conditionalFormatting>
  <conditionalFormatting sqref="D176">
    <cfRule type="expression" dxfId="156" priority="58">
      <formula>$A$176</formula>
    </cfRule>
  </conditionalFormatting>
  <conditionalFormatting sqref="D177">
    <cfRule type="expression" dxfId="155" priority="70">
      <formula>$A$177</formula>
    </cfRule>
  </conditionalFormatting>
  <conditionalFormatting sqref="D178">
    <cfRule type="expression" dxfId="154" priority="69">
      <formula>$A$178</formula>
    </cfRule>
  </conditionalFormatting>
  <conditionalFormatting sqref="D179">
    <cfRule type="expression" dxfId="153" priority="68">
      <formula>$A$179</formula>
    </cfRule>
  </conditionalFormatting>
  <conditionalFormatting sqref="D180">
    <cfRule type="expression" dxfId="152" priority="67">
      <formula>$A$180</formula>
    </cfRule>
  </conditionalFormatting>
  <conditionalFormatting sqref="D181">
    <cfRule type="expression" dxfId="151" priority="66">
      <formula>$A$181</formula>
    </cfRule>
  </conditionalFormatting>
  <conditionalFormatting sqref="D182">
    <cfRule type="expression" dxfId="150" priority="65">
      <formula>$A$182</formula>
    </cfRule>
  </conditionalFormatting>
  <conditionalFormatting sqref="D183">
    <cfRule type="expression" dxfId="149" priority="64">
      <formula>$A$183</formula>
    </cfRule>
  </conditionalFormatting>
  <conditionalFormatting sqref="D184:D185">
    <cfRule type="expression" dxfId="148" priority="63">
      <formula>$A$184</formula>
    </cfRule>
  </conditionalFormatting>
  <conditionalFormatting sqref="D185">
    <cfRule type="expression" dxfId="147" priority="16">
      <formula>$A$185</formula>
    </cfRule>
  </conditionalFormatting>
  <conditionalFormatting sqref="D186">
    <cfRule type="expression" dxfId="146" priority="62">
      <formula>$A$186</formula>
    </cfRule>
  </conditionalFormatting>
  <conditionalFormatting sqref="D187">
    <cfRule type="expression" dxfId="145" priority="61">
      <formula>$A$187</formula>
    </cfRule>
  </conditionalFormatting>
  <conditionalFormatting sqref="D188">
    <cfRule type="expression" dxfId="144" priority="57">
      <formula>$A$188</formula>
    </cfRule>
  </conditionalFormatting>
  <conditionalFormatting sqref="D189">
    <cfRule type="expression" dxfId="143" priority="56">
      <formula>$A$189</formula>
    </cfRule>
  </conditionalFormatting>
  <conditionalFormatting sqref="D190">
    <cfRule type="expression" dxfId="142" priority="55">
      <formula>$A$190</formula>
    </cfRule>
  </conditionalFormatting>
  <conditionalFormatting sqref="D191">
    <cfRule type="expression" dxfId="141" priority="54">
      <formula>$A$191</formula>
    </cfRule>
  </conditionalFormatting>
  <conditionalFormatting sqref="D192">
    <cfRule type="expression" dxfId="140" priority="53">
      <formula>$A$192</formula>
    </cfRule>
  </conditionalFormatting>
  <conditionalFormatting sqref="D193">
    <cfRule type="expression" dxfId="139" priority="52">
      <formula>$A$193</formula>
    </cfRule>
  </conditionalFormatting>
  <conditionalFormatting sqref="D194">
    <cfRule type="expression" dxfId="138" priority="51">
      <formula>$A$194</formula>
    </cfRule>
  </conditionalFormatting>
  <conditionalFormatting sqref="D195">
    <cfRule type="expression" dxfId="137" priority="50">
      <formula>$A$195</formula>
    </cfRule>
  </conditionalFormatting>
  <conditionalFormatting sqref="D196">
    <cfRule type="cellIs" dxfId="136" priority="101" operator="greaterThan">
      <formula>55</formula>
    </cfRule>
    <cfRule type="cellIs" dxfId="135" priority="102" operator="lessThan">
      <formula>15</formula>
    </cfRule>
    <cfRule type="cellIs" dxfId="134" priority="104" operator="between">
      <formula>19</formula>
      <formula>45</formula>
    </cfRule>
  </conditionalFormatting>
  <conditionalFormatting sqref="D196:D197">
    <cfRule type="cellIs" dxfId="133" priority="30" operator="equal">
      <formula>0</formula>
    </cfRule>
  </conditionalFormatting>
  <conditionalFormatting sqref="D197">
    <cfRule type="cellIs" dxfId="132" priority="103" operator="between">
      <formula>36</formula>
      <formula>40</formula>
    </cfRule>
    <cfRule type="cellIs" dxfId="131" priority="100" operator="lessThan">
      <formula>36</formula>
    </cfRule>
    <cfRule type="cellIs" dxfId="130" priority="99" operator="greaterThan">
      <formula>40</formula>
    </cfRule>
  </conditionalFormatting>
  <conditionalFormatting sqref="D198">
    <cfRule type="expression" dxfId="129" priority="49">
      <formula>$A$198</formula>
    </cfRule>
  </conditionalFormatting>
  <conditionalFormatting sqref="D199">
    <cfRule type="expression" dxfId="128" priority="27">
      <formula>$A$199</formula>
    </cfRule>
  </conditionalFormatting>
  <conditionalFormatting sqref="D201">
    <cfRule type="expression" dxfId="127" priority="48">
      <formula>$A$201</formula>
    </cfRule>
  </conditionalFormatting>
  <conditionalFormatting sqref="D202">
    <cfRule type="expression" dxfId="126" priority="47">
      <formula>$A$202</formula>
    </cfRule>
  </conditionalFormatting>
  <conditionalFormatting sqref="D203">
    <cfRule type="expression" dxfId="125" priority="46">
      <formula>$A$203</formula>
    </cfRule>
  </conditionalFormatting>
  <conditionalFormatting sqref="D204">
    <cfRule type="expression" dxfId="124" priority="45">
      <formula>$A$204</formula>
    </cfRule>
  </conditionalFormatting>
  <conditionalFormatting sqref="D205">
    <cfRule type="expression" dxfId="123" priority="44">
      <formula>$A$205</formula>
    </cfRule>
  </conditionalFormatting>
  <conditionalFormatting sqref="D207">
    <cfRule type="expression" dxfId="122" priority="43">
      <formula>$A$207</formula>
    </cfRule>
  </conditionalFormatting>
  <conditionalFormatting sqref="D208">
    <cfRule type="expression" dxfId="121" priority="15">
      <formula>$A$208</formula>
    </cfRule>
  </conditionalFormatting>
  <conditionalFormatting sqref="D210">
    <cfRule type="expression" dxfId="120" priority="42">
      <formula>$A$210</formula>
    </cfRule>
  </conditionalFormatting>
  <conditionalFormatting sqref="D211">
    <cfRule type="expression" dxfId="119" priority="41">
      <formula>$A$211</formula>
    </cfRule>
  </conditionalFormatting>
  <conditionalFormatting sqref="D212">
    <cfRule type="expression" dxfId="118" priority="40">
      <formula>$A$212</formula>
    </cfRule>
  </conditionalFormatting>
  <conditionalFormatting sqref="D213">
    <cfRule type="expression" dxfId="117" priority="39">
      <formula>$A$213</formula>
    </cfRule>
  </conditionalFormatting>
  <conditionalFormatting sqref="D214">
    <cfRule type="expression" dxfId="116" priority="38">
      <formula>$A$214</formula>
    </cfRule>
  </conditionalFormatting>
  <conditionalFormatting sqref="D216">
    <cfRule type="expression" dxfId="115" priority="117">
      <formula>$A216</formula>
    </cfRule>
  </conditionalFormatting>
  <conditionalFormatting sqref="D217">
    <cfRule type="expression" dxfId="114" priority="89">
      <formula>$A$217</formula>
    </cfRule>
  </conditionalFormatting>
  <conditionalFormatting sqref="D218">
    <cfRule type="expression" dxfId="113" priority="37">
      <formula>$A$218</formula>
    </cfRule>
  </conditionalFormatting>
  <conditionalFormatting sqref="D219">
    <cfRule type="expression" dxfId="112" priority="36">
      <formula>$A$219</formula>
    </cfRule>
  </conditionalFormatting>
  <conditionalFormatting sqref="D220">
    <cfRule type="expression" dxfId="111" priority="35">
      <formula>$A$220</formula>
    </cfRule>
  </conditionalFormatting>
  <conditionalFormatting sqref="D221">
    <cfRule type="expression" dxfId="110" priority="34">
      <formula>$A$221</formula>
    </cfRule>
  </conditionalFormatting>
  <conditionalFormatting sqref="D222">
    <cfRule type="expression" dxfId="109" priority="33">
      <formula>$A$222</formula>
    </cfRule>
  </conditionalFormatting>
  <conditionalFormatting sqref="D223">
    <cfRule type="expression" dxfId="108" priority="32">
      <formula>$A$223</formula>
    </cfRule>
  </conditionalFormatting>
  <conditionalFormatting sqref="D224">
    <cfRule type="expression" dxfId="107" priority="31">
      <formula>$A$224</formula>
    </cfRule>
  </conditionalFormatting>
  <conditionalFormatting sqref="D228:D230">
    <cfRule type="expression" dxfId="106" priority="105">
      <formula>$A228</formula>
    </cfRule>
  </conditionalFormatting>
  <conditionalFormatting sqref="E82:J82">
    <cfRule type="cellIs" dxfId="105" priority="9" operator="between">
      <formula>1.9</formula>
      <formula>2.6</formula>
    </cfRule>
    <cfRule type="cellIs" dxfId="104" priority="8" operator="greaterThanOrEqual">
      <formula>2.7</formula>
    </cfRule>
  </conditionalFormatting>
  <conditionalFormatting sqref="G15:N15">
    <cfRule type="cellIs" dxfId="103" priority="169" operator="equal">
      <formula>"LATE"</formula>
    </cfRule>
    <cfRule type="cellIs" dxfId="102" priority="168" operator="equal">
      <formula>"ON TIME"</formula>
    </cfRule>
    <cfRule type="cellIs" dxfId="101" priority="170" operator="equal">
      <formula>"EARLY"</formula>
    </cfRule>
  </conditionalFormatting>
  <conditionalFormatting sqref="G91:N91">
    <cfRule type="cellIs" dxfId="100" priority="96" operator="equal">
      <formula>"ON TIME"</formula>
    </cfRule>
    <cfRule type="cellIs" dxfId="99" priority="97" operator="equal">
      <formula>"LATE"</formula>
    </cfRule>
    <cfRule type="cellIs" dxfId="98" priority="98" operator="equal">
      <formula>"EARLY"</formula>
    </cfRule>
  </conditionalFormatting>
  <conditionalFormatting sqref="G131:N131">
    <cfRule type="cellIs" dxfId="97" priority="167" operator="equal">
      <formula>"EARLY"</formula>
    </cfRule>
    <cfRule type="cellIs" dxfId="96" priority="166" operator="equal">
      <formula>"LATE"</formula>
    </cfRule>
    <cfRule type="cellIs" dxfId="95" priority="165" operator="equal">
      <formula>"ON TIME"</formula>
    </cfRule>
  </conditionalFormatting>
  <conditionalFormatting sqref="G134:N134">
    <cfRule type="cellIs" dxfId="94" priority="93" operator="equal">
      <formula>"ON TIME"</formula>
    </cfRule>
    <cfRule type="cellIs" dxfId="93" priority="94" operator="equal">
      <formula>"LATE"</formula>
    </cfRule>
    <cfRule type="cellIs" dxfId="92" priority="95" operator="equal">
      <formula>"EARLY"</formula>
    </cfRule>
  </conditionalFormatting>
  <conditionalFormatting sqref="G225:N225">
    <cfRule type="cellIs" dxfId="91" priority="90" operator="equal">
      <formula>"ON TIME"</formula>
    </cfRule>
    <cfRule type="cellIs" dxfId="90" priority="91" operator="equal">
      <formula>"LATE"</formula>
    </cfRule>
    <cfRule type="cellIs" dxfId="89" priority="92" operator="equal">
      <formula>"EARLY"</formula>
    </cfRule>
  </conditionalFormatting>
  <conditionalFormatting sqref="I226">
    <cfRule type="expression" dxfId="88" priority="23">
      <formula>$A226</formula>
    </cfRule>
  </conditionalFormatting>
  <conditionalFormatting sqref="I89:N89">
    <cfRule type="cellIs" dxfId="87" priority="7" operator="lessThanOrEqual">
      <formula>0.0416666666666667</formula>
    </cfRule>
    <cfRule type="cellIs" dxfId="86" priority="6" operator="greaterThan">
      <formula>0.0416666666666667</formula>
    </cfRule>
  </conditionalFormatting>
  <conditionalFormatting sqref="I132:N132">
    <cfRule type="cellIs" dxfId="85" priority="5" operator="lessThanOrEqual">
      <formula>0.0416666666666667</formula>
    </cfRule>
    <cfRule type="cellIs" dxfId="84" priority="4" operator="greaterThan">
      <formula>0.0416666666666667</formula>
    </cfRule>
  </conditionalFormatting>
  <conditionalFormatting sqref="I136:N136">
    <cfRule type="cellIs" dxfId="83" priority="3" operator="lessThanOrEqual">
      <formula>0.0833333333333333</formula>
    </cfRule>
    <cfRule type="cellIs" dxfId="82" priority="2" operator="greaterThan">
      <formula>0.0833333333333333</formula>
    </cfRule>
  </conditionalFormatting>
  <conditionalFormatting sqref="O9">
    <cfRule type="expression" dxfId="81" priority="163">
      <formula>$A$9</formula>
    </cfRule>
  </conditionalFormatting>
  <conditionalFormatting sqref="O72">
    <cfRule type="expression" dxfId="80" priority="162">
      <formula>$A$72</formula>
    </cfRule>
  </conditionalFormatting>
  <conditionalFormatting sqref="O85 O96 O126 O223:O226">
    <cfRule type="expression" dxfId="79" priority="164">
      <formula>$A$85</formula>
    </cfRule>
  </conditionalFormatting>
  <conditionalFormatting sqref="O87">
    <cfRule type="expression" dxfId="78" priority="156">
      <formula>$A$85</formula>
    </cfRule>
  </conditionalFormatting>
  <conditionalFormatting sqref="O93:O94">
    <cfRule type="expression" dxfId="77" priority="161">
      <formula>$A$85</formula>
    </cfRule>
  </conditionalFormatting>
  <conditionalFormatting sqref="O95">
    <cfRule type="expression" dxfId="76" priority="154">
      <formula>$A$72</formula>
    </cfRule>
  </conditionalFormatting>
  <conditionalFormatting sqref="O108">
    <cfRule type="expression" dxfId="75" priority="155">
      <formula>$A$85</formula>
    </cfRule>
  </conditionalFormatting>
  <conditionalFormatting sqref="O114:O119">
    <cfRule type="expression" dxfId="74" priority="158">
      <formula>$A$85</formula>
    </cfRule>
  </conditionalFormatting>
  <conditionalFormatting sqref="O121">
    <cfRule type="expression" dxfId="7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499" t="str">
        <f>'MP Calibration Certificate'!D17</f>
        <v>CML4W0M003</v>
      </c>
      <c r="I3" s="499"/>
    </row>
    <row r="4" spans="1:16" x14ac:dyDescent="0.35">
      <c r="A4" s="166" t="s">
        <v>241</v>
      </c>
      <c r="H4" s="500" t="e">
        <f>'MP Calibration Certificate'!D18</f>
        <v>#N/A</v>
      </c>
      <c r="I4" s="501"/>
    </row>
    <row r="5" spans="1:16" x14ac:dyDescent="0.35">
      <c r="A5" s="166" t="s">
        <v>430</v>
      </c>
      <c r="H5" s="501">
        <f>'Cover Service Sheet'!D6</f>
        <v>0</v>
      </c>
      <c r="I5" s="501"/>
    </row>
    <row r="6" spans="1:16" ht="13.15" x14ac:dyDescent="0.35">
      <c r="A6" s="166" t="s">
        <v>431</v>
      </c>
      <c r="H6" s="501">
        <f>'Cover Service Sheet'!D15</f>
        <v>0</v>
      </c>
      <c r="I6" s="501"/>
      <c r="M6" s="198"/>
      <c r="N6" s="199"/>
      <c r="O6" s="199"/>
      <c r="P6" s="307"/>
    </row>
    <row r="7" spans="1:16" ht="13.15" x14ac:dyDescent="0.35">
      <c r="A7" s="166" t="s">
        <v>432</v>
      </c>
      <c r="H7" s="501">
        <f>'Cover Service Sheet'!D16</f>
        <v>0</v>
      </c>
      <c r="I7" s="501"/>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6" t="s">
        <v>435</v>
      </c>
      <c r="C11" s="466"/>
      <c r="D11" s="466"/>
      <c r="E11" s="466"/>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6" t="s">
        <v>437</v>
      </c>
      <c r="C13" s="466"/>
      <c r="D13" s="466"/>
      <c r="E13" s="466"/>
      <c r="F13" s="466"/>
      <c r="H13" s="315" t="s">
        <v>438</v>
      </c>
      <c r="I13" s="312"/>
      <c r="M13" s="310"/>
      <c r="N13" s="309"/>
      <c r="O13" s="309"/>
      <c r="P13" s="309"/>
    </row>
    <row r="14" spans="1:16" ht="13.15" x14ac:dyDescent="0.4">
      <c r="A14" s="218"/>
      <c r="B14" s="492" t="s">
        <v>439</v>
      </c>
      <c r="C14" s="493"/>
      <c r="D14" s="493"/>
      <c r="E14" s="493"/>
      <c r="F14" s="493"/>
      <c r="G14" s="493"/>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f>AUTO!B3</f>
        <v>0</v>
      </c>
      <c r="J30" s="166">
        <f>AUTO!B4</f>
        <v>0</v>
      </c>
      <c r="K30" s="166">
        <f>AUTO!B5</f>
        <v>0</v>
      </c>
      <c r="L30" s="166">
        <f>AUTO!B6</f>
        <v>0</v>
      </c>
      <c r="M30" s="310">
        <f>AUTO!B7</f>
        <v>0</v>
      </c>
      <c r="N30" s="309">
        <f>AUTO!B8</f>
        <v>0</v>
      </c>
      <c r="O30" s="309">
        <f>AUTO!B9</f>
        <v>0</v>
      </c>
      <c r="P30" s="309">
        <f>AUTO!B10</f>
        <v>0</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6" t="s">
        <v>456</v>
      </c>
      <c r="C37" s="466"/>
      <c r="D37" s="466"/>
      <c r="E37" s="466"/>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7" t="s">
        <v>459</v>
      </c>
      <c r="C41" s="457"/>
      <c r="H41" s="324"/>
      <c r="M41" s="310"/>
      <c r="N41" s="309"/>
      <c r="O41" s="309"/>
      <c r="P41" s="309"/>
    </row>
    <row r="42" spans="1:16" x14ac:dyDescent="0.35">
      <c r="A42" s="218">
        <f>A40+1</f>
        <v>27</v>
      </c>
      <c r="B42" s="466" t="s">
        <v>460</v>
      </c>
      <c r="C42" s="466"/>
      <c r="D42" s="466"/>
      <c r="E42" s="466"/>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6" t="s">
        <v>463</v>
      </c>
      <c r="C45" s="466"/>
      <c r="D45" s="466"/>
      <c r="E45" s="466"/>
      <c r="F45" s="466"/>
      <c r="G45" s="496"/>
      <c r="H45" s="319" t="s">
        <v>438</v>
      </c>
      <c r="I45" s="497" t="str">
        <f>'Cover Service Sheet'!D49</f>
        <v>-</v>
      </c>
      <c r="J45" s="498"/>
      <c r="K45" s="498"/>
      <c r="M45" s="310"/>
      <c r="N45" s="309"/>
      <c r="O45" s="309"/>
      <c r="P45" s="309"/>
    </row>
    <row r="46" spans="1:16" x14ac:dyDescent="0.35">
      <c r="A46" s="218">
        <f t="shared" si="0"/>
        <v>31</v>
      </c>
      <c r="B46" s="466" t="s">
        <v>464</v>
      </c>
      <c r="C46" s="466"/>
      <c r="D46" s="466"/>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4" t="s">
        <v>472</v>
      </c>
      <c r="C55" s="495"/>
      <c r="D55" s="495"/>
      <c r="E55" s="495"/>
      <c r="F55" s="495"/>
      <c r="G55" s="495"/>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6" t="s">
        <v>476</v>
      </c>
      <c r="C61" s="466"/>
      <c r="D61" s="466"/>
      <c r="E61" s="466"/>
      <c r="F61" s="466"/>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6" t="s">
        <v>481</v>
      </c>
      <c r="C71" s="466"/>
      <c r="D71" s="466"/>
      <c r="E71" s="466"/>
      <c r="F71" s="466"/>
      <c r="G71" s="496"/>
      <c r="H71" s="320" t="s">
        <v>438</v>
      </c>
      <c r="I71" s="497">
        <f>'Cover Service Sheet'!D50</f>
        <v>0</v>
      </c>
      <c r="J71" s="498"/>
      <c r="K71" s="498"/>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88"/>
      <c r="I97" s="489"/>
    </row>
    <row r="98" spans="1:9" x14ac:dyDescent="0.35">
      <c r="A98" s="218">
        <f t="shared" si="1"/>
        <v>73</v>
      </c>
      <c r="B98" s="166" t="s">
        <v>236</v>
      </c>
      <c r="H98" s="490"/>
      <c r="I98" s="491"/>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5"/>
  <sheetViews>
    <sheetView topLeftCell="A6" zoomScale="70" zoomScaleNormal="70" zoomScaleSheetLayoutView="100" workbookViewId="0">
      <selection activeCell="A90" sqref="A90"/>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8" t="s">
        <v>689</v>
      </c>
      <c r="H4" s="508"/>
      <c r="I4" s="508"/>
      <c r="J4" s="508"/>
      <c r="K4" s="508"/>
      <c r="L4" s="508"/>
      <c r="M4" s="183"/>
    </row>
    <row r="5" spans="2:13" x14ac:dyDescent="0.35">
      <c r="B5" s="390" t="e">
        <f>VLOOKUP("pump_flow_emptying_ml_min",AUTO!$A$1:$B$1051,2,FALSE)</f>
        <v>#N/A</v>
      </c>
      <c r="C5" s="176" t="s">
        <v>516</v>
      </c>
      <c r="D5" s="177" t="s">
        <v>517</v>
      </c>
      <c r="E5" s="176"/>
      <c r="F5" s="183"/>
      <c r="G5" s="508"/>
      <c r="H5" s="508"/>
      <c r="I5" s="508"/>
      <c r="J5" s="508"/>
      <c r="K5" s="508"/>
      <c r="L5" s="508"/>
      <c r="M5" s="183"/>
    </row>
    <row r="6" spans="2:13" x14ac:dyDescent="0.35">
      <c r="B6" s="390" t="e">
        <f>VLOOKUP("pump_target_flow_ml_min",AUTO!$A$1:$B$1051,2,FALSE)</f>
        <v>#N/A</v>
      </c>
      <c r="C6" s="176" t="s">
        <v>516</v>
      </c>
      <c r="D6" s="177" t="s">
        <v>518</v>
      </c>
      <c r="E6" s="176"/>
      <c r="F6" s="183"/>
      <c r="G6" s="508"/>
      <c r="H6" s="508"/>
      <c r="I6" s="508"/>
      <c r="J6" s="508"/>
      <c r="K6" s="508"/>
      <c r="L6" s="508"/>
      <c r="M6" s="183"/>
    </row>
    <row r="7" spans="2:13" x14ac:dyDescent="0.35">
      <c r="B7" s="390" t="e">
        <f>VLOOKUP("pump_current_sampling",AUTO!$A$1:$B$1051,2,FALSE)</f>
        <v>#N/A</v>
      </c>
      <c r="C7" s="391" t="s">
        <v>519</v>
      </c>
      <c r="D7" s="392" t="s">
        <v>520</v>
      </c>
      <c r="E7" s="391"/>
      <c r="F7" s="183"/>
      <c r="G7" s="183"/>
      <c r="H7" s="183"/>
      <c r="I7" s="183"/>
      <c r="J7" s="183"/>
      <c r="K7" s="183"/>
      <c r="L7" s="183"/>
      <c r="M7" s="183"/>
    </row>
    <row r="8" spans="2:13" x14ac:dyDescent="0.35">
      <c r="B8" s="390" t="e">
        <f>VLOOKUP("pump_current_emptying",AUTO!$A$1:$B$1051,2,FALSE)</f>
        <v>#N/A</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t="e">
        <f>VLOOKUP("no_noise_threshold",AUTO!$A$1:$B$1051,2,FALSE)</f>
        <v>#N/A</v>
      </c>
      <c r="C11" s="402" t="s">
        <v>23</v>
      </c>
      <c r="D11" s="180" t="s">
        <v>527</v>
      </c>
      <c r="E11" s="403"/>
      <c r="F11" s="183"/>
      <c r="G11" s="183"/>
      <c r="H11" s="183"/>
      <c r="I11" s="183"/>
      <c r="J11" s="183"/>
      <c r="K11" s="183"/>
      <c r="L11" s="178" t="s">
        <v>528</v>
      </c>
      <c r="M11" s="183"/>
    </row>
    <row r="12" spans="2:13" x14ac:dyDescent="0.35">
      <c r="B12" s="390" t="e">
        <f>VLOOKUP("sample_volume_ml",AUTO!$A$1:$B$1051,2,FALSE)</f>
        <v>#N/A</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t="e">
        <f>VLOOKUP("led_level",AUTO!$A$1:$B$1051,2,FALSE)</f>
        <v>#N/A</v>
      </c>
      <c r="C14" s="176" t="s">
        <v>531</v>
      </c>
      <c r="D14" s="177" t="s">
        <v>532</v>
      </c>
      <c r="E14" s="176"/>
      <c r="F14" s="183"/>
      <c r="G14" s="181" t="s">
        <v>533</v>
      </c>
      <c r="H14" s="521" t="str">
        <f>'Cover Service Sheet'!D4&amp;'Cover Service Sheet'!F4&amp;'Cover Service Sheet'!H4&amp;'Cover Service Sheet'!J4&amp;'Cover Service Sheet'!L4&amp;'Cover Service Sheet'!N4&amp;'Cover Service Sheet'!P4</f>
        <v>CML4W0M003</v>
      </c>
      <c r="I14" s="522"/>
      <c r="J14" s="522"/>
      <c r="K14" s="396"/>
      <c r="L14" s="396"/>
      <c r="M14" s="406"/>
    </row>
    <row r="15" spans="2:13" ht="12.75" customHeight="1" x14ac:dyDescent="0.35">
      <c r="B15" s="407"/>
      <c r="C15" s="396"/>
      <c r="D15" s="397"/>
      <c r="E15" s="396"/>
      <c r="F15" s="183"/>
      <c r="G15" s="181" t="s">
        <v>241</v>
      </c>
      <c r="H15" s="512" t="e">
        <f>VLOOKUP("serial_number_",AUTO!$A$1:$B$1051,2,FALSE)</f>
        <v>#N/A</v>
      </c>
      <c r="I15" s="513"/>
      <c r="J15" s="514"/>
      <c r="K15" s="183"/>
      <c r="L15" s="183"/>
      <c r="M15" s="183"/>
    </row>
    <row r="16" spans="2:13" ht="13.15" x14ac:dyDescent="0.35">
      <c r="B16" s="182"/>
      <c r="C16" s="174"/>
      <c r="D16" s="398"/>
      <c r="E16" s="399"/>
      <c r="F16" s="183"/>
      <c r="G16" s="181" t="s">
        <v>236</v>
      </c>
      <c r="H16" s="509" t="e">
        <f>VLOOKUP("date_",AUTO!$A$1:$B$1051,2,FALSE)</f>
        <v>#N/A</v>
      </c>
      <c r="I16" s="510"/>
      <c r="J16" s="511"/>
      <c r="K16" s="183"/>
      <c r="L16" s="183"/>
      <c r="M16" s="183"/>
    </row>
    <row r="17" spans="2:10" ht="13.15" x14ac:dyDescent="0.35">
      <c r="B17" s="390"/>
      <c r="C17" s="402"/>
      <c r="D17" s="180"/>
      <c r="E17" s="403"/>
      <c r="F17" s="183"/>
      <c r="G17" s="181" t="s">
        <v>534</v>
      </c>
      <c r="H17" s="512" t="e">
        <f>H15&amp;" "&amp;TEXT(H16,"ddmmyy")</f>
        <v>#N/A</v>
      </c>
      <c r="I17" s="513"/>
      <c r="J17" s="514"/>
    </row>
    <row r="18" spans="2:10" ht="13.15" x14ac:dyDescent="0.35">
      <c r="B18" s="390"/>
      <c r="C18" s="176"/>
      <c r="D18" s="177"/>
      <c r="E18" s="176"/>
      <c r="F18" s="183"/>
      <c r="G18" s="181" t="s">
        <v>535</v>
      </c>
      <c r="H18" s="518" t="s">
        <v>536</v>
      </c>
      <c r="I18" s="519"/>
      <c r="J18" s="520"/>
    </row>
    <row r="19" spans="2:10" ht="13.15" x14ac:dyDescent="0.35">
      <c r="B19" s="390"/>
      <c r="C19" s="405"/>
      <c r="D19" s="177"/>
      <c r="E19" s="176"/>
      <c r="F19" s="183"/>
      <c r="G19" s="181" t="s">
        <v>537</v>
      </c>
      <c r="H19" s="515" t="e">
        <f>VLOOKUP("rig_param_identifier",AUTO!$A$1:$B$1051,2,FALSE)</f>
        <v>#N/A</v>
      </c>
      <c r="I19" s="516"/>
      <c r="J19" s="517"/>
    </row>
    <row r="20" spans="2:10" x14ac:dyDescent="0.35">
      <c r="B20" s="390"/>
      <c r="C20" s="176"/>
      <c r="D20" s="177"/>
      <c r="E20" s="176"/>
      <c r="F20" s="183"/>
      <c r="G20" s="183"/>
      <c r="H20" s="183"/>
      <c r="I20" s="183"/>
      <c r="J20" s="183"/>
    </row>
    <row r="21" spans="2:10" ht="12.75" customHeight="1" x14ac:dyDescent="0.35">
      <c r="B21" s="407"/>
      <c r="C21" s="396"/>
      <c r="D21" s="397"/>
      <c r="E21" s="396"/>
      <c r="F21" s="183"/>
      <c r="G21" s="504" t="s">
        <v>538</v>
      </c>
      <c r="H21" s="505" t="e">
        <f>VLOOKUP("rig_cleanliness_count",AUTO!$A$1:$B$1051,2,FALSE)</f>
        <v>#N/A</v>
      </c>
      <c r="I21" s="183"/>
      <c r="J21" s="183"/>
    </row>
    <row r="22" spans="2:10" ht="13.15" x14ac:dyDescent="0.35">
      <c r="B22" s="179" t="s">
        <v>539</v>
      </c>
      <c r="C22" s="174" t="s">
        <v>515</v>
      </c>
      <c r="D22" s="398"/>
      <c r="E22" s="399"/>
      <c r="F22" s="183"/>
      <c r="G22" s="504"/>
      <c r="H22" s="506"/>
      <c r="I22" s="183"/>
      <c r="J22" s="183"/>
    </row>
    <row r="23" spans="2:10" x14ac:dyDescent="0.35">
      <c r="B23" s="390" t="e">
        <f>VLOOKUP("meas_init_level",AUTO!A13:B1063,2,FALSE)</f>
        <v>#N/A</v>
      </c>
      <c r="C23" s="403" t="s">
        <v>540</v>
      </c>
      <c r="D23" s="180" t="s">
        <v>541</v>
      </c>
      <c r="E23" s="403"/>
      <c r="F23" s="183"/>
      <c r="G23" s="504"/>
      <c r="H23" s="506"/>
      <c r="I23" s="183"/>
      <c r="J23" s="183"/>
    </row>
    <row r="24" spans="2:10" x14ac:dyDescent="0.35">
      <c r="B24" s="390" t="e">
        <f>VLOOKUP("calc_init_volume",AUTO!$A$1:$B$1051,2,FALSE)</f>
        <v>#N/A</v>
      </c>
      <c r="C24" s="176" t="s">
        <v>542</v>
      </c>
      <c r="D24" s="177" t="s">
        <v>543</v>
      </c>
      <c r="E24" s="176"/>
      <c r="F24" s="183"/>
      <c r="G24" s="504"/>
      <c r="H24" s="507"/>
      <c r="I24" s="183"/>
      <c r="J24" s="183"/>
    </row>
    <row r="25" spans="2:10" x14ac:dyDescent="0.35">
      <c r="B25" s="390" t="e">
        <f>VLOOKUP("desired_concentration",AUTO!$A$1:$B$1051,2,FALSE)</f>
        <v>#N/A</v>
      </c>
      <c r="C25" s="176" t="s">
        <v>544</v>
      </c>
      <c r="D25" s="177" t="s">
        <v>545</v>
      </c>
      <c r="E25" s="176"/>
      <c r="F25" s="183"/>
      <c r="G25" s="183"/>
      <c r="H25" s="183"/>
      <c r="I25" s="183"/>
      <c r="J25" s="183"/>
    </row>
    <row r="26" spans="2:10" x14ac:dyDescent="0.35">
      <c r="B26" s="390" t="e">
        <f>VLOOKUP("calc_qty_add",AUTO!$A$1:$B$1051,2,FALSE)</f>
        <v>#N/A</v>
      </c>
      <c r="C26" s="176" t="s">
        <v>546</v>
      </c>
      <c r="D26" s="177" t="s">
        <v>547</v>
      </c>
      <c r="E26" s="176"/>
      <c r="F26" s="183"/>
      <c r="G26" s="184" t="s">
        <v>548</v>
      </c>
      <c r="H26" s="502" t="s">
        <v>706</v>
      </c>
      <c r="I26" s="503"/>
      <c r="J26" s="183"/>
    </row>
    <row r="27" spans="2:10" x14ac:dyDescent="0.35">
      <c r="B27" s="390" t="e">
        <f>VLOOKUP("meas_qty_add",AUTO!$A$1:$B$1051,2,FALSE)</f>
        <v>#N/A</v>
      </c>
      <c r="C27" s="176" t="s">
        <v>546</v>
      </c>
      <c r="D27" s="177" t="s">
        <v>549</v>
      </c>
      <c r="E27" s="176"/>
      <c r="F27" s="183"/>
      <c r="G27" s="184" t="s">
        <v>550</v>
      </c>
      <c r="H27" s="488"/>
      <c r="I27" s="489"/>
      <c r="J27" s="183"/>
    </row>
    <row r="28" spans="2:10" x14ac:dyDescent="0.35">
      <c r="B28" s="390" t="e">
        <f>VLOOKUP("meas_final_level",AUTO!$A$1:$B$1051,2,FALSE)</f>
        <v>#N/A</v>
      </c>
      <c r="C28" s="176" t="s">
        <v>540</v>
      </c>
      <c r="D28" s="177" t="s">
        <v>551</v>
      </c>
      <c r="E28" s="176"/>
      <c r="F28" s="183"/>
      <c r="G28" s="183"/>
      <c r="H28" s="183"/>
      <c r="I28" s="183"/>
      <c r="J28" s="183"/>
    </row>
    <row r="29" spans="2:10" x14ac:dyDescent="0.35">
      <c r="B29" s="390" t="e">
        <f>VLOOKUP("calc_volume",AUTO!$A$1:$B$1051,2,FALSE)</f>
        <v>#N/A</v>
      </c>
      <c r="C29" s="176" t="s">
        <v>542</v>
      </c>
      <c r="D29" s="177" t="s">
        <v>552</v>
      </c>
      <c r="E29" s="176"/>
      <c r="F29" s="183"/>
      <c r="G29" s="183"/>
      <c r="H29" s="183"/>
      <c r="I29" s="183"/>
      <c r="J29" s="183"/>
    </row>
    <row r="30" spans="2:10" x14ac:dyDescent="0.35">
      <c r="B30" s="427" t="e">
        <f>VLOOKUP("calc_concentration",AUTO!$A$1:$B$1051,2,FALSE)</f>
        <v>#N/A</v>
      </c>
      <c r="C30" s="176" t="s">
        <v>544</v>
      </c>
      <c r="D30" s="177" t="s">
        <v>553</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554</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555</v>
      </c>
    </row>
    <row r="65" spans="1:10" s="195" customFormat="1" ht="13.15" x14ac:dyDescent="0.35">
      <c r="B65" s="196" t="e">
        <f>VLOOKUP("threshold0",AUTO!$A$1:$B$1051,2,FALSE)</f>
        <v>#N/A</v>
      </c>
      <c r="C65" s="196" t="e">
        <f>VLOOKUP("threshold1",AUTO!$A$1:$B$1051,2,FALSE)</f>
        <v>#N/A</v>
      </c>
      <c r="D65" s="196" t="e">
        <f>VLOOKUP("threshold2",AUTO!$A$1:$B$1051,2,FALSE)</f>
        <v>#N/A</v>
      </c>
      <c r="E65" s="196" t="e">
        <f>VLOOKUP("threshold3",AUTO!$A$1:$B$1051,2,FALSE)</f>
        <v>#N/A</v>
      </c>
      <c r="F65" s="196" t="e">
        <f>VLOOKUP("threshold4",AUTO!$A$1:$B$1051,2,FALSE)</f>
        <v>#N/A</v>
      </c>
      <c r="G65" s="196" t="e">
        <f>VLOOKUP("threshold5",AUTO!$A$1:$B$1051,2,FALSE)</f>
        <v>#N/A</v>
      </c>
      <c r="H65" s="196" t="e">
        <f>VLOOKUP("threshold6",AUTO!$A$1:$B$1051,2,FALSE)</f>
        <v>#N/A</v>
      </c>
      <c r="I65" s="196" t="e">
        <f>VLOOKUP("threshold7",AUTO!$A$1:$B$1051,2,FALSE)</f>
        <v>#N/A</v>
      </c>
      <c r="J65" s="57" t="s">
        <v>556</v>
      </c>
    </row>
    <row r="66" spans="1:10" x14ac:dyDescent="0.35">
      <c r="A66" s="183"/>
      <c r="B66" s="413"/>
      <c r="C66" s="413"/>
      <c r="D66" s="413"/>
      <c r="E66" s="413"/>
      <c r="F66" s="413"/>
      <c r="G66" s="414"/>
      <c r="H66" s="413"/>
      <c r="I66" s="413"/>
      <c r="J66" s="183"/>
    </row>
    <row r="67" spans="1:10" ht="13.15" x14ac:dyDescent="0.35">
      <c r="A67" s="138" t="s">
        <v>557</v>
      </c>
      <c r="B67" s="137" t="s">
        <v>558</v>
      </c>
      <c r="C67" s="137">
        <v>1</v>
      </c>
      <c r="D67" s="137" t="s">
        <v>559</v>
      </c>
      <c r="E67" s="137">
        <v>2</v>
      </c>
      <c r="F67" s="137" t="s">
        <v>560</v>
      </c>
      <c r="G67" s="137">
        <v>3</v>
      </c>
      <c r="H67" s="137" t="s">
        <v>561</v>
      </c>
      <c r="I67" s="137" t="s">
        <v>562</v>
      </c>
      <c r="J67" s="183"/>
    </row>
    <row r="68" spans="1:10" ht="18" customHeight="1" x14ac:dyDescent="0.35">
      <c r="A68" s="139">
        <v>4</v>
      </c>
      <c r="B68" s="163" t="e">
        <f>VLOOKUP("reference_count_0",AUTO!$A$1:$B$1051,2,FALSE)</f>
        <v>#N/A</v>
      </c>
      <c r="C68" s="390" t="e">
        <f>VLOOKUP("verification_count_1_0",AUTO!$A$1:$B$1051,2,FALSE)</f>
        <v>#N/A</v>
      </c>
      <c r="D68" s="156" t="e">
        <f>(C68-B68)/B68</f>
        <v>#N/A</v>
      </c>
      <c r="E68" s="390" t="e">
        <f>VLOOKUP("verification_count_2_0",AUTO!$A$1:$B$1051,2,FALSE)</f>
        <v>#N/A</v>
      </c>
      <c r="F68" s="156" t="e">
        <f>(E68-B68)/B68</f>
        <v>#N/A</v>
      </c>
      <c r="G68" s="390" t="e">
        <f>VLOOKUP("verification_count_3_0",AUTO!$A$1:$B$1051,2,FALSE)</f>
        <v>#N/A</v>
      </c>
      <c r="H68" s="156" t="e">
        <f>(G68-B68)/B68</f>
        <v>#N/A</v>
      </c>
      <c r="I68" s="329" t="e">
        <f>(C68+E68+G68)/3</f>
        <v>#N/A</v>
      </c>
      <c r="J68" s="156" t="e">
        <f>(I68-$B68)/$B68</f>
        <v>#N/A</v>
      </c>
    </row>
    <row r="69" spans="1:10" ht="18" customHeight="1" x14ac:dyDescent="0.35">
      <c r="A69" s="139">
        <v>6</v>
      </c>
      <c r="B69" s="163" t="e">
        <f>VLOOKUP("reference_count_1",AUTO!$A$1:$B$1051,2,FALSE)</f>
        <v>#N/A</v>
      </c>
      <c r="C69" s="390" t="e">
        <f>VLOOKUP("verification_count_1_1",AUTO!$A$1:$B$1051,2,FALSE)</f>
        <v>#N/A</v>
      </c>
      <c r="D69" s="156" t="e">
        <f t="shared" ref="D69:D75" si="0">(C69-B69)/B69</f>
        <v>#N/A</v>
      </c>
      <c r="E69" s="390" t="e">
        <f>VLOOKUP("verification_count_2_1",AUTO!$A$1:$B$1051,2,FALSE)</f>
        <v>#N/A</v>
      </c>
      <c r="F69" s="156" t="e">
        <f t="shared" ref="F69:F75" si="1">(E69-B69)/B69</f>
        <v>#N/A</v>
      </c>
      <c r="G69" s="390" t="e">
        <f>VLOOKUP("verification_count_3_1",AUTO!$A$1:$B$1051,2,FALSE)</f>
        <v>#N/A</v>
      </c>
      <c r="H69" s="156" t="e">
        <f t="shared" ref="H69:H75" si="2">(G69-B69)/B69</f>
        <v>#N/A</v>
      </c>
      <c r="I69" s="329" t="e">
        <f t="shared" ref="I69:I75" si="3">(C69+E69+G69)/3</f>
        <v>#N/A</v>
      </c>
      <c r="J69" s="156" t="e">
        <f t="shared" ref="J69:J75" si="4">(I69-$B69)/$B69</f>
        <v>#N/A</v>
      </c>
    </row>
    <row r="70" spans="1:10" ht="18" customHeight="1" x14ac:dyDescent="0.35">
      <c r="A70" s="139">
        <v>14</v>
      </c>
      <c r="B70" s="163" t="e">
        <f>VLOOKUP("reference_count_2",AUTO!$A$1:$B$1051,2,FALSE)</f>
        <v>#N/A</v>
      </c>
      <c r="C70" s="390" t="e">
        <f>VLOOKUP("verification_count_1_2",AUTO!$A$1:$B$1051,2,FALSE)</f>
        <v>#N/A</v>
      </c>
      <c r="D70" s="156" t="e">
        <f t="shared" si="0"/>
        <v>#N/A</v>
      </c>
      <c r="E70" s="390" t="e">
        <f>VLOOKUP("verification_count_2_2",AUTO!$A$1:$B$1051,2,FALSE)</f>
        <v>#N/A</v>
      </c>
      <c r="F70" s="156" t="e">
        <f t="shared" si="1"/>
        <v>#N/A</v>
      </c>
      <c r="G70" s="390" t="e">
        <f>VLOOKUP("verification_count_3_2",AUTO!$A$1:$B$1051,2,FALSE)</f>
        <v>#N/A</v>
      </c>
      <c r="H70" s="156" t="e">
        <f t="shared" si="2"/>
        <v>#N/A</v>
      </c>
      <c r="I70" s="329" t="e">
        <f t="shared" si="3"/>
        <v>#N/A</v>
      </c>
      <c r="J70" s="156" t="e">
        <f t="shared" si="4"/>
        <v>#N/A</v>
      </c>
    </row>
    <row r="71" spans="1:10" ht="18" customHeight="1" x14ac:dyDescent="0.35">
      <c r="A71" s="139">
        <v>21</v>
      </c>
      <c r="B71" s="163" t="e">
        <f>VLOOKUP("reference_count_3",AUTO!$A$1:$B$1051,2,FALSE)</f>
        <v>#N/A</v>
      </c>
      <c r="C71" s="390" t="e">
        <f>VLOOKUP("verification_count_1_3",AUTO!$A$1:$B$1051,2,FALSE)</f>
        <v>#N/A</v>
      </c>
      <c r="D71" s="156" t="e">
        <f t="shared" si="0"/>
        <v>#N/A</v>
      </c>
      <c r="E71" s="390" t="e">
        <f>VLOOKUP("verification_count_2_3",AUTO!$A$1:$B$1051,2,FALSE)</f>
        <v>#N/A</v>
      </c>
      <c r="F71" s="156" t="e">
        <f t="shared" si="1"/>
        <v>#N/A</v>
      </c>
      <c r="G71" s="390" t="e">
        <f>VLOOKUP("verification_count_3_3",AUTO!$A$1:$B$1051,2,FALSE)</f>
        <v>#N/A</v>
      </c>
      <c r="H71" s="156" t="e">
        <f t="shared" si="2"/>
        <v>#N/A</v>
      </c>
      <c r="I71" s="329" t="e">
        <f t="shared" si="3"/>
        <v>#N/A</v>
      </c>
      <c r="J71" s="156" t="e">
        <f t="shared" si="4"/>
        <v>#N/A</v>
      </c>
    </row>
    <row r="72" spans="1:10" ht="18" customHeight="1" x14ac:dyDescent="0.35">
      <c r="A72" s="139">
        <v>25</v>
      </c>
      <c r="B72" s="163" t="e">
        <f>VLOOKUP("reference_count_4",AUTO!$A$1:$B$1051,2,FALSE)</f>
        <v>#N/A</v>
      </c>
      <c r="C72" s="390" t="e">
        <f>VLOOKUP("verification_count_1_4",AUTO!$A$1:$B$1051,2,FALSE)</f>
        <v>#N/A</v>
      </c>
      <c r="D72" s="156" t="e">
        <f t="shared" si="0"/>
        <v>#N/A</v>
      </c>
      <c r="E72" s="390" t="e">
        <f>VLOOKUP("verification_count_2_4",AUTO!$A$1:$B$1051,2,FALSE)</f>
        <v>#N/A</v>
      </c>
      <c r="F72" s="156" t="e">
        <f t="shared" si="1"/>
        <v>#N/A</v>
      </c>
      <c r="G72" s="390" t="e">
        <f>VLOOKUP("verification_count_3_4",AUTO!$A$1:$B$1051,2,FALSE)</f>
        <v>#N/A</v>
      </c>
      <c r="H72" s="156" t="e">
        <f t="shared" si="2"/>
        <v>#N/A</v>
      </c>
      <c r="I72" s="329" t="e">
        <f t="shared" si="3"/>
        <v>#N/A</v>
      </c>
      <c r="J72" s="156" t="e">
        <f t="shared" si="4"/>
        <v>#N/A</v>
      </c>
    </row>
    <row r="73" spans="1:10" ht="18" customHeight="1" x14ac:dyDescent="0.35">
      <c r="A73" s="139">
        <v>38</v>
      </c>
      <c r="B73" s="163" t="e">
        <f>VLOOKUP("reference_count_5",AUTO!$A$1:$B$1051,2,FALSE)</f>
        <v>#N/A</v>
      </c>
      <c r="C73" s="390" t="e">
        <f>VLOOKUP("verification_count_1_5",AUTO!$A$1:$B$1051,2,FALSE)</f>
        <v>#N/A</v>
      </c>
      <c r="D73" s="156" t="e">
        <f t="shared" si="0"/>
        <v>#N/A</v>
      </c>
      <c r="E73" s="390" t="e">
        <f>VLOOKUP("verification_count_2_5",AUTO!$A$1:$B$1051,2,FALSE)</f>
        <v>#N/A</v>
      </c>
      <c r="F73" s="156" t="e">
        <f t="shared" si="1"/>
        <v>#N/A</v>
      </c>
      <c r="G73" s="390" t="e">
        <f>VLOOKUP("verification_count_3_5",AUTO!$A$1:$B$1051,2,FALSE)</f>
        <v>#N/A</v>
      </c>
      <c r="H73" s="156" t="e">
        <f t="shared" si="2"/>
        <v>#N/A</v>
      </c>
      <c r="I73" s="329" t="e">
        <f t="shared" si="3"/>
        <v>#N/A</v>
      </c>
      <c r="J73" s="156" t="e">
        <f t="shared" si="4"/>
        <v>#N/A</v>
      </c>
    </row>
    <row r="74" spans="1:10" ht="18" customHeight="1" x14ac:dyDescent="0.35">
      <c r="A74" s="139">
        <v>50</v>
      </c>
      <c r="B74" s="163" t="e">
        <f>VLOOKUP("reference_count_6",AUTO!$A$1:$B$1051,2,FALSE)</f>
        <v>#N/A</v>
      </c>
      <c r="C74" s="390" t="e">
        <f>VLOOKUP("verification_count_1_6",AUTO!$A$1:$B$1051,2,FALSE)</f>
        <v>#N/A</v>
      </c>
      <c r="D74" s="156" t="e">
        <f t="shared" si="0"/>
        <v>#N/A</v>
      </c>
      <c r="E74" s="390" t="e">
        <f>VLOOKUP("verification_count_2_6",AUTO!$A$1:$B$1051,2,FALSE)</f>
        <v>#N/A</v>
      </c>
      <c r="F74" s="156" t="e">
        <f t="shared" si="1"/>
        <v>#N/A</v>
      </c>
      <c r="G74" s="390" t="e">
        <f>VLOOKUP("verification_count_3_6",AUTO!$A$1:$B$1051,2,FALSE)</f>
        <v>#N/A</v>
      </c>
      <c r="H74" s="156" t="e">
        <f t="shared" si="2"/>
        <v>#N/A</v>
      </c>
      <c r="I74" s="329" t="e">
        <f t="shared" si="3"/>
        <v>#N/A</v>
      </c>
      <c r="J74" s="156" t="e">
        <f t="shared" si="4"/>
        <v>#N/A</v>
      </c>
    </row>
    <row r="75" spans="1:10" ht="18" customHeight="1" x14ac:dyDescent="0.35">
      <c r="A75" s="139">
        <v>70</v>
      </c>
      <c r="B75" s="163" t="e">
        <f>VLOOKUP("reference_count_7",AUTO!$A$1:$B$1051,2,FALSE)</f>
        <v>#N/A</v>
      </c>
      <c r="C75" s="390" t="e">
        <f>VLOOKUP("verification_count_1_7",AUTO!$A$1:$B$1051,2,FALSE)</f>
        <v>#N/A</v>
      </c>
      <c r="D75" s="156" t="e">
        <f t="shared" si="0"/>
        <v>#N/A</v>
      </c>
      <c r="E75" s="390" t="e">
        <f>VLOOKUP("verification_count_2_7",AUTO!$A$1:$B$1051,2,FALSE)</f>
        <v>#N/A</v>
      </c>
      <c r="F75" s="156" t="e">
        <f t="shared" si="1"/>
        <v>#N/A</v>
      </c>
      <c r="G75" s="390" t="e">
        <f>VLOOKUP("verification_count_3_7",AUTO!$A$1:$B$1051,2,FALSE)</f>
        <v>#N/A</v>
      </c>
      <c r="H75" s="156" t="e">
        <f t="shared" si="2"/>
        <v>#N/A</v>
      </c>
      <c r="I75" s="329" t="e">
        <f t="shared" si="3"/>
        <v>#N/A</v>
      </c>
      <c r="J75" s="156" t="e">
        <f t="shared" si="4"/>
        <v>#N/A</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72" priority="13" stopIfTrue="1" operator="greaterThan">
      <formula>0</formula>
    </cfRule>
  </conditionalFormatting>
  <conditionalFormatting sqref="D68:D75">
    <cfRule type="cellIs" dxfId="71" priority="10" stopIfTrue="1" operator="between">
      <formula>-0.1</formula>
      <formula>0.1</formula>
    </cfRule>
    <cfRule type="cellIs" dxfId="70" priority="11" stopIfTrue="1" operator="greaterThanOrEqual">
      <formula>0.1</formula>
    </cfRule>
    <cfRule type="cellIs" dxfId="69" priority="12" stopIfTrue="1" operator="lessThan">
      <formula>-0.1</formula>
    </cfRule>
  </conditionalFormatting>
  <conditionalFormatting sqref="F68:F75">
    <cfRule type="cellIs" dxfId="68" priority="7" stopIfTrue="1" operator="between">
      <formula>-0.1</formula>
      <formula>0.1</formula>
    </cfRule>
    <cfRule type="cellIs" dxfId="67" priority="8" stopIfTrue="1" operator="greaterThanOrEqual">
      <formula>0.1</formula>
    </cfRule>
    <cfRule type="cellIs" dxfId="66" priority="9" stopIfTrue="1" operator="lessThan">
      <formula>-0.1</formula>
    </cfRule>
  </conditionalFormatting>
  <conditionalFormatting sqref="H68:H75">
    <cfRule type="cellIs" dxfId="65" priority="4" stopIfTrue="1" operator="between">
      <formula>-0.1</formula>
      <formula>0.1</formula>
    </cfRule>
    <cfRule type="cellIs" dxfId="64" priority="5" stopIfTrue="1" operator="greaterThanOrEqual">
      <formula>0.1</formula>
    </cfRule>
    <cfRule type="cellIs" dxfId="63" priority="6" stopIfTrue="1" operator="lessThan">
      <formula>-0.1</formula>
    </cfRule>
  </conditionalFormatting>
  <conditionalFormatting sqref="J68:J75">
    <cfRule type="cellIs" dxfId="62" priority="1" stopIfTrue="1" operator="between">
      <formula>-0.1</formula>
      <formula>0.1</formula>
    </cfRule>
    <cfRule type="cellIs" dxfId="61" priority="2" stopIfTrue="1" operator="greaterThanOrEqual">
      <formula>0.1</formula>
    </cfRule>
    <cfRule type="cellIs" dxfId="6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8"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A90" sqref="A9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563</v>
      </c>
      <c r="C2" s="83"/>
    </row>
    <row r="3" spans="1:16" ht="13.5" x14ac:dyDescent="0.35">
      <c r="B3" s="87" t="s">
        <v>564</v>
      </c>
      <c r="C3" s="83"/>
    </row>
    <row r="4" spans="1:16" ht="13.5" x14ac:dyDescent="0.35">
      <c r="B4" s="87" t="s">
        <v>565</v>
      </c>
      <c r="C4" s="83"/>
    </row>
    <row r="5" spans="1:16" ht="13.5" x14ac:dyDescent="0.35">
      <c r="B5" s="87" t="s">
        <v>566</v>
      </c>
      <c r="C5" s="83"/>
    </row>
    <row r="6" spans="1:16" ht="13.5" x14ac:dyDescent="0.35">
      <c r="B6" s="87" t="s">
        <v>567</v>
      </c>
      <c r="C6" s="83"/>
    </row>
    <row r="7" spans="1:16" ht="15" x14ac:dyDescent="0.4">
      <c r="B7" s="87" t="s">
        <v>568</v>
      </c>
      <c r="C7" s="83"/>
      <c r="D7" s="88"/>
    </row>
    <row r="8" spans="1:16" ht="13.5" x14ac:dyDescent="0.35">
      <c r="B8" s="53" t="s">
        <v>569</v>
      </c>
      <c r="C8" s="83"/>
    </row>
    <row r="9" spans="1:16" ht="13.5" x14ac:dyDescent="0.35">
      <c r="B9" s="53"/>
      <c r="C9" s="83"/>
    </row>
    <row r="10" spans="1:16" ht="37.5" customHeight="1" x14ac:dyDescent="0.85">
      <c r="B10" s="541" t="s">
        <v>570</v>
      </c>
      <c r="C10" s="541"/>
      <c r="D10" s="541"/>
      <c r="E10" s="541"/>
      <c r="F10" s="541"/>
      <c r="G10" s="541"/>
      <c r="H10" s="541"/>
      <c r="I10" s="541"/>
      <c r="J10" s="541"/>
      <c r="K10" s="541"/>
      <c r="L10" s="541"/>
      <c r="M10" s="541"/>
      <c r="N10" s="541"/>
      <c r="O10" s="541"/>
      <c r="P10" s="541"/>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4" t="s">
        <v>571</v>
      </c>
      <c r="C13" s="554"/>
      <c r="D13" s="554"/>
      <c r="E13" s="554"/>
      <c r="F13" s="554"/>
      <c r="G13" s="554"/>
      <c r="H13" s="554"/>
      <c r="I13" s="554"/>
      <c r="J13" s="554"/>
      <c r="K13" s="554"/>
      <c r="L13" s="554"/>
      <c r="M13" s="554"/>
      <c r="N13" s="554"/>
      <c r="O13" s="554"/>
      <c r="P13" s="91"/>
    </row>
    <row r="14" spans="1:16" ht="77.25" customHeight="1" x14ac:dyDescent="0.35">
      <c r="A14" s="92"/>
      <c r="B14" s="554" t="s">
        <v>572</v>
      </c>
      <c r="C14" s="554"/>
      <c r="D14" s="554"/>
      <c r="E14" s="554"/>
      <c r="F14" s="554"/>
      <c r="G14" s="554"/>
      <c r="H14" s="554"/>
      <c r="I14" s="554"/>
      <c r="J14" s="554"/>
      <c r="K14" s="554"/>
      <c r="L14" s="554"/>
      <c r="M14" s="554"/>
      <c r="N14" s="554"/>
      <c r="O14" s="554"/>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25" t="str">
        <f>'Auto-Calibration record'!H14</f>
        <v>CML4W0M003</v>
      </c>
      <c r="E17" s="525"/>
      <c r="F17" s="525"/>
      <c r="K17" s="95" t="s">
        <v>574</v>
      </c>
      <c r="L17" s="96"/>
      <c r="M17" s="96"/>
      <c r="N17" s="97"/>
      <c r="O17" s="378" t="str">
        <f>'Auto-Calibration record'!H18</f>
        <v>12798M</v>
      </c>
    </row>
    <row r="18" spans="2:15" ht="25.9" customHeight="1" x14ac:dyDescent="0.45">
      <c r="B18" s="131" t="s">
        <v>575</v>
      </c>
      <c r="C18" s="132"/>
      <c r="D18" s="529" t="e">
        <f>'Auto-Calibration record'!H15</f>
        <v>#N/A</v>
      </c>
      <c r="E18" s="530"/>
      <c r="F18" s="531"/>
      <c r="K18" s="98" t="s">
        <v>576</v>
      </c>
      <c r="L18" s="99"/>
      <c r="M18" s="99"/>
      <c r="N18" s="100"/>
      <c r="O18" s="55" t="e">
        <f>'Auto-Calibration record'!H16</f>
        <v>#N/A</v>
      </c>
    </row>
    <row r="19" spans="2:15" ht="25.9" customHeight="1" x14ac:dyDescent="0.45">
      <c r="B19" s="131" t="s">
        <v>577</v>
      </c>
      <c r="C19" s="132"/>
      <c r="D19" s="529" t="e">
        <f>'Auto-Calibration record'!H17</f>
        <v>#N/A</v>
      </c>
      <c r="E19" s="530"/>
      <c r="F19" s="531"/>
      <c r="K19" s="95" t="s">
        <v>578</v>
      </c>
      <c r="L19" s="96"/>
      <c r="M19" s="96"/>
      <c r="N19" s="97"/>
      <c r="O19" s="428" t="e">
        <f>'Auto-Calibration record'!H19</f>
        <v>#N/A</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6" t="s">
        <v>582</v>
      </c>
      <c r="E26" s="526"/>
      <c r="F26" s="526" t="s">
        <v>583</v>
      </c>
      <c r="G26" s="526"/>
      <c r="H26" s="526" t="s">
        <v>584</v>
      </c>
      <c r="I26" s="526"/>
      <c r="J26" s="107" t="s">
        <v>585</v>
      </c>
      <c r="K26" s="107" t="s">
        <v>586</v>
      </c>
      <c r="L26" s="107" t="s">
        <v>587</v>
      </c>
    </row>
    <row r="27" spans="2:15" s="108" customFormat="1" ht="25.9" customHeight="1" x14ac:dyDescent="0.35">
      <c r="D27" s="527" t="s">
        <v>588</v>
      </c>
      <c r="E27" s="527"/>
      <c r="F27" s="527" t="s">
        <v>589</v>
      </c>
      <c r="G27" s="527"/>
      <c r="H27" s="527" t="s">
        <v>590</v>
      </c>
      <c r="I27" s="527"/>
      <c r="J27" s="109" t="s">
        <v>590</v>
      </c>
      <c r="K27" s="109" t="s">
        <v>590</v>
      </c>
      <c r="L27" s="109" t="s">
        <v>591</v>
      </c>
    </row>
    <row r="28" spans="2:15" s="108" customFormat="1" ht="25.9" customHeight="1" x14ac:dyDescent="0.35">
      <c r="D28" s="540" t="s">
        <v>592</v>
      </c>
      <c r="E28" s="540"/>
      <c r="F28" s="528" t="e">
        <f>'Auto-Calibration record'!B65</f>
        <v>#N/A</v>
      </c>
      <c r="G28" s="528"/>
      <c r="H28" s="523" t="e">
        <f>'Auto-Calibration record'!B68</f>
        <v>#N/A</v>
      </c>
      <c r="I28" s="523"/>
      <c r="J28" s="159" t="e">
        <f>'Auto-Calibration record'!I68</f>
        <v>#N/A</v>
      </c>
      <c r="K28" s="159" t="e">
        <f t="shared" ref="K28:K33" si="0">J28-H28</f>
        <v>#N/A</v>
      </c>
      <c r="L28" s="379" t="e">
        <f t="shared" ref="L28:L33" si="1">K28/H28</f>
        <v>#N/A</v>
      </c>
    </row>
    <row r="29" spans="2:15" s="108" customFormat="1" ht="25.9" customHeight="1" x14ac:dyDescent="0.35">
      <c r="D29" s="540" t="s">
        <v>593</v>
      </c>
      <c r="E29" s="540"/>
      <c r="F29" s="528" t="e">
        <f>'Auto-Calibration record'!C65</f>
        <v>#N/A</v>
      </c>
      <c r="G29" s="528"/>
      <c r="H29" s="523" t="e">
        <f>'Auto-Calibration record'!B69</f>
        <v>#N/A</v>
      </c>
      <c r="I29" s="523"/>
      <c r="J29" s="159" t="e">
        <f>'Auto-Calibration record'!I69</f>
        <v>#N/A</v>
      </c>
      <c r="K29" s="159" t="e">
        <f t="shared" si="0"/>
        <v>#N/A</v>
      </c>
      <c r="L29" s="379" t="e">
        <f t="shared" si="1"/>
        <v>#N/A</v>
      </c>
    </row>
    <row r="30" spans="2:15" s="108" customFormat="1" ht="25.9" customHeight="1" x14ac:dyDescent="0.35">
      <c r="D30" s="540" t="s">
        <v>594</v>
      </c>
      <c r="E30" s="540"/>
      <c r="F30" s="528" t="e">
        <f>'Auto-Calibration record'!D65</f>
        <v>#N/A</v>
      </c>
      <c r="G30" s="528"/>
      <c r="H30" s="523" t="e">
        <f>'Auto-Calibration record'!B70</f>
        <v>#N/A</v>
      </c>
      <c r="I30" s="523"/>
      <c r="J30" s="159" t="e">
        <f>'Auto-Calibration record'!I70</f>
        <v>#N/A</v>
      </c>
      <c r="K30" s="159" t="e">
        <f t="shared" si="0"/>
        <v>#N/A</v>
      </c>
      <c r="L30" s="379" t="e">
        <f t="shared" si="1"/>
        <v>#N/A</v>
      </c>
    </row>
    <row r="31" spans="2:15" s="108" customFormat="1" ht="25.9" customHeight="1" x14ac:dyDescent="0.35">
      <c r="D31" s="540" t="s">
        <v>595</v>
      </c>
      <c r="E31" s="540"/>
      <c r="F31" s="528" t="e">
        <f>'Auto-Calibration record'!E65</f>
        <v>#N/A</v>
      </c>
      <c r="G31" s="528"/>
      <c r="H31" s="523" t="e">
        <f>'Auto-Calibration record'!B71</f>
        <v>#N/A</v>
      </c>
      <c r="I31" s="523"/>
      <c r="J31" s="159" t="e">
        <f>'Auto-Calibration record'!I71</f>
        <v>#N/A</v>
      </c>
      <c r="K31" s="159" t="e">
        <f t="shared" si="0"/>
        <v>#N/A</v>
      </c>
      <c r="L31" s="379" t="e">
        <f t="shared" si="1"/>
        <v>#N/A</v>
      </c>
    </row>
    <row r="32" spans="2:15" s="108" customFormat="1" ht="25.9" customHeight="1" x14ac:dyDescent="0.35">
      <c r="D32" s="540" t="s">
        <v>596</v>
      </c>
      <c r="E32" s="540"/>
      <c r="F32" s="528" t="e">
        <f>'Auto-Calibration record'!F65</f>
        <v>#N/A</v>
      </c>
      <c r="G32" s="528"/>
      <c r="H32" s="523" t="e">
        <f>'Auto-Calibration record'!B72</f>
        <v>#N/A</v>
      </c>
      <c r="I32" s="523"/>
      <c r="J32" s="159" t="e">
        <f>'Auto-Calibration record'!I72</f>
        <v>#N/A</v>
      </c>
      <c r="K32" s="159" t="e">
        <f t="shared" si="0"/>
        <v>#N/A</v>
      </c>
      <c r="L32" s="379" t="e">
        <f t="shared" si="1"/>
        <v>#N/A</v>
      </c>
    </row>
    <row r="33" spans="2:12" s="108" customFormat="1" ht="25.9" customHeight="1" x14ac:dyDescent="0.35">
      <c r="D33" s="540" t="s">
        <v>597</v>
      </c>
      <c r="E33" s="540"/>
      <c r="F33" s="528" t="e">
        <f>'Auto-Calibration record'!G65</f>
        <v>#N/A</v>
      </c>
      <c r="G33" s="528"/>
      <c r="H33" s="523" t="e">
        <f>'Auto-Calibration record'!B73</f>
        <v>#N/A</v>
      </c>
      <c r="I33" s="523"/>
      <c r="J33" s="159" t="e">
        <f>'Auto-Calibration record'!I73</f>
        <v>#N/A</v>
      </c>
      <c r="K33" s="159" t="e">
        <f t="shared" si="0"/>
        <v>#N/A</v>
      </c>
      <c r="L33" s="379" t="e">
        <f t="shared" si="1"/>
        <v>#N/A</v>
      </c>
    </row>
    <row r="34" spans="2:12" s="108" customFormat="1" ht="25.9" customHeight="1" x14ac:dyDescent="0.35">
      <c r="D34" s="540" t="s">
        <v>598</v>
      </c>
      <c r="E34" s="540"/>
      <c r="F34" s="528" t="e">
        <f>'Auto-Calibration record'!H65</f>
        <v>#N/A</v>
      </c>
      <c r="G34" s="528"/>
      <c r="H34" s="523" t="e">
        <f>'Auto-Calibration record'!B74</f>
        <v>#N/A</v>
      </c>
      <c r="I34" s="523"/>
      <c r="J34" s="159" t="e">
        <f>'Auto-Calibration record'!I74</f>
        <v>#N/A</v>
      </c>
      <c r="K34" s="159" t="s">
        <v>23</v>
      </c>
      <c r="L34" s="112" t="s">
        <v>23</v>
      </c>
    </row>
    <row r="35" spans="2:12" s="102" customFormat="1" ht="25.9" customHeight="1" x14ac:dyDescent="0.45">
      <c r="D35" s="540" t="s">
        <v>599</v>
      </c>
      <c r="E35" s="540"/>
      <c r="F35" s="536" t="e">
        <f>'Auto-Calibration record'!I65</f>
        <v>#N/A</v>
      </c>
      <c r="G35" s="536"/>
      <c r="H35" s="523" t="e">
        <f>'Auto-Calibration record'!B75</f>
        <v>#N/A</v>
      </c>
      <c r="I35" s="523"/>
      <c r="J35" s="380" t="e">
        <f>'Auto-Calibration record'!I75</f>
        <v>#N/A</v>
      </c>
      <c r="K35" s="159" t="s">
        <v>23</v>
      </c>
      <c r="L35" s="112" t="s">
        <v>23</v>
      </c>
    </row>
    <row r="36" spans="2:12" ht="20.25" x14ac:dyDescent="0.55000000000000004">
      <c r="D36" s="113" t="s">
        <v>600</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601</v>
      </c>
      <c r="E38" s="526" t="s">
        <v>602</v>
      </c>
      <c r="F38" s="526"/>
      <c r="G38" s="526" t="s">
        <v>603</v>
      </c>
      <c r="H38" s="526"/>
      <c r="I38" s="108"/>
      <c r="J38" s="167"/>
      <c r="K38" s="167"/>
      <c r="L38" s="167"/>
    </row>
    <row r="39" spans="2:12" ht="25.9" customHeight="1" x14ac:dyDescent="0.35">
      <c r="B39" s="115"/>
      <c r="D39" s="109" t="s">
        <v>589</v>
      </c>
      <c r="E39" s="527" t="s">
        <v>589</v>
      </c>
      <c r="F39" s="527"/>
      <c r="G39" s="527" t="s">
        <v>604</v>
      </c>
      <c r="H39" s="527"/>
      <c r="I39" s="116"/>
      <c r="J39" s="168"/>
      <c r="K39" s="168"/>
      <c r="L39" s="168"/>
    </row>
    <row r="40" spans="2:12" ht="25.9" customHeight="1" x14ac:dyDescent="0.35">
      <c r="B40" s="115"/>
      <c r="D40" s="129" t="e">
        <f>'Auto-Calibration record'!B11</f>
        <v>#N/A</v>
      </c>
      <c r="E40" s="523" t="e">
        <f>F28-D40</f>
        <v>#N/A</v>
      </c>
      <c r="F40" s="523"/>
      <c r="G40" s="532" t="e">
        <f>F28/D40</f>
        <v>#N/A</v>
      </c>
      <c r="H40" s="532"/>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45" t="s">
        <v>607</v>
      </c>
      <c r="L72" s="546"/>
      <c r="M72" s="546"/>
      <c r="N72" s="546"/>
      <c r="O72" s="547"/>
    </row>
    <row r="73" spans="2:16" s="88" customFormat="1" ht="25.9" customHeight="1" x14ac:dyDescent="0.4">
      <c r="H73" s="1"/>
      <c r="I73" s="1"/>
      <c r="K73" s="548"/>
      <c r="L73" s="549"/>
      <c r="M73" s="549"/>
      <c r="N73" s="549"/>
      <c r="O73" s="550"/>
    </row>
    <row r="74" spans="2:16" s="88" customFormat="1" ht="25.9" customHeight="1" x14ac:dyDescent="0.4">
      <c r="B74" s="120" t="s">
        <v>608</v>
      </c>
      <c r="C74" s="121"/>
      <c r="D74" s="542" t="s">
        <v>609</v>
      </c>
      <c r="E74" s="543"/>
      <c r="F74" s="543"/>
      <c r="G74" s="544"/>
      <c r="H74" s="1"/>
      <c r="I74" s="1"/>
      <c r="K74" s="548"/>
      <c r="L74" s="549"/>
      <c r="M74" s="549"/>
      <c r="N74" s="549"/>
      <c r="O74" s="550"/>
    </row>
    <row r="75" spans="2:16" s="88" customFormat="1" ht="25.9" customHeight="1" x14ac:dyDescent="0.4">
      <c r="K75" s="551"/>
      <c r="L75" s="552"/>
      <c r="M75" s="552"/>
      <c r="N75" s="552"/>
      <c r="O75" s="553"/>
    </row>
    <row r="76" spans="2:16" s="88" customFormat="1" ht="25.9" customHeight="1" x14ac:dyDescent="0.4">
      <c r="B76" s="120" t="s">
        <v>610</v>
      </c>
      <c r="C76" s="121"/>
      <c r="D76" s="537" t="str">
        <f>'Auto-Calibration record'!H26</f>
        <v>Jamie Soule</v>
      </c>
      <c r="E76" s="538"/>
      <c r="F76" s="539"/>
      <c r="K76" s="122" t="s">
        <v>611</v>
      </c>
      <c r="L76" s="533" t="s">
        <v>612</v>
      </c>
      <c r="M76" s="534"/>
      <c r="N76" s="534"/>
      <c r="O76" s="535"/>
      <c r="P76" s="123"/>
    </row>
    <row r="77" spans="2:16" ht="25.9" customHeight="1" x14ac:dyDescent="0.4">
      <c r="H77" s="88"/>
      <c r="I77" s="88"/>
      <c r="J77" s="88"/>
      <c r="K77" s="88"/>
    </row>
    <row r="78" spans="2:16" ht="15" x14ac:dyDescent="0.4">
      <c r="B78" s="115" t="s">
        <v>613</v>
      </c>
      <c r="H78" s="88"/>
      <c r="I78" s="88"/>
      <c r="J78" s="88"/>
      <c r="K78" s="88"/>
    </row>
    <row r="79" spans="2:16" ht="15" x14ac:dyDescent="0.4">
      <c r="B79" s="115" t="s">
        <v>614</v>
      </c>
      <c r="H79" s="88"/>
      <c r="I79" s="88"/>
      <c r="J79" s="88"/>
      <c r="K79" s="88"/>
    </row>
    <row r="80" spans="2:16" x14ac:dyDescent="0.35">
      <c r="B80" s="115" t="s">
        <v>615</v>
      </c>
    </row>
    <row r="83" spans="2:1011 1026:2035 2050:3059 3074:4083 4098:5107 5122:6131 6146:7155 7170:8179 8194:9203 9218:10227 10242:11251 11266:12275 12290:13299 13314:14323 14338:15347 15362:16371" x14ac:dyDescent="0.35">
      <c r="O83" s="124" t="s">
        <v>616</v>
      </c>
    </row>
    <row r="84" spans="2:1011 1026:2035 2050:3059 3074:4083 4098:5107 5122:6131 6146:7155 7170:8179 8194:9203 9218:10227 10242:11251 11266:12275 12290:13299 13314:14323 14338:15347 15362:16371" ht="15.6" customHeight="1" x14ac:dyDescent="0.35">
      <c r="B84" s="87" t="s">
        <v>563</v>
      </c>
      <c r="C84" s="83"/>
      <c r="O84" s="124" t="s">
        <v>524</v>
      </c>
    </row>
    <row r="85" spans="2:1011 1026:2035 2050:3059 3074:4083 4098:5107 5122:6131 6146:7155 7170:8179 8194:9203 9218:10227 10242:11251 11266:12275 12290:13299 13314:14323 14338:15347 15362:16371" ht="13.5" x14ac:dyDescent="0.35">
      <c r="B85" s="87" t="s">
        <v>617</v>
      </c>
      <c r="C85" s="83"/>
      <c r="O85" s="124" t="s">
        <v>19</v>
      </c>
    </row>
    <row r="86" spans="2:1011 1026:2035 2050:3059 3074:4083 4098:5107 5122:6131 6146:7155 7170:8179 8194:9203 9218:10227 10242:11251 11266:12275 12290:13299 13314:14323 14338:15347 15362:16371" ht="13.5" x14ac:dyDescent="0.35">
      <c r="B86" s="87" t="s">
        <v>618</v>
      </c>
      <c r="C86" s="83"/>
      <c r="L86" s="125"/>
      <c r="N86" s="125"/>
      <c r="O86" s="124" t="s">
        <v>20</v>
      </c>
    </row>
    <row r="87" spans="2:1011 1026:2035 2050:3059 3074:4083 4098:5107 5122:6131 6146:7155 7170:8179 8194:9203 9218:10227 10242:11251 11266:12275 12290:13299 13314:14323 14338:15347 15362:16371" ht="13.5" x14ac:dyDescent="0.35">
      <c r="B87" s="87" t="s">
        <v>566</v>
      </c>
      <c r="C87" s="83"/>
    </row>
    <row r="88" spans="2:1011 1026:2035 2050:3059 3074:4083 4098:5107 5122:6131 6146:7155 7170:8179 8194:9203 9218:10227 10242:11251 11266:12275 12290:13299 13314:14323 14338:15347 15362:16371" ht="13.5" x14ac:dyDescent="0.35">
      <c r="B88" s="87" t="s">
        <v>619</v>
      </c>
      <c r="C88" s="83"/>
    </row>
    <row r="89" spans="2:1011 1026:2035 2050:3059 3074:4083 4098:5107 5122:6131 6146:7155 7170:8179 8194:9203 9218:10227 10242:11251 11266:12275 12290:13299 13314:14323 14338:15347 15362:16371" ht="13.5" x14ac:dyDescent="0.35">
      <c r="B89" s="87" t="s">
        <v>620</v>
      </c>
      <c r="C89" s="83"/>
    </row>
    <row r="90" spans="2:1011 1026:2035 2050:3059 3074:4083 4098:5107 5122:6131 6146:7155 7170:8179 8194:9203 9218:10227 10242:11251 11266:12275 12290:13299 13314:14323 14338:15347 15362:16371" ht="13.5" x14ac:dyDescent="0.35">
      <c r="B90" s="53" t="s">
        <v>569</v>
      </c>
      <c r="C90" s="83"/>
      <c r="R90" s="87" t="s">
        <v>563</v>
      </c>
      <c r="S90" s="83"/>
      <c r="AH90" s="87" t="s">
        <v>563</v>
      </c>
      <c r="AI90" s="83"/>
      <c r="AX90" s="87" t="s">
        <v>563</v>
      </c>
      <c r="AY90" s="83"/>
      <c r="BN90" s="87" t="s">
        <v>563</v>
      </c>
      <c r="BO90" s="83"/>
      <c r="CD90" s="87" t="s">
        <v>563</v>
      </c>
      <c r="CE90" s="83"/>
      <c r="CT90" s="87" t="s">
        <v>563</v>
      </c>
      <c r="CU90" s="83"/>
      <c r="DJ90" s="87" t="s">
        <v>563</v>
      </c>
      <c r="DK90" s="83"/>
      <c r="DZ90" s="87" t="s">
        <v>563</v>
      </c>
      <c r="EA90" s="83"/>
      <c r="EP90" s="87" t="s">
        <v>563</v>
      </c>
      <c r="EQ90" s="83"/>
      <c r="FF90" s="87" t="s">
        <v>563</v>
      </c>
      <c r="FG90" s="83"/>
      <c r="FV90" s="87" t="s">
        <v>563</v>
      </c>
      <c r="FW90" s="83"/>
      <c r="GL90" s="87" t="s">
        <v>563</v>
      </c>
      <c r="GM90" s="83"/>
      <c r="HB90" s="87" t="s">
        <v>563</v>
      </c>
      <c r="HC90" s="83"/>
      <c r="HR90" s="87" t="s">
        <v>563</v>
      </c>
      <c r="HS90" s="83"/>
      <c r="IH90" s="87" t="s">
        <v>563</v>
      </c>
      <c r="II90" s="83"/>
      <c r="IX90" s="87" t="s">
        <v>563</v>
      </c>
      <c r="IY90" s="83"/>
      <c r="JN90" s="87" t="s">
        <v>563</v>
      </c>
      <c r="JO90" s="83"/>
      <c r="KD90" s="87" t="s">
        <v>563</v>
      </c>
      <c r="KE90" s="83"/>
      <c r="KT90" s="87" t="s">
        <v>563</v>
      </c>
      <c r="KU90" s="83"/>
      <c r="LJ90" s="87" t="s">
        <v>563</v>
      </c>
      <c r="LK90" s="83"/>
      <c r="LZ90" s="87" t="s">
        <v>563</v>
      </c>
      <c r="MA90" s="83"/>
      <c r="MP90" s="87" t="s">
        <v>563</v>
      </c>
      <c r="MQ90" s="83"/>
      <c r="NF90" s="87" t="s">
        <v>563</v>
      </c>
      <c r="NG90" s="83"/>
      <c r="NV90" s="87" t="s">
        <v>563</v>
      </c>
      <c r="NW90" s="83"/>
      <c r="OL90" s="87" t="s">
        <v>563</v>
      </c>
      <c r="OM90" s="83"/>
      <c r="PB90" s="87" t="s">
        <v>563</v>
      </c>
      <c r="PC90" s="83"/>
      <c r="PR90" s="87" t="s">
        <v>563</v>
      </c>
      <c r="PS90" s="83"/>
      <c r="QH90" s="87" t="s">
        <v>563</v>
      </c>
      <c r="QI90" s="83"/>
      <c r="QX90" s="87" t="s">
        <v>563</v>
      </c>
      <c r="QY90" s="83"/>
      <c r="RN90" s="87" t="s">
        <v>563</v>
      </c>
      <c r="RO90" s="83"/>
      <c r="SD90" s="87" t="s">
        <v>563</v>
      </c>
      <c r="SE90" s="83"/>
      <c r="ST90" s="87" t="s">
        <v>563</v>
      </c>
      <c r="SU90" s="83"/>
      <c r="TJ90" s="87" t="s">
        <v>563</v>
      </c>
      <c r="TK90" s="83"/>
      <c r="TZ90" s="87" t="s">
        <v>563</v>
      </c>
      <c r="UA90" s="83"/>
      <c r="UP90" s="87" t="s">
        <v>563</v>
      </c>
      <c r="UQ90" s="83"/>
      <c r="VF90" s="87" t="s">
        <v>563</v>
      </c>
      <c r="VG90" s="83"/>
      <c r="VV90" s="87" t="s">
        <v>563</v>
      </c>
      <c r="VW90" s="83"/>
      <c r="WL90" s="87" t="s">
        <v>563</v>
      </c>
      <c r="WM90" s="83"/>
      <c r="XB90" s="87" t="s">
        <v>563</v>
      </c>
      <c r="XC90" s="83"/>
      <c r="XR90" s="87" t="s">
        <v>563</v>
      </c>
      <c r="XS90" s="83"/>
      <c r="YH90" s="87" t="s">
        <v>563</v>
      </c>
      <c r="YI90" s="83"/>
      <c r="YX90" s="87" t="s">
        <v>563</v>
      </c>
      <c r="YY90" s="83"/>
      <c r="ZN90" s="87" t="s">
        <v>563</v>
      </c>
      <c r="ZO90" s="83"/>
      <c r="AAD90" s="87" t="s">
        <v>563</v>
      </c>
      <c r="AAE90" s="83"/>
      <c r="AAT90" s="87" t="s">
        <v>563</v>
      </c>
      <c r="AAU90" s="83"/>
      <c r="ABJ90" s="87" t="s">
        <v>563</v>
      </c>
      <c r="ABK90" s="83"/>
      <c r="ABZ90" s="87" t="s">
        <v>563</v>
      </c>
      <c r="ACA90" s="83"/>
      <c r="ACP90" s="87" t="s">
        <v>563</v>
      </c>
      <c r="ACQ90" s="83"/>
      <c r="ADF90" s="87" t="s">
        <v>563</v>
      </c>
      <c r="ADG90" s="83"/>
      <c r="ADV90" s="87" t="s">
        <v>563</v>
      </c>
      <c r="ADW90" s="83"/>
      <c r="AEL90" s="87" t="s">
        <v>563</v>
      </c>
      <c r="AEM90" s="83"/>
      <c r="AFB90" s="87" t="s">
        <v>563</v>
      </c>
      <c r="AFC90" s="83"/>
      <c r="AFR90" s="87" t="s">
        <v>563</v>
      </c>
      <c r="AFS90" s="83"/>
      <c r="AGH90" s="87" t="s">
        <v>563</v>
      </c>
      <c r="AGI90" s="83"/>
      <c r="AGX90" s="87" t="s">
        <v>563</v>
      </c>
      <c r="AGY90" s="83"/>
      <c r="AHN90" s="87" t="s">
        <v>563</v>
      </c>
      <c r="AHO90" s="83"/>
      <c r="AID90" s="87" t="s">
        <v>563</v>
      </c>
      <c r="AIE90" s="83"/>
      <c r="AIT90" s="87" t="s">
        <v>563</v>
      </c>
      <c r="AIU90" s="83"/>
      <c r="AJJ90" s="87" t="s">
        <v>563</v>
      </c>
      <c r="AJK90" s="83"/>
      <c r="AJZ90" s="87" t="s">
        <v>563</v>
      </c>
      <c r="AKA90" s="83"/>
      <c r="AKP90" s="87" t="s">
        <v>563</v>
      </c>
      <c r="AKQ90" s="83"/>
      <c r="ALF90" s="87" t="s">
        <v>563</v>
      </c>
      <c r="ALG90" s="83"/>
      <c r="ALV90" s="87" t="s">
        <v>563</v>
      </c>
      <c r="ALW90" s="83"/>
      <c r="AML90" s="87" t="s">
        <v>563</v>
      </c>
      <c r="AMM90" s="83"/>
      <c r="ANB90" s="87" t="s">
        <v>563</v>
      </c>
      <c r="ANC90" s="83"/>
      <c r="ANR90" s="87" t="s">
        <v>563</v>
      </c>
      <c r="ANS90" s="83"/>
      <c r="AOH90" s="87" t="s">
        <v>563</v>
      </c>
      <c r="AOI90" s="83"/>
      <c r="AOX90" s="87" t="s">
        <v>563</v>
      </c>
      <c r="AOY90" s="83"/>
      <c r="APN90" s="87" t="s">
        <v>563</v>
      </c>
      <c r="APO90" s="83"/>
      <c r="AQD90" s="87" t="s">
        <v>563</v>
      </c>
      <c r="AQE90" s="83"/>
      <c r="AQT90" s="87" t="s">
        <v>563</v>
      </c>
      <c r="AQU90" s="83"/>
      <c r="ARJ90" s="87" t="s">
        <v>563</v>
      </c>
      <c r="ARK90" s="83"/>
      <c r="ARZ90" s="87" t="s">
        <v>563</v>
      </c>
      <c r="ASA90" s="83"/>
      <c r="ASP90" s="87" t="s">
        <v>563</v>
      </c>
      <c r="ASQ90" s="83"/>
      <c r="ATF90" s="87" t="s">
        <v>563</v>
      </c>
      <c r="ATG90" s="83"/>
      <c r="ATV90" s="87" t="s">
        <v>563</v>
      </c>
      <c r="ATW90" s="83"/>
      <c r="AUL90" s="87" t="s">
        <v>563</v>
      </c>
      <c r="AUM90" s="83"/>
      <c r="AVB90" s="87" t="s">
        <v>563</v>
      </c>
      <c r="AVC90" s="83"/>
      <c r="AVR90" s="87" t="s">
        <v>563</v>
      </c>
      <c r="AVS90" s="83"/>
      <c r="AWH90" s="87" t="s">
        <v>563</v>
      </c>
      <c r="AWI90" s="83"/>
      <c r="AWX90" s="87" t="s">
        <v>563</v>
      </c>
      <c r="AWY90" s="83"/>
      <c r="AXN90" s="87" t="s">
        <v>563</v>
      </c>
      <c r="AXO90" s="83"/>
      <c r="AYD90" s="87" t="s">
        <v>563</v>
      </c>
      <c r="AYE90" s="83"/>
      <c r="AYT90" s="87" t="s">
        <v>563</v>
      </c>
      <c r="AYU90" s="83"/>
      <c r="AZJ90" s="87" t="s">
        <v>563</v>
      </c>
      <c r="AZK90" s="83"/>
      <c r="AZZ90" s="87" t="s">
        <v>563</v>
      </c>
      <c r="BAA90" s="83"/>
      <c r="BAP90" s="87" t="s">
        <v>563</v>
      </c>
      <c r="BAQ90" s="83"/>
      <c r="BBF90" s="87" t="s">
        <v>563</v>
      </c>
      <c r="BBG90" s="83"/>
      <c r="BBV90" s="87" t="s">
        <v>563</v>
      </c>
      <c r="BBW90" s="83"/>
      <c r="BCL90" s="87" t="s">
        <v>563</v>
      </c>
      <c r="BCM90" s="83"/>
      <c r="BDB90" s="87" t="s">
        <v>563</v>
      </c>
      <c r="BDC90" s="83"/>
      <c r="BDR90" s="87" t="s">
        <v>563</v>
      </c>
      <c r="BDS90" s="83"/>
      <c r="BEH90" s="87" t="s">
        <v>563</v>
      </c>
      <c r="BEI90" s="83"/>
      <c r="BEX90" s="87" t="s">
        <v>563</v>
      </c>
      <c r="BEY90" s="83"/>
      <c r="BFN90" s="87" t="s">
        <v>563</v>
      </c>
      <c r="BFO90" s="83"/>
      <c r="BGD90" s="87" t="s">
        <v>563</v>
      </c>
      <c r="BGE90" s="83"/>
      <c r="BGT90" s="87" t="s">
        <v>563</v>
      </c>
      <c r="BGU90" s="83"/>
      <c r="BHJ90" s="87" t="s">
        <v>563</v>
      </c>
      <c r="BHK90" s="83"/>
      <c r="BHZ90" s="87" t="s">
        <v>563</v>
      </c>
      <c r="BIA90" s="83"/>
      <c r="BIP90" s="87" t="s">
        <v>563</v>
      </c>
      <c r="BIQ90" s="83"/>
      <c r="BJF90" s="87" t="s">
        <v>563</v>
      </c>
      <c r="BJG90" s="83"/>
      <c r="BJV90" s="87" t="s">
        <v>563</v>
      </c>
      <c r="BJW90" s="83"/>
      <c r="BKL90" s="87" t="s">
        <v>563</v>
      </c>
      <c r="BKM90" s="83"/>
      <c r="BLB90" s="87" t="s">
        <v>563</v>
      </c>
      <c r="BLC90" s="83"/>
      <c r="BLR90" s="87" t="s">
        <v>563</v>
      </c>
      <c r="BLS90" s="83"/>
      <c r="BMH90" s="87" t="s">
        <v>563</v>
      </c>
      <c r="BMI90" s="83"/>
      <c r="BMX90" s="87" t="s">
        <v>563</v>
      </c>
      <c r="BMY90" s="83"/>
      <c r="BNN90" s="87" t="s">
        <v>563</v>
      </c>
      <c r="BNO90" s="83"/>
      <c r="BOD90" s="87" t="s">
        <v>563</v>
      </c>
      <c r="BOE90" s="83"/>
      <c r="BOT90" s="87" t="s">
        <v>563</v>
      </c>
      <c r="BOU90" s="83"/>
      <c r="BPJ90" s="87" t="s">
        <v>563</v>
      </c>
      <c r="BPK90" s="83"/>
      <c r="BPZ90" s="87" t="s">
        <v>563</v>
      </c>
      <c r="BQA90" s="83"/>
      <c r="BQP90" s="87" t="s">
        <v>563</v>
      </c>
      <c r="BQQ90" s="83"/>
      <c r="BRF90" s="87" t="s">
        <v>563</v>
      </c>
      <c r="BRG90" s="83"/>
      <c r="BRV90" s="87" t="s">
        <v>563</v>
      </c>
      <c r="BRW90" s="83"/>
      <c r="BSL90" s="87" t="s">
        <v>563</v>
      </c>
      <c r="BSM90" s="83"/>
      <c r="BTB90" s="87" t="s">
        <v>563</v>
      </c>
      <c r="BTC90" s="83"/>
      <c r="BTR90" s="87" t="s">
        <v>563</v>
      </c>
      <c r="BTS90" s="83"/>
      <c r="BUH90" s="87" t="s">
        <v>563</v>
      </c>
      <c r="BUI90" s="83"/>
      <c r="BUX90" s="87" t="s">
        <v>563</v>
      </c>
      <c r="BUY90" s="83"/>
      <c r="BVN90" s="87" t="s">
        <v>563</v>
      </c>
      <c r="BVO90" s="83"/>
      <c r="BWD90" s="87" t="s">
        <v>563</v>
      </c>
      <c r="BWE90" s="83"/>
      <c r="BWT90" s="87" t="s">
        <v>563</v>
      </c>
      <c r="BWU90" s="83"/>
      <c r="BXJ90" s="87" t="s">
        <v>563</v>
      </c>
      <c r="BXK90" s="83"/>
      <c r="BXZ90" s="87" t="s">
        <v>563</v>
      </c>
      <c r="BYA90" s="83"/>
      <c r="BYP90" s="87" t="s">
        <v>563</v>
      </c>
      <c r="BYQ90" s="83"/>
      <c r="BZF90" s="87" t="s">
        <v>563</v>
      </c>
      <c r="BZG90" s="83"/>
      <c r="BZV90" s="87" t="s">
        <v>563</v>
      </c>
      <c r="BZW90" s="83"/>
      <c r="CAL90" s="87" t="s">
        <v>563</v>
      </c>
      <c r="CAM90" s="83"/>
      <c r="CBB90" s="87" t="s">
        <v>563</v>
      </c>
      <c r="CBC90" s="83"/>
      <c r="CBR90" s="87" t="s">
        <v>563</v>
      </c>
      <c r="CBS90" s="83"/>
      <c r="CCH90" s="87" t="s">
        <v>563</v>
      </c>
      <c r="CCI90" s="83"/>
      <c r="CCX90" s="87" t="s">
        <v>563</v>
      </c>
      <c r="CCY90" s="83"/>
      <c r="CDN90" s="87" t="s">
        <v>563</v>
      </c>
      <c r="CDO90" s="83"/>
      <c r="CED90" s="87" t="s">
        <v>563</v>
      </c>
      <c r="CEE90" s="83"/>
      <c r="CET90" s="87" t="s">
        <v>563</v>
      </c>
      <c r="CEU90" s="83"/>
      <c r="CFJ90" s="87" t="s">
        <v>563</v>
      </c>
      <c r="CFK90" s="83"/>
      <c r="CFZ90" s="87" t="s">
        <v>563</v>
      </c>
      <c r="CGA90" s="83"/>
      <c r="CGP90" s="87" t="s">
        <v>563</v>
      </c>
      <c r="CGQ90" s="83"/>
      <c r="CHF90" s="87" t="s">
        <v>563</v>
      </c>
      <c r="CHG90" s="83"/>
      <c r="CHV90" s="87" t="s">
        <v>563</v>
      </c>
      <c r="CHW90" s="83"/>
      <c r="CIL90" s="87" t="s">
        <v>563</v>
      </c>
      <c r="CIM90" s="83"/>
      <c r="CJB90" s="87" t="s">
        <v>563</v>
      </c>
      <c r="CJC90" s="83"/>
      <c r="CJR90" s="87" t="s">
        <v>563</v>
      </c>
      <c r="CJS90" s="83"/>
      <c r="CKH90" s="87" t="s">
        <v>563</v>
      </c>
      <c r="CKI90" s="83"/>
      <c r="CKX90" s="87" t="s">
        <v>563</v>
      </c>
      <c r="CKY90" s="83"/>
      <c r="CLN90" s="87" t="s">
        <v>563</v>
      </c>
      <c r="CLO90" s="83"/>
      <c r="CMD90" s="87" t="s">
        <v>563</v>
      </c>
      <c r="CME90" s="83"/>
      <c r="CMT90" s="87" t="s">
        <v>563</v>
      </c>
      <c r="CMU90" s="83"/>
      <c r="CNJ90" s="87" t="s">
        <v>563</v>
      </c>
      <c r="CNK90" s="83"/>
      <c r="CNZ90" s="87" t="s">
        <v>563</v>
      </c>
      <c r="COA90" s="83"/>
      <c r="COP90" s="87" t="s">
        <v>563</v>
      </c>
      <c r="COQ90" s="83"/>
      <c r="CPF90" s="87" t="s">
        <v>563</v>
      </c>
      <c r="CPG90" s="83"/>
      <c r="CPV90" s="87" t="s">
        <v>563</v>
      </c>
      <c r="CPW90" s="83"/>
      <c r="CQL90" s="87" t="s">
        <v>563</v>
      </c>
      <c r="CQM90" s="83"/>
      <c r="CRB90" s="87" t="s">
        <v>563</v>
      </c>
      <c r="CRC90" s="83"/>
      <c r="CRR90" s="87" t="s">
        <v>563</v>
      </c>
      <c r="CRS90" s="83"/>
      <c r="CSH90" s="87" t="s">
        <v>563</v>
      </c>
      <c r="CSI90" s="83"/>
      <c r="CSX90" s="87" t="s">
        <v>563</v>
      </c>
      <c r="CSY90" s="83"/>
      <c r="CTN90" s="87" t="s">
        <v>563</v>
      </c>
      <c r="CTO90" s="83"/>
      <c r="CUD90" s="87" t="s">
        <v>563</v>
      </c>
      <c r="CUE90" s="83"/>
      <c r="CUT90" s="87" t="s">
        <v>563</v>
      </c>
      <c r="CUU90" s="83"/>
      <c r="CVJ90" s="87" t="s">
        <v>563</v>
      </c>
      <c r="CVK90" s="83"/>
      <c r="CVZ90" s="87" t="s">
        <v>563</v>
      </c>
      <c r="CWA90" s="83"/>
      <c r="CWP90" s="87" t="s">
        <v>563</v>
      </c>
      <c r="CWQ90" s="83"/>
      <c r="CXF90" s="87" t="s">
        <v>563</v>
      </c>
      <c r="CXG90" s="83"/>
      <c r="CXV90" s="87" t="s">
        <v>563</v>
      </c>
      <c r="CXW90" s="83"/>
      <c r="CYL90" s="87" t="s">
        <v>563</v>
      </c>
      <c r="CYM90" s="83"/>
      <c r="CZB90" s="87" t="s">
        <v>563</v>
      </c>
      <c r="CZC90" s="83"/>
      <c r="CZR90" s="87" t="s">
        <v>563</v>
      </c>
      <c r="CZS90" s="83"/>
      <c r="DAH90" s="87" t="s">
        <v>563</v>
      </c>
      <c r="DAI90" s="83"/>
      <c r="DAX90" s="87" t="s">
        <v>563</v>
      </c>
      <c r="DAY90" s="83"/>
      <c r="DBN90" s="87" t="s">
        <v>563</v>
      </c>
      <c r="DBO90" s="83"/>
      <c r="DCD90" s="87" t="s">
        <v>563</v>
      </c>
      <c r="DCE90" s="83"/>
      <c r="DCT90" s="87" t="s">
        <v>563</v>
      </c>
      <c r="DCU90" s="83"/>
      <c r="DDJ90" s="87" t="s">
        <v>563</v>
      </c>
      <c r="DDK90" s="83"/>
      <c r="DDZ90" s="87" t="s">
        <v>563</v>
      </c>
      <c r="DEA90" s="83"/>
      <c r="DEP90" s="87" t="s">
        <v>563</v>
      </c>
      <c r="DEQ90" s="83"/>
      <c r="DFF90" s="87" t="s">
        <v>563</v>
      </c>
      <c r="DFG90" s="83"/>
      <c r="DFV90" s="87" t="s">
        <v>563</v>
      </c>
      <c r="DFW90" s="83"/>
      <c r="DGL90" s="87" t="s">
        <v>563</v>
      </c>
      <c r="DGM90" s="83"/>
      <c r="DHB90" s="87" t="s">
        <v>563</v>
      </c>
      <c r="DHC90" s="83"/>
      <c r="DHR90" s="87" t="s">
        <v>563</v>
      </c>
      <c r="DHS90" s="83"/>
      <c r="DIH90" s="87" t="s">
        <v>563</v>
      </c>
      <c r="DII90" s="83"/>
      <c r="DIX90" s="87" t="s">
        <v>563</v>
      </c>
      <c r="DIY90" s="83"/>
      <c r="DJN90" s="87" t="s">
        <v>563</v>
      </c>
      <c r="DJO90" s="83"/>
      <c r="DKD90" s="87" t="s">
        <v>563</v>
      </c>
      <c r="DKE90" s="83"/>
      <c r="DKT90" s="87" t="s">
        <v>563</v>
      </c>
      <c r="DKU90" s="83"/>
      <c r="DLJ90" s="87" t="s">
        <v>563</v>
      </c>
      <c r="DLK90" s="83"/>
      <c r="DLZ90" s="87" t="s">
        <v>563</v>
      </c>
      <c r="DMA90" s="83"/>
      <c r="DMP90" s="87" t="s">
        <v>563</v>
      </c>
      <c r="DMQ90" s="83"/>
      <c r="DNF90" s="87" t="s">
        <v>563</v>
      </c>
      <c r="DNG90" s="83"/>
      <c r="DNV90" s="87" t="s">
        <v>563</v>
      </c>
      <c r="DNW90" s="83"/>
      <c r="DOL90" s="87" t="s">
        <v>563</v>
      </c>
      <c r="DOM90" s="83"/>
      <c r="DPB90" s="87" t="s">
        <v>563</v>
      </c>
      <c r="DPC90" s="83"/>
      <c r="DPR90" s="87" t="s">
        <v>563</v>
      </c>
      <c r="DPS90" s="83"/>
      <c r="DQH90" s="87" t="s">
        <v>563</v>
      </c>
      <c r="DQI90" s="83"/>
      <c r="DQX90" s="87" t="s">
        <v>563</v>
      </c>
      <c r="DQY90" s="83"/>
      <c r="DRN90" s="87" t="s">
        <v>563</v>
      </c>
      <c r="DRO90" s="83"/>
      <c r="DSD90" s="87" t="s">
        <v>563</v>
      </c>
      <c r="DSE90" s="83"/>
      <c r="DST90" s="87" t="s">
        <v>563</v>
      </c>
      <c r="DSU90" s="83"/>
      <c r="DTJ90" s="87" t="s">
        <v>563</v>
      </c>
      <c r="DTK90" s="83"/>
      <c r="DTZ90" s="87" t="s">
        <v>563</v>
      </c>
      <c r="DUA90" s="83"/>
      <c r="DUP90" s="87" t="s">
        <v>563</v>
      </c>
      <c r="DUQ90" s="83"/>
      <c r="DVF90" s="87" t="s">
        <v>563</v>
      </c>
      <c r="DVG90" s="83"/>
      <c r="DVV90" s="87" t="s">
        <v>563</v>
      </c>
      <c r="DVW90" s="83"/>
      <c r="DWL90" s="87" t="s">
        <v>563</v>
      </c>
      <c r="DWM90" s="83"/>
      <c r="DXB90" s="87" t="s">
        <v>563</v>
      </c>
      <c r="DXC90" s="83"/>
      <c r="DXR90" s="87" t="s">
        <v>563</v>
      </c>
      <c r="DXS90" s="83"/>
      <c r="DYH90" s="87" t="s">
        <v>563</v>
      </c>
      <c r="DYI90" s="83"/>
      <c r="DYX90" s="87" t="s">
        <v>563</v>
      </c>
      <c r="DYY90" s="83"/>
      <c r="DZN90" s="87" t="s">
        <v>563</v>
      </c>
      <c r="DZO90" s="83"/>
      <c r="EAD90" s="87" t="s">
        <v>563</v>
      </c>
      <c r="EAE90" s="83"/>
      <c r="EAT90" s="87" t="s">
        <v>563</v>
      </c>
      <c r="EAU90" s="83"/>
      <c r="EBJ90" s="87" t="s">
        <v>563</v>
      </c>
      <c r="EBK90" s="83"/>
      <c r="EBZ90" s="87" t="s">
        <v>563</v>
      </c>
      <c r="ECA90" s="83"/>
      <c r="ECP90" s="87" t="s">
        <v>563</v>
      </c>
      <c r="ECQ90" s="83"/>
      <c r="EDF90" s="87" t="s">
        <v>563</v>
      </c>
      <c r="EDG90" s="83"/>
      <c r="EDV90" s="87" t="s">
        <v>563</v>
      </c>
      <c r="EDW90" s="83"/>
      <c r="EEL90" s="87" t="s">
        <v>563</v>
      </c>
      <c r="EEM90" s="83"/>
      <c r="EFB90" s="87" t="s">
        <v>563</v>
      </c>
      <c r="EFC90" s="83"/>
      <c r="EFR90" s="87" t="s">
        <v>563</v>
      </c>
      <c r="EFS90" s="83"/>
      <c r="EGH90" s="87" t="s">
        <v>563</v>
      </c>
      <c r="EGI90" s="83"/>
      <c r="EGX90" s="87" t="s">
        <v>563</v>
      </c>
      <c r="EGY90" s="83"/>
      <c r="EHN90" s="87" t="s">
        <v>563</v>
      </c>
      <c r="EHO90" s="83"/>
      <c r="EID90" s="87" t="s">
        <v>563</v>
      </c>
      <c r="EIE90" s="83"/>
      <c r="EIT90" s="87" t="s">
        <v>563</v>
      </c>
      <c r="EIU90" s="83"/>
      <c r="EJJ90" s="87" t="s">
        <v>563</v>
      </c>
      <c r="EJK90" s="83"/>
      <c r="EJZ90" s="87" t="s">
        <v>563</v>
      </c>
      <c r="EKA90" s="83"/>
      <c r="EKP90" s="87" t="s">
        <v>563</v>
      </c>
      <c r="EKQ90" s="83"/>
      <c r="ELF90" s="87" t="s">
        <v>563</v>
      </c>
      <c r="ELG90" s="83"/>
      <c r="ELV90" s="87" t="s">
        <v>563</v>
      </c>
      <c r="ELW90" s="83"/>
      <c r="EML90" s="87" t="s">
        <v>563</v>
      </c>
      <c r="EMM90" s="83"/>
      <c r="ENB90" s="87" t="s">
        <v>563</v>
      </c>
      <c r="ENC90" s="83"/>
      <c r="ENR90" s="87" t="s">
        <v>563</v>
      </c>
      <c r="ENS90" s="83"/>
      <c r="EOH90" s="87" t="s">
        <v>563</v>
      </c>
      <c r="EOI90" s="83"/>
      <c r="EOX90" s="87" t="s">
        <v>563</v>
      </c>
      <c r="EOY90" s="83"/>
      <c r="EPN90" s="87" t="s">
        <v>563</v>
      </c>
      <c r="EPO90" s="83"/>
      <c r="EQD90" s="87" t="s">
        <v>563</v>
      </c>
      <c r="EQE90" s="83"/>
      <c r="EQT90" s="87" t="s">
        <v>563</v>
      </c>
      <c r="EQU90" s="83"/>
      <c r="ERJ90" s="87" t="s">
        <v>563</v>
      </c>
      <c r="ERK90" s="83"/>
      <c r="ERZ90" s="87" t="s">
        <v>563</v>
      </c>
      <c r="ESA90" s="83"/>
      <c r="ESP90" s="87" t="s">
        <v>563</v>
      </c>
      <c r="ESQ90" s="83"/>
      <c r="ETF90" s="87" t="s">
        <v>563</v>
      </c>
      <c r="ETG90" s="83"/>
      <c r="ETV90" s="87" t="s">
        <v>563</v>
      </c>
      <c r="ETW90" s="83"/>
      <c r="EUL90" s="87" t="s">
        <v>563</v>
      </c>
      <c r="EUM90" s="83"/>
      <c r="EVB90" s="87" t="s">
        <v>563</v>
      </c>
      <c r="EVC90" s="83"/>
      <c r="EVR90" s="87" t="s">
        <v>563</v>
      </c>
      <c r="EVS90" s="83"/>
      <c r="EWH90" s="87" t="s">
        <v>563</v>
      </c>
      <c r="EWI90" s="83"/>
      <c r="EWX90" s="87" t="s">
        <v>563</v>
      </c>
      <c r="EWY90" s="83"/>
      <c r="EXN90" s="87" t="s">
        <v>563</v>
      </c>
      <c r="EXO90" s="83"/>
      <c r="EYD90" s="87" t="s">
        <v>563</v>
      </c>
      <c r="EYE90" s="83"/>
      <c r="EYT90" s="87" t="s">
        <v>563</v>
      </c>
      <c r="EYU90" s="83"/>
      <c r="EZJ90" s="87" t="s">
        <v>563</v>
      </c>
      <c r="EZK90" s="83"/>
      <c r="EZZ90" s="87" t="s">
        <v>563</v>
      </c>
      <c r="FAA90" s="83"/>
      <c r="FAP90" s="87" t="s">
        <v>563</v>
      </c>
      <c r="FAQ90" s="83"/>
      <c r="FBF90" s="87" t="s">
        <v>563</v>
      </c>
      <c r="FBG90" s="83"/>
      <c r="FBV90" s="87" t="s">
        <v>563</v>
      </c>
      <c r="FBW90" s="83"/>
      <c r="FCL90" s="87" t="s">
        <v>563</v>
      </c>
      <c r="FCM90" s="83"/>
      <c r="FDB90" s="87" t="s">
        <v>563</v>
      </c>
      <c r="FDC90" s="83"/>
      <c r="FDR90" s="87" t="s">
        <v>563</v>
      </c>
      <c r="FDS90" s="83"/>
      <c r="FEH90" s="87" t="s">
        <v>563</v>
      </c>
      <c r="FEI90" s="83"/>
      <c r="FEX90" s="87" t="s">
        <v>563</v>
      </c>
      <c r="FEY90" s="83"/>
      <c r="FFN90" s="87" t="s">
        <v>563</v>
      </c>
      <c r="FFO90" s="83"/>
      <c r="FGD90" s="87" t="s">
        <v>563</v>
      </c>
      <c r="FGE90" s="83"/>
      <c r="FGT90" s="87" t="s">
        <v>563</v>
      </c>
      <c r="FGU90" s="83"/>
      <c r="FHJ90" s="87" t="s">
        <v>563</v>
      </c>
      <c r="FHK90" s="83"/>
      <c r="FHZ90" s="87" t="s">
        <v>563</v>
      </c>
      <c r="FIA90" s="83"/>
      <c r="FIP90" s="87" t="s">
        <v>563</v>
      </c>
      <c r="FIQ90" s="83"/>
      <c r="FJF90" s="87" t="s">
        <v>563</v>
      </c>
      <c r="FJG90" s="83"/>
      <c r="FJV90" s="87" t="s">
        <v>563</v>
      </c>
      <c r="FJW90" s="83"/>
      <c r="FKL90" s="87" t="s">
        <v>563</v>
      </c>
      <c r="FKM90" s="83"/>
      <c r="FLB90" s="87" t="s">
        <v>563</v>
      </c>
      <c r="FLC90" s="83"/>
      <c r="FLR90" s="87" t="s">
        <v>563</v>
      </c>
      <c r="FLS90" s="83"/>
      <c r="FMH90" s="87" t="s">
        <v>563</v>
      </c>
      <c r="FMI90" s="83"/>
      <c r="FMX90" s="87" t="s">
        <v>563</v>
      </c>
      <c r="FMY90" s="83"/>
      <c r="FNN90" s="87" t="s">
        <v>563</v>
      </c>
      <c r="FNO90" s="83"/>
      <c r="FOD90" s="87" t="s">
        <v>563</v>
      </c>
      <c r="FOE90" s="83"/>
      <c r="FOT90" s="87" t="s">
        <v>563</v>
      </c>
      <c r="FOU90" s="83"/>
      <c r="FPJ90" s="87" t="s">
        <v>563</v>
      </c>
      <c r="FPK90" s="83"/>
      <c r="FPZ90" s="87" t="s">
        <v>563</v>
      </c>
      <c r="FQA90" s="83"/>
      <c r="FQP90" s="87" t="s">
        <v>563</v>
      </c>
      <c r="FQQ90" s="83"/>
      <c r="FRF90" s="87" t="s">
        <v>563</v>
      </c>
      <c r="FRG90" s="83"/>
      <c r="FRV90" s="87" t="s">
        <v>563</v>
      </c>
      <c r="FRW90" s="83"/>
      <c r="FSL90" s="87" t="s">
        <v>563</v>
      </c>
      <c r="FSM90" s="83"/>
      <c r="FTB90" s="87" t="s">
        <v>563</v>
      </c>
      <c r="FTC90" s="83"/>
      <c r="FTR90" s="87" t="s">
        <v>563</v>
      </c>
      <c r="FTS90" s="83"/>
      <c r="FUH90" s="87" t="s">
        <v>563</v>
      </c>
      <c r="FUI90" s="83"/>
      <c r="FUX90" s="87" t="s">
        <v>563</v>
      </c>
      <c r="FUY90" s="83"/>
      <c r="FVN90" s="87" t="s">
        <v>563</v>
      </c>
      <c r="FVO90" s="83"/>
      <c r="FWD90" s="87" t="s">
        <v>563</v>
      </c>
      <c r="FWE90" s="83"/>
      <c r="FWT90" s="87" t="s">
        <v>563</v>
      </c>
      <c r="FWU90" s="83"/>
      <c r="FXJ90" s="87" t="s">
        <v>563</v>
      </c>
      <c r="FXK90" s="83"/>
      <c r="FXZ90" s="87" t="s">
        <v>563</v>
      </c>
      <c r="FYA90" s="83"/>
      <c r="FYP90" s="87" t="s">
        <v>563</v>
      </c>
      <c r="FYQ90" s="83"/>
      <c r="FZF90" s="87" t="s">
        <v>563</v>
      </c>
      <c r="FZG90" s="83"/>
      <c r="FZV90" s="87" t="s">
        <v>563</v>
      </c>
      <c r="FZW90" s="83"/>
      <c r="GAL90" s="87" t="s">
        <v>563</v>
      </c>
      <c r="GAM90" s="83"/>
      <c r="GBB90" s="87" t="s">
        <v>563</v>
      </c>
      <c r="GBC90" s="83"/>
      <c r="GBR90" s="87" t="s">
        <v>563</v>
      </c>
      <c r="GBS90" s="83"/>
      <c r="GCH90" s="87" t="s">
        <v>563</v>
      </c>
      <c r="GCI90" s="83"/>
      <c r="GCX90" s="87" t="s">
        <v>563</v>
      </c>
      <c r="GCY90" s="83"/>
      <c r="GDN90" s="87" t="s">
        <v>563</v>
      </c>
      <c r="GDO90" s="83"/>
      <c r="GED90" s="87" t="s">
        <v>563</v>
      </c>
      <c r="GEE90" s="83"/>
      <c r="GET90" s="87" t="s">
        <v>563</v>
      </c>
      <c r="GEU90" s="83"/>
      <c r="GFJ90" s="87" t="s">
        <v>563</v>
      </c>
      <c r="GFK90" s="83"/>
      <c r="GFZ90" s="87" t="s">
        <v>563</v>
      </c>
      <c r="GGA90" s="83"/>
      <c r="GGP90" s="87" t="s">
        <v>563</v>
      </c>
      <c r="GGQ90" s="83"/>
      <c r="GHF90" s="87" t="s">
        <v>563</v>
      </c>
      <c r="GHG90" s="83"/>
      <c r="GHV90" s="87" t="s">
        <v>563</v>
      </c>
      <c r="GHW90" s="83"/>
      <c r="GIL90" s="87" t="s">
        <v>563</v>
      </c>
      <c r="GIM90" s="83"/>
      <c r="GJB90" s="87" t="s">
        <v>563</v>
      </c>
      <c r="GJC90" s="83"/>
      <c r="GJR90" s="87" t="s">
        <v>563</v>
      </c>
      <c r="GJS90" s="83"/>
      <c r="GKH90" s="87" t="s">
        <v>563</v>
      </c>
      <c r="GKI90" s="83"/>
      <c r="GKX90" s="87" t="s">
        <v>563</v>
      </c>
      <c r="GKY90" s="83"/>
      <c r="GLN90" s="87" t="s">
        <v>563</v>
      </c>
      <c r="GLO90" s="83"/>
      <c r="GMD90" s="87" t="s">
        <v>563</v>
      </c>
      <c r="GME90" s="83"/>
      <c r="GMT90" s="87" t="s">
        <v>563</v>
      </c>
      <c r="GMU90" s="83"/>
      <c r="GNJ90" s="87" t="s">
        <v>563</v>
      </c>
      <c r="GNK90" s="83"/>
      <c r="GNZ90" s="87" t="s">
        <v>563</v>
      </c>
      <c r="GOA90" s="83"/>
      <c r="GOP90" s="87" t="s">
        <v>563</v>
      </c>
      <c r="GOQ90" s="83"/>
      <c r="GPF90" s="87" t="s">
        <v>563</v>
      </c>
      <c r="GPG90" s="83"/>
      <c r="GPV90" s="87" t="s">
        <v>563</v>
      </c>
      <c r="GPW90" s="83"/>
      <c r="GQL90" s="87" t="s">
        <v>563</v>
      </c>
      <c r="GQM90" s="83"/>
      <c r="GRB90" s="87" t="s">
        <v>563</v>
      </c>
      <c r="GRC90" s="83"/>
      <c r="GRR90" s="87" t="s">
        <v>563</v>
      </c>
      <c r="GRS90" s="83"/>
      <c r="GSH90" s="87" t="s">
        <v>563</v>
      </c>
      <c r="GSI90" s="83"/>
      <c r="GSX90" s="87" t="s">
        <v>563</v>
      </c>
      <c r="GSY90" s="83"/>
      <c r="GTN90" s="87" t="s">
        <v>563</v>
      </c>
      <c r="GTO90" s="83"/>
      <c r="GUD90" s="87" t="s">
        <v>563</v>
      </c>
      <c r="GUE90" s="83"/>
      <c r="GUT90" s="87" t="s">
        <v>563</v>
      </c>
      <c r="GUU90" s="83"/>
      <c r="GVJ90" s="87" t="s">
        <v>563</v>
      </c>
      <c r="GVK90" s="83"/>
      <c r="GVZ90" s="87" t="s">
        <v>563</v>
      </c>
      <c r="GWA90" s="83"/>
      <c r="GWP90" s="87" t="s">
        <v>563</v>
      </c>
      <c r="GWQ90" s="83"/>
      <c r="GXF90" s="87" t="s">
        <v>563</v>
      </c>
      <c r="GXG90" s="83"/>
      <c r="GXV90" s="87" t="s">
        <v>563</v>
      </c>
      <c r="GXW90" s="83"/>
      <c r="GYL90" s="87" t="s">
        <v>563</v>
      </c>
      <c r="GYM90" s="83"/>
      <c r="GZB90" s="87" t="s">
        <v>563</v>
      </c>
      <c r="GZC90" s="83"/>
      <c r="GZR90" s="87" t="s">
        <v>563</v>
      </c>
      <c r="GZS90" s="83"/>
      <c r="HAH90" s="87" t="s">
        <v>563</v>
      </c>
      <c r="HAI90" s="83"/>
      <c r="HAX90" s="87" t="s">
        <v>563</v>
      </c>
      <c r="HAY90" s="83"/>
      <c r="HBN90" s="87" t="s">
        <v>563</v>
      </c>
      <c r="HBO90" s="83"/>
      <c r="HCD90" s="87" t="s">
        <v>563</v>
      </c>
      <c r="HCE90" s="83"/>
      <c r="HCT90" s="87" t="s">
        <v>563</v>
      </c>
      <c r="HCU90" s="83"/>
      <c r="HDJ90" s="87" t="s">
        <v>563</v>
      </c>
      <c r="HDK90" s="83"/>
      <c r="HDZ90" s="87" t="s">
        <v>563</v>
      </c>
      <c r="HEA90" s="83"/>
      <c r="HEP90" s="87" t="s">
        <v>563</v>
      </c>
      <c r="HEQ90" s="83"/>
      <c r="HFF90" s="87" t="s">
        <v>563</v>
      </c>
      <c r="HFG90" s="83"/>
      <c r="HFV90" s="87" t="s">
        <v>563</v>
      </c>
      <c r="HFW90" s="83"/>
      <c r="HGL90" s="87" t="s">
        <v>563</v>
      </c>
      <c r="HGM90" s="83"/>
      <c r="HHB90" s="87" t="s">
        <v>563</v>
      </c>
      <c r="HHC90" s="83"/>
      <c r="HHR90" s="87" t="s">
        <v>563</v>
      </c>
      <c r="HHS90" s="83"/>
      <c r="HIH90" s="87" t="s">
        <v>563</v>
      </c>
      <c r="HII90" s="83"/>
      <c r="HIX90" s="87" t="s">
        <v>563</v>
      </c>
      <c r="HIY90" s="83"/>
      <c r="HJN90" s="87" t="s">
        <v>563</v>
      </c>
      <c r="HJO90" s="83"/>
      <c r="HKD90" s="87" t="s">
        <v>563</v>
      </c>
      <c r="HKE90" s="83"/>
      <c r="HKT90" s="87" t="s">
        <v>563</v>
      </c>
      <c r="HKU90" s="83"/>
      <c r="HLJ90" s="87" t="s">
        <v>563</v>
      </c>
      <c r="HLK90" s="83"/>
      <c r="HLZ90" s="87" t="s">
        <v>563</v>
      </c>
      <c r="HMA90" s="83"/>
      <c r="HMP90" s="87" t="s">
        <v>563</v>
      </c>
      <c r="HMQ90" s="83"/>
      <c r="HNF90" s="87" t="s">
        <v>563</v>
      </c>
      <c r="HNG90" s="83"/>
      <c r="HNV90" s="87" t="s">
        <v>563</v>
      </c>
      <c r="HNW90" s="83"/>
      <c r="HOL90" s="87" t="s">
        <v>563</v>
      </c>
      <c r="HOM90" s="83"/>
      <c r="HPB90" s="87" t="s">
        <v>563</v>
      </c>
      <c r="HPC90" s="83"/>
      <c r="HPR90" s="87" t="s">
        <v>563</v>
      </c>
      <c r="HPS90" s="83"/>
      <c r="HQH90" s="87" t="s">
        <v>563</v>
      </c>
      <c r="HQI90" s="83"/>
      <c r="HQX90" s="87" t="s">
        <v>563</v>
      </c>
      <c r="HQY90" s="83"/>
      <c r="HRN90" s="87" t="s">
        <v>563</v>
      </c>
      <c r="HRO90" s="83"/>
      <c r="HSD90" s="87" t="s">
        <v>563</v>
      </c>
      <c r="HSE90" s="83"/>
      <c r="HST90" s="87" t="s">
        <v>563</v>
      </c>
      <c r="HSU90" s="83"/>
      <c r="HTJ90" s="87" t="s">
        <v>563</v>
      </c>
      <c r="HTK90" s="83"/>
      <c r="HTZ90" s="87" t="s">
        <v>563</v>
      </c>
      <c r="HUA90" s="83"/>
      <c r="HUP90" s="87" t="s">
        <v>563</v>
      </c>
      <c r="HUQ90" s="83"/>
      <c r="HVF90" s="87" t="s">
        <v>563</v>
      </c>
      <c r="HVG90" s="83"/>
      <c r="HVV90" s="87" t="s">
        <v>563</v>
      </c>
      <c r="HVW90" s="83"/>
      <c r="HWL90" s="87" t="s">
        <v>563</v>
      </c>
      <c r="HWM90" s="83"/>
      <c r="HXB90" s="87" t="s">
        <v>563</v>
      </c>
      <c r="HXC90" s="83"/>
      <c r="HXR90" s="87" t="s">
        <v>563</v>
      </c>
      <c r="HXS90" s="83"/>
      <c r="HYH90" s="87" t="s">
        <v>563</v>
      </c>
      <c r="HYI90" s="83"/>
      <c r="HYX90" s="87" t="s">
        <v>563</v>
      </c>
      <c r="HYY90" s="83"/>
      <c r="HZN90" s="87" t="s">
        <v>563</v>
      </c>
      <c r="HZO90" s="83"/>
      <c r="IAD90" s="87" t="s">
        <v>563</v>
      </c>
      <c r="IAE90" s="83"/>
      <c r="IAT90" s="87" t="s">
        <v>563</v>
      </c>
      <c r="IAU90" s="83"/>
      <c r="IBJ90" s="87" t="s">
        <v>563</v>
      </c>
      <c r="IBK90" s="83"/>
      <c r="IBZ90" s="87" t="s">
        <v>563</v>
      </c>
      <c r="ICA90" s="83"/>
      <c r="ICP90" s="87" t="s">
        <v>563</v>
      </c>
      <c r="ICQ90" s="83"/>
      <c r="IDF90" s="87" t="s">
        <v>563</v>
      </c>
      <c r="IDG90" s="83"/>
      <c r="IDV90" s="87" t="s">
        <v>563</v>
      </c>
      <c r="IDW90" s="83"/>
      <c r="IEL90" s="87" t="s">
        <v>563</v>
      </c>
      <c r="IEM90" s="83"/>
      <c r="IFB90" s="87" t="s">
        <v>563</v>
      </c>
      <c r="IFC90" s="83"/>
      <c r="IFR90" s="87" t="s">
        <v>563</v>
      </c>
      <c r="IFS90" s="83"/>
      <c r="IGH90" s="87" t="s">
        <v>563</v>
      </c>
      <c r="IGI90" s="83"/>
      <c r="IGX90" s="87" t="s">
        <v>563</v>
      </c>
      <c r="IGY90" s="83"/>
      <c r="IHN90" s="87" t="s">
        <v>563</v>
      </c>
      <c r="IHO90" s="83"/>
      <c r="IID90" s="87" t="s">
        <v>563</v>
      </c>
      <c r="IIE90" s="83"/>
      <c r="IIT90" s="87" t="s">
        <v>563</v>
      </c>
      <c r="IIU90" s="83"/>
      <c r="IJJ90" s="87" t="s">
        <v>563</v>
      </c>
      <c r="IJK90" s="83"/>
      <c r="IJZ90" s="87" t="s">
        <v>563</v>
      </c>
      <c r="IKA90" s="83"/>
      <c r="IKP90" s="87" t="s">
        <v>563</v>
      </c>
      <c r="IKQ90" s="83"/>
      <c r="ILF90" s="87" t="s">
        <v>563</v>
      </c>
      <c r="ILG90" s="83"/>
      <c r="ILV90" s="87" t="s">
        <v>563</v>
      </c>
      <c r="ILW90" s="83"/>
      <c r="IML90" s="87" t="s">
        <v>563</v>
      </c>
      <c r="IMM90" s="83"/>
      <c r="INB90" s="87" t="s">
        <v>563</v>
      </c>
      <c r="INC90" s="83"/>
      <c r="INR90" s="87" t="s">
        <v>563</v>
      </c>
      <c r="INS90" s="83"/>
      <c r="IOH90" s="87" t="s">
        <v>563</v>
      </c>
      <c r="IOI90" s="83"/>
      <c r="IOX90" s="87" t="s">
        <v>563</v>
      </c>
      <c r="IOY90" s="83"/>
      <c r="IPN90" s="87" t="s">
        <v>563</v>
      </c>
      <c r="IPO90" s="83"/>
      <c r="IQD90" s="87" t="s">
        <v>563</v>
      </c>
      <c r="IQE90" s="83"/>
      <c r="IQT90" s="87" t="s">
        <v>563</v>
      </c>
      <c r="IQU90" s="83"/>
      <c r="IRJ90" s="87" t="s">
        <v>563</v>
      </c>
      <c r="IRK90" s="83"/>
      <c r="IRZ90" s="87" t="s">
        <v>563</v>
      </c>
      <c r="ISA90" s="83"/>
      <c r="ISP90" s="87" t="s">
        <v>563</v>
      </c>
      <c r="ISQ90" s="83"/>
      <c r="ITF90" s="87" t="s">
        <v>563</v>
      </c>
      <c r="ITG90" s="83"/>
      <c r="ITV90" s="87" t="s">
        <v>563</v>
      </c>
      <c r="ITW90" s="83"/>
      <c r="IUL90" s="87" t="s">
        <v>563</v>
      </c>
      <c r="IUM90" s="83"/>
      <c r="IVB90" s="87" t="s">
        <v>563</v>
      </c>
      <c r="IVC90" s="83"/>
      <c r="IVR90" s="87" t="s">
        <v>563</v>
      </c>
      <c r="IVS90" s="83"/>
      <c r="IWH90" s="87" t="s">
        <v>563</v>
      </c>
      <c r="IWI90" s="83"/>
      <c r="IWX90" s="87" t="s">
        <v>563</v>
      </c>
      <c r="IWY90" s="83"/>
      <c r="IXN90" s="87" t="s">
        <v>563</v>
      </c>
      <c r="IXO90" s="83"/>
      <c r="IYD90" s="87" t="s">
        <v>563</v>
      </c>
      <c r="IYE90" s="83"/>
      <c r="IYT90" s="87" t="s">
        <v>563</v>
      </c>
      <c r="IYU90" s="83"/>
      <c r="IZJ90" s="87" t="s">
        <v>563</v>
      </c>
      <c r="IZK90" s="83"/>
      <c r="IZZ90" s="87" t="s">
        <v>563</v>
      </c>
      <c r="JAA90" s="83"/>
      <c r="JAP90" s="87" t="s">
        <v>563</v>
      </c>
      <c r="JAQ90" s="83"/>
      <c r="JBF90" s="87" t="s">
        <v>563</v>
      </c>
      <c r="JBG90" s="83"/>
      <c r="JBV90" s="87" t="s">
        <v>563</v>
      </c>
      <c r="JBW90" s="83"/>
      <c r="JCL90" s="87" t="s">
        <v>563</v>
      </c>
      <c r="JCM90" s="83"/>
      <c r="JDB90" s="87" t="s">
        <v>563</v>
      </c>
      <c r="JDC90" s="83"/>
      <c r="JDR90" s="87" t="s">
        <v>563</v>
      </c>
      <c r="JDS90" s="83"/>
      <c r="JEH90" s="87" t="s">
        <v>563</v>
      </c>
      <c r="JEI90" s="83"/>
      <c r="JEX90" s="87" t="s">
        <v>563</v>
      </c>
      <c r="JEY90" s="83"/>
      <c r="JFN90" s="87" t="s">
        <v>563</v>
      </c>
      <c r="JFO90" s="83"/>
      <c r="JGD90" s="87" t="s">
        <v>563</v>
      </c>
      <c r="JGE90" s="83"/>
      <c r="JGT90" s="87" t="s">
        <v>563</v>
      </c>
      <c r="JGU90" s="83"/>
      <c r="JHJ90" s="87" t="s">
        <v>563</v>
      </c>
      <c r="JHK90" s="83"/>
      <c r="JHZ90" s="87" t="s">
        <v>563</v>
      </c>
      <c r="JIA90" s="83"/>
      <c r="JIP90" s="87" t="s">
        <v>563</v>
      </c>
      <c r="JIQ90" s="83"/>
      <c r="JJF90" s="87" t="s">
        <v>563</v>
      </c>
      <c r="JJG90" s="83"/>
      <c r="JJV90" s="87" t="s">
        <v>563</v>
      </c>
      <c r="JJW90" s="83"/>
      <c r="JKL90" s="87" t="s">
        <v>563</v>
      </c>
      <c r="JKM90" s="83"/>
      <c r="JLB90" s="87" t="s">
        <v>563</v>
      </c>
      <c r="JLC90" s="83"/>
      <c r="JLR90" s="87" t="s">
        <v>563</v>
      </c>
      <c r="JLS90" s="83"/>
      <c r="JMH90" s="87" t="s">
        <v>563</v>
      </c>
      <c r="JMI90" s="83"/>
      <c r="JMX90" s="87" t="s">
        <v>563</v>
      </c>
      <c r="JMY90" s="83"/>
      <c r="JNN90" s="87" t="s">
        <v>563</v>
      </c>
      <c r="JNO90" s="83"/>
      <c r="JOD90" s="87" t="s">
        <v>563</v>
      </c>
      <c r="JOE90" s="83"/>
      <c r="JOT90" s="87" t="s">
        <v>563</v>
      </c>
      <c r="JOU90" s="83"/>
      <c r="JPJ90" s="87" t="s">
        <v>563</v>
      </c>
      <c r="JPK90" s="83"/>
      <c r="JPZ90" s="87" t="s">
        <v>563</v>
      </c>
      <c r="JQA90" s="83"/>
      <c r="JQP90" s="87" t="s">
        <v>563</v>
      </c>
      <c r="JQQ90" s="83"/>
      <c r="JRF90" s="87" t="s">
        <v>563</v>
      </c>
      <c r="JRG90" s="83"/>
      <c r="JRV90" s="87" t="s">
        <v>563</v>
      </c>
      <c r="JRW90" s="83"/>
      <c r="JSL90" s="87" t="s">
        <v>563</v>
      </c>
      <c r="JSM90" s="83"/>
      <c r="JTB90" s="87" t="s">
        <v>563</v>
      </c>
      <c r="JTC90" s="83"/>
      <c r="JTR90" s="87" t="s">
        <v>563</v>
      </c>
      <c r="JTS90" s="83"/>
      <c r="JUH90" s="87" t="s">
        <v>563</v>
      </c>
      <c r="JUI90" s="83"/>
      <c r="JUX90" s="87" t="s">
        <v>563</v>
      </c>
      <c r="JUY90" s="83"/>
      <c r="JVN90" s="87" t="s">
        <v>563</v>
      </c>
      <c r="JVO90" s="83"/>
      <c r="JWD90" s="87" t="s">
        <v>563</v>
      </c>
      <c r="JWE90" s="83"/>
      <c r="JWT90" s="87" t="s">
        <v>563</v>
      </c>
      <c r="JWU90" s="83"/>
      <c r="JXJ90" s="87" t="s">
        <v>563</v>
      </c>
      <c r="JXK90" s="83"/>
      <c r="JXZ90" s="87" t="s">
        <v>563</v>
      </c>
      <c r="JYA90" s="83"/>
      <c r="JYP90" s="87" t="s">
        <v>563</v>
      </c>
      <c r="JYQ90" s="83"/>
      <c r="JZF90" s="87" t="s">
        <v>563</v>
      </c>
      <c r="JZG90" s="83"/>
      <c r="JZV90" s="87" t="s">
        <v>563</v>
      </c>
      <c r="JZW90" s="83"/>
      <c r="KAL90" s="87" t="s">
        <v>563</v>
      </c>
      <c r="KAM90" s="83"/>
      <c r="KBB90" s="87" t="s">
        <v>563</v>
      </c>
      <c r="KBC90" s="83"/>
      <c r="KBR90" s="87" t="s">
        <v>563</v>
      </c>
      <c r="KBS90" s="83"/>
      <c r="KCH90" s="87" t="s">
        <v>563</v>
      </c>
      <c r="KCI90" s="83"/>
      <c r="KCX90" s="87" t="s">
        <v>563</v>
      </c>
      <c r="KCY90" s="83"/>
      <c r="KDN90" s="87" t="s">
        <v>563</v>
      </c>
      <c r="KDO90" s="83"/>
      <c r="KED90" s="87" t="s">
        <v>563</v>
      </c>
      <c r="KEE90" s="83"/>
      <c r="KET90" s="87" t="s">
        <v>563</v>
      </c>
      <c r="KEU90" s="83"/>
      <c r="KFJ90" s="87" t="s">
        <v>563</v>
      </c>
      <c r="KFK90" s="83"/>
      <c r="KFZ90" s="87" t="s">
        <v>563</v>
      </c>
      <c r="KGA90" s="83"/>
      <c r="KGP90" s="87" t="s">
        <v>563</v>
      </c>
      <c r="KGQ90" s="83"/>
      <c r="KHF90" s="87" t="s">
        <v>563</v>
      </c>
      <c r="KHG90" s="83"/>
      <c r="KHV90" s="87" t="s">
        <v>563</v>
      </c>
      <c r="KHW90" s="83"/>
      <c r="KIL90" s="87" t="s">
        <v>563</v>
      </c>
      <c r="KIM90" s="83"/>
      <c r="KJB90" s="87" t="s">
        <v>563</v>
      </c>
      <c r="KJC90" s="83"/>
      <c r="KJR90" s="87" t="s">
        <v>563</v>
      </c>
      <c r="KJS90" s="83"/>
      <c r="KKH90" s="87" t="s">
        <v>563</v>
      </c>
      <c r="KKI90" s="83"/>
      <c r="KKX90" s="87" t="s">
        <v>563</v>
      </c>
      <c r="KKY90" s="83"/>
      <c r="KLN90" s="87" t="s">
        <v>563</v>
      </c>
      <c r="KLO90" s="83"/>
      <c r="KMD90" s="87" t="s">
        <v>563</v>
      </c>
      <c r="KME90" s="83"/>
      <c r="KMT90" s="87" t="s">
        <v>563</v>
      </c>
      <c r="KMU90" s="83"/>
      <c r="KNJ90" s="87" t="s">
        <v>563</v>
      </c>
      <c r="KNK90" s="83"/>
      <c r="KNZ90" s="87" t="s">
        <v>563</v>
      </c>
      <c r="KOA90" s="83"/>
      <c r="KOP90" s="87" t="s">
        <v>563</v>
      </c>
      <c r="KOQ90" s="83"/>
      <c r="KPF90" s="87" t="s">
        <v>563</v>
      </c>
      <c r="KPG90" s="83"/>
      <c r="KPV90" s="87" t="s">
        <v>563</v>
      </c>
      <c r="KPW90" s="83"/>
      <c r="KQL90" s="87" t="s">
        <v>563</v>
      </c>
      <c r="KQM90" s="83"/>
      <c r="KRB90" s="87" t="s">
        <v>563</v>
      </c>
      <c r="KRC90" s="83"/>
      <c r="KRR90" s="87" t="s">
        <v>563</v>
      </c>
      <c r="KRS90" s="83"/>
      <c r="KSH90" s="87" t="s">
        <v>563</v>
      </c>
      <c r="KSI90" s="83"/>
      <c r="KSX90" s="87" t="s">
        <v>563</v>
      </c>
      <c r="KSY90" s="83"/>
      <c r="KTN90" s="87" t="s">
        <v>563</v>
      </c>
      <c r="KTO90" s="83"/>
      <c r="KUD90" s="87" t="s">
        <v>563</v>
      </c>
      <c r="KUE90" s="83"/>
      <c r="KUT90" s="87" t="s">
        <v>563</v>
      </c>
      <c r="KUU90" s="83"/>
      <c r="KVJ90" s="87" t="s">
        <v>563</v>
      </c>
      <c r="KVK90" s="83"/>
      <c r="KVZ90" s="87" t="s">
        <v>563</v>
      </c>
      <c r="KWA90" s="83"/>
      <c r="KWP90" s="87" t="s">
        <v>563</v>
      </c>
      <c r="KWQ90" s="83"/>
      <c r="KXF90" s="87" t="s">
        <v>563</v>
      </c>
      <c r="KXG90" s="83"/>
      <c r="KXV90" s="87" t="s">
        <v>563</v>
      </c>
      <c r="KXW90" s="83"/>
      <c r="KYL90" s="87" t="s">
        <v>563</v>
      </c>
      <c r="KYM90" s="83"/>
      <c r="KZB90" s="87" t="s">
        <v>563</v>
      </c>
      <c r="KZC90" s="83"/>
      <c r="KZR90" s="87" t="s">
        <v>563</v>
      </c>
      <c r="KZS90" s="83"/>
      <c r="LAH90" s="87" t="s">
        <v>563</v>
      </c>
      <c r="LAI90" s="83"/>
      <c r="LAX90" s="87" t="s">
        <v>563</v>
      </c>
      <c r="LAY90" s="83"/>
      <c r="LBN90" s="87" t="s">
        <v>563</v>
      </c>
      <c r="LBO90" s="83"/>
      <c r="LCD90" s="87" t="s">
        <v>563</v>
      </c>
      <c r="LCE90" s="83"/>
      <c r="LCT90" s="87" t="s">
        <v>563</v>
      </c>
      <c r="LCU90" s="83"/>
      <c r="LDJ90" s="87" t="s">
        <v>563</v>
      </c>
      <c r="LDK90" s="83"/>
      <c r="LDZ90" s="87" t="s">
        <v>563</v>
      </c>
      <c r="LEA90" s="83"/>
      <c r="LEP90" s="87" t="s">
        <v>563</v>
      </c>
      <c r="LEQ90" s="83"/>
      <c r="LFF90" s="87" t="s">
        <v>563</v>
      </c>
      <c r="LFG90" s="83"/>
      <c r="LFV90" s="87" t="s">
        <v>563</v>
      </c>
      <c r="LFW90" s="83"/>
      <c r="LGL90" s="87" t="s">
        <v>563</v>
      </c>
      <c r="LGM90" s="83"/>
      <c r="LHB90" s="87" t="s">
        <v>563</v>
      </c>
      <c r="LHC90" s="83"/>
      <c r="LHR90" s="87" t="s">
        <v>563</v>
      </c>
      <c r="LHS90" s="83"/>
      <c r="LIH90" s="87" t="s">
        <v>563</v>
      </c>
      <c r="LII90" s="83"/>
      <c r="LIX90" s="87" t="s">
        <v>563</v>
      </c>
      <c r="LIY90" s="83"/>
      <c r="LJN90" s="87" t="s">
        <v>563</v>
      </c>
      <c r="LJO90" s="83"/>
      <c r="LKD90" s="87" t="s">
        <v>563</v>
      </c>
      <c r="LKE90" s="83"/>
      <c r="LKT90" s="87" t="s">
        <v>563</v>
      </c>
      <c r="LKU90" s="83"/>
      <c r="LLJ90" s="87" t="s">
        <v>563</v>
      </c>
      <c r="LLK90" s="83"/>
      <c r="LLZ90" s="87" t="s">
        <v>563</v>
      </c>
      <c r="LMA90" s="83"/>
      <c r="LMP90" s="87" t="s">
        <v>563</v>
      </c>
      <c r="LMQ90" s="83"/>
      <c r="LNF90" s="87" t="s">
        <v>563</v>
      </c>
      <c r="LNG90" s="83"/>
      <c r="LNV90" s="87" t="s">
        <v>563</v>
      </c>
      <c r="LNW90" s="83"/>
      <c r="LOL90" s="87" t="s">
        <v>563</v>
      </c>
      <c r="LOM90" s="83"/>
      <c r="LPB90" s="87" t="s">
        <v>563</v>
      </c>
      <c r="LPC90" s="83"/>
      <c r="LPR90" s="87" t="s">
        <v>563</v>
      </c>
      <c r="LPS90" s="83"/>
      <c r="LQH90" s="87" t="s">
        <v>563</v>
      </c>
      <c r="LQI90" s="83"/>
      <c r="LQX90" s="87" t="s">
        <v>563</v>
      </c>
      <c r="LQY90" s="83"/>
      <c r="LRN90" s="87" t="s">
        <v>563</v>
      </c>
      <c r="LRO90" s="83"/>
      <c r="LSD90" s="87" t="s">
        <v>563</v>
      </c>
      <c r="LSE90" s="83"/>
      <c r="LST90" s="87" t="s">
        <v>563</v>
      </c>
      <c r="LSU90" s="83"/>
      <c r="LTJ90" s="87" t="s">
        <v>563</v>
      </c>
      <c r="LTK90" s="83"/>
      <c r="LTZ90" s="87" t="s">
        <v>563</v>
      </c>
      <c r="LUA90" s="83"/>
      <c r="LUP90" s="87" t="s">
        <v>563</v>
      </c>
      <c r="LUQ90" s="83"/>
      <c r="LVF90" s="87" t="s">
        <v>563</v>
      </c>
      <c r="LVG90" s="83"/>
      <c r="LVV90" s="87" t="s">
        <v>563</v>
      </c>
      <c r="LVW90" s="83"/>
      <c r="LWL90" s="87" t="s">
        <v>563</v>
      </c>
      <c r="LWM90" s="83"/>
      <c r="LXB90" s="87" t="s">
        <v>563</v>
      </c>
      <c r="LXC90" s="83"/>
      <c r="LXR90" s="87" t="s">
        <v>563</v>
      </c>
      <c r="LXS90" s="83"/>
      <c r="LYH90" s="87" t="s">
        <v>563</v>
      </c>
      <c r="LYI90" s="83"/>
      <c r="LYX90" s="87" t="s">
        <v>563</v>
      </c>
      <c r="LYY90" s="83"/>
      <c r="LZN90" s="87" t="s">
        <v>563</v>
      </c>
      <c r="LZO90" s="83"/>
      <c r="MAD90" s="87" t="s">
        <v>563</v>
      </c>
      <c r="MAE90" s="83"/>
      <c r="MAT90" s="87" t="s">
        <v>563</v>
      </c>
      <c r="MAU90" s="83"/>
      <c r="MBJ90" s="87" t="s">
        <v>563</v>
      </c>
      <c r="MBK90" s="83"/>
      <c r="MBZ90" s="87" t="s">
        <v>563</v>
      </c>
      <c r="MCA90" s="83"/>
      <c r="MCP90" s="87" t="s">
        <v>563</v>
      </c>
      <c r="MCQ90" s="83"/>
      <c r="MDF90" s="87" t="s">
        <v>563</v>
      </c>
      <c r="MDG90" s="83"/>
      <c r="MDV90" s="87" t="s">
        <v>563</v>
      </c>
      <c r="MDW90" s="83"/>
      <c r="MEL90" s="87" t="s">
        <v>563</v>
      </c>
      <c r="MEM90" s="83"/>
      <c r="MFB90" s="87" t="s">
        <v>563</v>
      </c>
      <c r="MFC90" s="83"/>
      <c r="MFR90" s="87" t="s">
        <v>563</v>
      </c>
      <c r="MFS90" s="83"/>
      <c r="MGH90" s="87" t="s">
        <v>563</v>
      </c>
      <c r="MGI90" s="83"/>
      <c r="MGX90" s="87" t="s">
        <v>563</v>
      </c>
      <c r="MGY90" s="83"/>
      <c r="MHN90" s="87" t="s">
        <v>563</v>
      </c>
      <c r="MHO90" s="83"/>
      <c r="MID90" s="87" t="s">
        <v>563</v>
      </c>
      <c r="MIE90" s="83"/>
      <c r="MIT90" s="87" t="s">
        <v>563</v>
      </c>
      <c r="MIU90" s="83"/>
      <c r="MJJ90" s="87" t="s">
        <v>563</v>
      </c>
      <c r="MJK90" s="83"/>
      <c r="MJZ90" s="87" t="s">
        <v>563</v>
      </c>
      <c r="MKA90" s="83"/>
      <c r="MKP90" s="87" t="s">
        <v>563</v>
      </c>
      <c r="MKQ90" s="83"/>
      <c r="MLF90" s="87" t="s">
        <v>563</v>
      </c>
      <c r="MLG90" s="83"/>
      <c r="MLV90" s="87" t="s">
        <v>563</v>
      </c>
      <c r="MLW90" s="83"/>
      <c r="MML90" s="87" t="s">
        <v>563</v>
      </c>
      <c r="MMM90" s="83"/>
      <c r="MNB90" s="87" t="s">
        <v>563</v>
      </c>
      <c r="MNC90" s="83"/>
      <c r="MNR90" s="87" t="s">
        <v>563</v>
      </c>
      <c r="MNS90" s="83"/>
      <c r="MOH90" s="87" t="s">
        <v>563</v>
      </c>
      <c r="MOI90" s="83"/>
      <c r="MOX90" s="87" t="s">
        <v>563</v>
      </c>
      <c r="MOY90" s="83"/>
      <c r="MPN90" s="87" t="s">
        <v>563</v>
      </c>
      <c r="MPO90" s="83"/>
      <c r="MQD90" s="87" t="s">
        <v>563</v>
      </c>
      <c r="MQE90" s="83"/>
      <c r="MQT90" s="87" t="s">
        <v>563</v>
      </c>
      <c r="MQU90" s="83"/>
      <c r="MRJ90" s="87" t="s">
        <v>563</v>
      </c>
      <c r="MRK90" s="83"/>
      <c r="MRZ90" s="87" t="s">
        <v>563</v>
      </c>
      <c r="MSA90" s="83"/>
      <c r="MSP90" s="87" t="s">
        <v>563</v>
      </c>
      <c r="MSQ90" s="83"/>
      <c r="MTF90" s="87" t="s">
        <v>563</v>
      </c>
      <c r="MTG90" s="83"/>
      <c r="MTV90" s="87" t="s">
        <v>563</v>
      </c>
      <c r="MTW90" s="83"/>
      <c r="MUL90" s="87" t="s">
        <v>563</v>
      </c>
      <c r="MUM90" s="83"/>
      <c r="MVB90" s="87" t="s">
        <v>563</v>
      </c>
      <c r="MVC90" s="83"/>
      <c r="MVR90" s="87" t="s">
        <v>563</v>
      </c>
      <c r="MVS90" s="83"/>
      <c r="MWH90" s="87" t="s">
        <v>563</v>
      </c>
      <c r="MWI90" s="83"/>
      <c r="MWX90" s="87" t="s">
        <v>563</v>
      </c>
      <c r="MWY90" s="83"/>
      <c r="MXN90" s="87" t="s">
        <v>563</v>
      </c>
      <c r="MXO90" s="83"/>
      <c r="MYD90" s="87" t="s">
        <v>563</v>
      </c>
      <c r="MYE90" s="83"/>
      <c r="MYT90" s="87" t="s">
        <v>563</v>
      </c>
      <c r="MYU90" s="83"/>
      <c r="MZJ90" s="87" t="s">
        <v>563</v>
      </c>
      <c r="MZK90" s="83"/>
      <c r="MZZ90" s="87" t="s">
        <v>563</v>
      </c>
      <c r="NAA90" s="83"/>
      <c r="NAP90" s="87" t="s">
        <v>563</v>
      </c>
      <c r="NAQ90" s="83"/>
      <c r="NBF90" s="87" t="s">
        <v>563</v>
      </c>
      <c r="NBG90" s="83"/>
      <c r="NBV90" s="87" t="s">
        <v>563</v>
      </c>
      <c r="NBW90" s="83"/>
      <c r="NCL90" s="87" t="s">
        <v>563</v>
      </c>
      <c r="NCM90" s="83"/>
      <c r="NDB90" s="87" t="s">
        <v>563</v>
      </c>
      <c r="NDC90" s="83"/>
      <c r="NDR90" s="87" t="s">
        <v>563</v>
      </c>
      <c r="NDS90" s="83"/>
      <c r="NEH90" s="87" t="s">
        <v>563</v>
      </c>
      <c r="NEI90" s="83"/>
      <c r="NEX90" s="87" t="s">
        <v>563</v>
      </c>
      <c r="NEY90" s="83"/>
      <c r="NFN90" s="87" t="s">
        <v>563</v>
      </c>
      <c r="NFO90" s="83"/>
      <c r="NGD90" s="87" t="s">
        <v>563</v>
      </c>
      <c r="NGE90" s="83"/>
      <c r="NGT90" s="87" t="s">
        <v>563</v>
      </c>
      <c r="NGU90" s="83"/>
      <c r="NHJ90" s="87" t="s">
        <v>563</v>
      </c>
      <c r="NHK90" s="83"/>
      <c r="NHZ90" s="87" t="s">
        <v>563</v>
      </c>
      <c r="NIA90" s="83"/>
      <c r="NIP90" s="87" t="s">
        <v>563</v>
      </c>
      <c r="NIQ90" s="83"/>
      <c r="NJF90" s="87" t="s">
        <v>563</v>
      </c>
      <c r="NJG90" s="83"/>
      <c r="NJV90" s="87" t="s">
        <v>563</v>
      </c>
      <c r="NJW90" s="83"/>
      <c r="NKL90" s="87" t="s">
        <v>563</v>
      </c>
      <c r="NKM90" s="83"/>
      <c r="NLB90" s="87" t="s">
        <v>563</v>
      </c>
      <c r="NLC90" s="83"/>
      <c r="NLR90" s="87" t="s">
        <v>563</v>
      </c>
      <c r="NLS90" s="83"/>
      <c r="NMH90" s="87" t="s">
        <v>563</v>
      </c>
      <c r="NMI90" s="83"/>
      <c r="NMX90" s="87" t="s">
        <v>563</v>
      </c>
      <c r="NMY90" s="83"/>
      <c r="NNN90" s="87" t="s">
        <v>563</v>
      </c>
      <c r="NNO90" s="83"/>
      <c r="NOD90" s="87" t="s">
        <v>563</v>
      </c>
      <c r="NOE90" s="83"/>
      <c r="NOT90" s="87" t="s">
        <v>563</v>
      </c>
      <c r="NOU90" s="83"/>
      <c r="NPJ90" s="87" t="s">
        <v>563</v>
      </c>
      <c r="NPK90" s="83"/>
      <c r="NPZ90" s="87" t="s">
        <v>563</v>
      </c>
      <c r="NQA90" s="83"/>
      <c r="NQP90" s="87" t="s">
        <v>563</v>
      </c>
      <c r="NQQ90" s="83"/>
      <c r="NRF90" s="87" t="s">
        <v>563</v>
      </c>
      <c r="NRG90" s="83"/>
      <c r="NRV90" s="87" t="s">
        <v>563</v>
      </c>
      <c r="NRW90" s="83"/>
      <c r="NSL90" s="87" t="s">
        <v>563</v>
      </c>
      <c r="NSM90" s="83"/>
      <c r="NTB90" s="87" t="s">
        <v>563</v>
      </c>
      <c r="NTC90" s="83"/>
      <c r="NTR90" s="87" t="s">
        <v>563</v>
      </c>
      <c r="NTS90" s="83"/>
      <c r="NUH90" s="87" t="s">
        <v>563</v>
      </c>
      <c r="NUI90" s="83"/>
      <c r="NUX90" s="87" t="s">
        <v>563</v>
      </c>
      <c r="NUY90" s="83"/>
      <c r="NVN90" s="87" t="s">
        <v>563</v>
      </c>
      <c r="NVO90" s="83"/>
      <c r="NWD90" s="87" t="s">
        <v>563</v>
      </c>
      <c r="NWE90" s="83"/>
      <c r="NWT90" s="87" t="s">
        <v>563</v>
      </c>
      <c r="NWU90" s="83"/>
      <c r="NXJ90" s="87" t="s">
        <v>563</v>
      </c>
      <c r="NXK90" s="83"/>
      <c r="NXZ90" s="87" t="s">
        <v>563</v>
      </c>
      <c r="NYA90" s="83"/>
      <c r="NYP90" s="87" t="s">
        <v>563</v>
      </c>
      <c r="NYQ90" s="83"/>
      <c r="NZF90" s="87" t="s">
        <v>563</v>
      </c>
      <c r="NZG90" s="83"/>
      <c r="NZV90" s="87" t="s">
        <v>563</v>
      </c>
      <c r="NZW90" s="83"/>
      <c r="OAL90" s="87" t="s">
        <v>563</v>
      </c>
      <c r="OAM90" s="83"/>
      <c r="OBB90" s="87" t="s">
        <v>563</v>
      </c>
      <c r="OBC90" s="83"/>
      <c r="OBR90" s="87" t="s">
        <v>563</v>
      </c>
      <c r="OBS90" s="83"/>
      <c r="OCH90" s="87" t="s">
        <v>563</v>
      </c>
      <c r="OCI90" s="83"/>
      <c r="OCX90" s="87" t="s">
        <v>563</v>
      </c>
      <c r="OCY90" s="83"/>
      <c r="ODN90" s="87" t="s">
        <v>563</v>
      </c>
      <c r="ODO90" s="83"/>
      <c r="OED90" s="87" t="s">
        <v>563</v>
      </c>
      <c r="OEE90" s="83"/>
      <c r="OET90" s="87" t="s">
        <v>563</v>
      </c>
      <c r="OEU90" s="83"/>
      <c r="OFJ90" s="87" t="s">
        <v>563</v>
      </c>
      <c r="OFK90" s="83"/>
      <c r="OFZ90" s="87" t="s">
        <v>563</v>
      </c>
      <c r="OGA90" s="83"/>
      <c r="OGP90" s="87" t="s">
        <v>563</v>
      </c>
      <c r="OGQ90" s="83"/>
      <c r="OHF90" s="87" t="s">
        <v>563</v>
      </c>
      <c r="OHG90" s="83"/>
      <c r="OHV90" s="87" t="s">
        <v>563</v>
      </c>
      <c r="OHW90" s="83"/>
      <c r="OIL90" s="87" t="s">
        <v>563</v>
      </c>
      <c r="OIM90" s="83"/>
      <c r="OJB90" s="87" t="s">
        <v>563</v>
      </c>
      <c r="OJC90" s="83"/>
      <c r="OJR90" s="87" t="s">
        <v>563</v>
      </c>
      <c r="OJS90" s="83"/>
      <c r="OKH90" s="87" t="s">
        <v>563</v>
      </c>
      <c r="OKI90" s="83"/>
      <c r="OKX90" s="87" t="s">
        <v>563</v>
      </c>
      <c r="OKY90" s="83"/>
      <c r="OLN90" s="87" t="s">
        <v>563</v>
      </c>
      <c r="OLO90" s="83"/>
      <c r="OMD90" s="87" t="s">
        <v>563</v>
      </c>
      <c r="OME90" s="83"/>
      <c r="OMT90" s="87" t="s">
        <v>563</v>
      </c>
      <c r="OMU90" s="83"/>
      <c r="ONJ90" s="87" t="s">
        <v>563</v>
      </c>
      <c r="ONK90" s="83"/>
      <c r="ONZ90" s="87" t="s">
        <v>563</v>
      </c>
      <c r="OOA90" s="83"/>
      <c r="OOP90" s="87" t="s">
        <v>563</v>
      </c>
      <c r="OOQ90" s="83"/>
      <c r="OPF90" s="87" t="s">
        <v>563</v>
      </c>
      <c r="OPG90" s="83"/>
      <c r="OPV90" s="87" t="s">
        <v>563</v>
      </c>
      <c r="OPW90" s="83"/>
      <c r="OQL90" s="87" t="s">
        <v>563</v>
      </c>
      <c r="OQM90" s="83"/>
      <c r="ORB90" s="87" t="s">
        <v>563</v>
      </c>
      <c r="ORC90" s="83"/>
      <c r="ORR90" s="87" t="s">
        <v>563</v>
      </c>
      <c r="ORS90" s="83"/>
      <c r="OSH90" s="87" t="s">
        <v>563</v>
      </c>
      <c r="OSI90" s="83"/>
      <c r="OSX90" s="87" t="s">
        <v>563</v>
      </c>
      <c r="OSY90" s="83"/>
      <c r="OTN90" s="87" t="s">
        <v>563</v>
      </c>
      <c r="OTO90" s="83"/>
      <c r="OUD90" s="87" t="s">
        <v>563</v>
      </c>
      <c r="OUE90" s="83"/>
      <c r="OUT90" s="87" t="s">
        <v>563</v>
      </c>
      <c r="OUU90" s="83"/>
      <c r="OVJ90" s="87" t="s">
        <v>563</v>
      </c>
      <c r="OVK90" s="83"/>
      <c r="OVZ90" s="87" t="s">
        <v>563</v>
      </c>
      <c r="OWA90" s="83"/>
      <c r="OWP90" s="87" t="s">
        <v>563</v>
      </c>
      <c r="OWQ90" s="83"/>
      <c r="OXF90" s="87" t="s">
        <v>563</v>
      </c>
      <c r="OXG90" s="83"/>
      <c r="OXV90" s="87" t="s">
        <v>563</v>
      </c>
      <c r="OXW90" s="83"/>
      <c r="OYL90" s="87" t="s">
        <v>563</v>
      </c>
      <c r="OYM90" s="83"/>
      <c r="OZB90" s="87" t="s">
        <v>563</v>
      </c>
      <c r="OZC90" s="83"/>
      <c r="OZR90" s="87" t="s">
        <v>563</v>
      </c>
      <c r="OZS90" s="83"/>
      <c r="PAH90" s="87" t="s">
        <v>563</v>
      </c>
      <c r="PAI90" s="83"/>
      <c r="PAX90" s="87" t="s">
        <v>563</v>
      </c>
      <c r="PAY90" s="83"/>
      <c r="PBN90" s="87" t="s">
        <v>563</v>
      </c>
      <c r="PBO90" s="83"/>
      <c r="PCD90" s="87" t="s">
        <v>563</v>
      </c>
      <c r="PCE90" s="83"/>
      <c r="PCT90" s="87" t="s">
        <v>563</v>
      </c>
      <c r="PCU90" s="83"/>
      <c r="PDJ90" s="87" t="s">
        <v>563</v>
      </c>
      <c r="PDK90" s="83"/>
      <c r="PDZ90" s="87" t="s">
        <v>563</v>
      </c>
      <c r="PEA90" s="83"/>
      <c r="PEP90" s="87" t="s">
        <v>563</v>
      </c>
      <c r="PEQ90" s="83"/>
      <c r="PFF90" s="87" t="s">
        <v>563</v>
      </c>
      <c r="PFG90" s="83"/>
      <c r="PFV90" s="87" t="s">
        <v>563</v>
      </c>
      <c r="PFW90" s="83"/>
      <c r="PGL90" s="87" t="s">
        <v>563</v>
      </c>
      <c r="PGM90" s="83"/>
      <c r="PHB90" s="87" t="s">
        <v>563</v>
      </c>
      <c r="PHC90" s="83"/>
      <c r="PHR90" s="87" t="s">
        <v>563</v>
      </c>
      <c r="PHS90" s="83"/>
      <c r="PIH90" s="87" t="s">
        <v>563</v>
      </c>
      <c r="PII90" s="83"/>
      <c r="PIX90" s="87" t="s">
        <v>563</v>
      </c>
      <c r="PIY90" s="83"/>
      <c r="PJN90" s="87" t="s">
        <v>563</v>
      </c>
      <c r="PJO90" s="83"/>
      <c r="PKD90" s="87" t="s">
        <v>563</v>
      </c>
      <c r="PKE90" s="83"/>
      <c r="PKT90" s="87" t="s">
        <v>563</v>
      </c>
      <c r="PKU90" s="83"/>
      <c r="PLJ90" s="87" t="s">
        <v>563</v>
      </c>
      <c r="PLK90" s="83"/>
      <c r="PLZ90" s="87" t="s">
        <v>563</v>
      </c>
      <c r="PMA90" s="83"/>
      <c r="PMP90" s="87" t="s">
        <v>563</v>
      </c>
      <c r="PMQ90" s="83"/>
      <c r="PNF90" s="87" t="s">
        <v>563</v>
      </c>
      <c r="PNG90" s="83"/>
      <c r="PNV90" s="87" t="s">
        <v>563</v>
      </c>
      <c r="PNW90" s="83"/>
      <c r="POL90" s="87" t="s">
        <v>563</v>
      </c>
      <c r="POM90" s="83"/>
      <c r="PPB90" s="87" t="s">
        <v>563</v>
      </c>
      <c r="PPC90" s="83"/>
      <c r="PPR90" s="87" t="s">
        <v>563</v>
      </c>
      <c r="PPS90" s="83"/>
      <c r="PQH90" s="87" t="s">
        <v>563</v>
      </c>
      <c r="PQI90" s="83"/>
      <c r="PQX90" s="87" t="s">
        <v>563</v>
      </c>
      <c r="PQY90" s="83"/>
      <c r="PRN90" s="87" t="s">
        <v>563</v>
      </c>
      <c r="PRO90" s="83"/>
      <c r="PSD90" s="87" t="s">
        <v>563</v>
      </c>
      <c r="PSE90" s="83"/>
      <c r="PST90" s="87" t="s">
        <v>563</v>
      </c>
      <c r="PSU90" s="83"/>
      <c r="PTJ90" s="87" t="s">
        <v>563</v>
      </c>
      <c r="PTK90" s="83"/>
      <c r="PTZ90" s="87" t="s">
        <v>563</v>
      </c>
      <c r="PUA90" s="83"/>
      <c r="PUP90" s="87" t="s">
        <v>563</v>
      </c>
      <c r="PUQ90" s="83"/>
      <c r="PVF90" s="87" t="s">
        <v>563</v>
      </c>
      <c r="PVG90" s="83"/>
      <c r="PVV90" s="87" t="s">
        <v>563</v>
      </c>
      <c r="PVW90" s="83"/>
      <c r="PWL90" s="87" t="s">
        <v>563</v>
      </c>
      <c r="PWM90" s="83"/>
      <c r="PXB90" s="87" t="s">
        <v>563</v>
      </c>
      <c r="PXC90" s="83"/>
      <c r="PXR90" s="87" t="s">
        <v>563</v>
      </c>
      <c r="PXS90" s="83"/>
      <c r="PYH90" s="87" t="s">
        <v>563</v>
      </c>
      <c r="PYI90" s="83"/>
      <c r="PYX90" s="87" t="s">
        <v>563</v>
      </c>
      <c r="PYY90" s="83"/>
      <c r="PZN90" s="87" t="s">
        <v>563</v>
      </c>
      <c r="PZO90" s="83"/>
      <c r="QAD90" s="87" t="s">
        <v>563</v>
      </c>
      <c r="QAE90" s="83"/>
      <c r="QAT90" s="87" t="s">
        <v>563</v>
      </c>
      <c r="QAU90" s="83"/>
      <c r="QBJ90" s="87" t="s">
        <v>563</v>
      </c>
      <c r="QBK90" s="83"/>
      <c r="QBZ90" s="87" t="s">
        <v>563</v>
      </c>
      <c r="QCA90" s="83"/>
      <c r="QCP90" s="87" t="s">
        <v>563</v>
      </c>
      <c r="QCQ90" s="83"/>
      <c r="QDF90" s="87" t="s">
        <v>563</v>
      </c>
      <c r="QDG90" s="83"/>
      <c r="QDV90" s="87" t="s">
        <v>563</v>
      </c>
      <c r="QDW90" s="83"/>
      <c r="QEL90" s="87" t="s">
        <v>563</v>
      </c>
      <c r="QEM90" s="83"/>
      <c r="QFB90" s="87" t="s">
        <v>563</v>
      </c>
      <c r="QFC90" s="83"/>
      <c r="QFR90" s="87" t="s">
        <v>563</v>
      </c>
      <c r="QFS90" s="83"/>
      <c r="QGH90" s="87" t="s">
        <v>563</v>
      </c>
      <c r="QGI90" s="83"/>
      <c r="QGX90" s="87" t="s">
        <v>563</v>
      </c>
      <c r="QGY90" s="83"/>
      <c r="QHN90" s="87" t="s">
        <v>563</v>
      </c>
      <c r="QHO90" s="83"/>
      <c r="QID90" s="87" t="s">
        <v>563</v>
      </c>
      <c r="QIE90" s="83"/>
      <c r="QIT90" s="87" t="s">
        <v>563</v>
      </c>
      <c r="QIU90" s="83"/>
      <c r="QJJ90" s="87" t="s">
        <v>563</v>
      </c>
      <c r="QJK90" s="83"/>
      <c r="QJZ90" s="87" t="s">
        <v>563</v>
      </c>
      <c r="QKA90" s="83"/>
      <c r="QKP90" s="87" t="s">
        <v>563</v>
      </c>
      <c r="QKQ90" s="83"/>
      <c r="QLF90" s="87" t="s">
        <v>563</v>
      </c>
      <c r="QLG90" s="83"/>
      <c r="QLV90" s="87" t="s">
        <v>563</v>
      </c>
      <c r="QLW90" s="83"/>
      <c r="QML90" s="87" t="s">
        <v>563</v>
      </c>
      <c r="QMM90" s="83"/>
      <c r="QNB90" s="87" t="s">
        <v>563</v>
      </c>
      <c r="QNC90" s="83"/>
      <c r="QNR90" s="87" t="s">
        <v>563</v>
      </c>
      <c r="QNS90" s="83"/>
      <c r="QOH90" s="87" t="s">
        <v>563</v>
      </c>
      <c r="QOI90" s="83"/>
      <c r="QOX90" s="87" t="s">
        <v>563</v>
      </c>
      <c r="QOY90" s="83"/>
      <c r="QPN90" s="87" t="s">
        <v>563</v>
      </c>
      <c r="QPO90" s="83"/>
      <c r="QQD90" s="87" t="s">
        <v>563</v>
      </c>
      <c r="QQE90" s="83"/>
      <c r="QQT90" s="87" t="s">
        <v>563</v>
      </c>
      <c r="QQU90" s="83"/>
      <c r="QRJ90" s="87" t="s">
        <v>563</v>
      </c>
      <c r="QRK90" s="83"/>
      <c r="QRZ90" s="87" t="s">
        <v>563</v>
      </c>
      <c r="QSA90" s="83"/>
      <c r="QSP90" s="87" t="s">
        <v>563</v>
      </c>
      <c r="QSQ90" s="83"/>
      <c r="QTF90" s="87" t="s">
        <v>563</v>
      </c>
      <c r="QTG90" s="83"/>
      <c r="QTV90" s="87" t="s">
        <v>563</v>
      </c>
      <c r="QTW90" s="83"/>
      <c r="QUL90" s="87" t="s">
        <v>563</v>
      </c>
      <c r="QUM90" s="83"/>
      <c r="QVB90" s="87" t="s">
        <v>563</v>
      </c>
      <c r="QVC90" s="83"/>
      <c r="QVR90" s="87" t="s">
        <v>563</v>
      </c>
      <c r="QVS90" s="83"/>
      <c r="QWH90" s="87" t="s">
        <v>563</v>
      </c>
      <c r="QWI90" s="83"/>
      <c r="QWX90" s="87" t="s">
        <v>563</v>
      </c>
      <c r="QWY90" s="83"/>
      <c r="QXN90" s="87" t="s">
        <v>563</v>
      </c>
      <c r="QXO90" s="83"/>
      <c r="QYD90" s="87" t="s">
        <v>563</v>
      </c>
      <c r="QYE90" s="83"/>
      <c r="QYT90" s="87" t="s">
        <v>563</v>
      </c>
      <c r="QYU90" s="83"/>
      <c r="QZJ90" s="87" t="s">
        <v>563</v>
      </c>
      <c r="QZK90" s="83"/>
      <c r="QZZ90" s="87" t="s">
        <v>563</v>
      </c>
      <c r="RAA90" s="83"/>
      <c r="RAP90" s="87" t="s">
        <v>563</v>
      </c>
      <c r="RAQ90" s="83"/>
      <c r="RBF90" s="87" t="s">
        <v>563</v>
      </c>
      <c r="RBG90" s="83"/>
      <c r="RBV90" s="87" t="s">
        <v>563</v>
      </c>
      <c r="RBW90" s="83"/>
      <c r="RCL90" s="87" t="s">
        <v>563</v>
      </c>
      <c r="RCM90" s="83"/>
      <c r="RDB90" s="87" t="s">
        <v>563</v>
      </c>
      <c r="RDC90" s="83"/>
      <c r="RDR90" s="87" t="s">
        <v>563</v>
      </c>
      <c r="RDS90" s="83"/>
      <c r="REH90" s="87" t="s">
        <v>563</v>
      </c>
      <c r="REI90" s="83"/>
      <c r="REX90" s="87" t="s">
        <v>563</v>
      </c>
      <c r="REY90" s="83"/>
      <c r="RFN90" s="87" t="s">
        <v>563</v>
      </c>
      <c r="RFO90" s="83"/>
      <c r="RGD90" s="87" t="s">
        <v>563</v>
      </c>
      <c r="RGE90" s="83"/>
      <c r="RGT90" s="87" t="s">
        <v>563</v>
      </c>
      <c r="RGU90" s="83"/>
      <c r="RHJ90" s="87" t="s">
        <v>563</v>
      </c>
      <c r="RHK90" s="83"/>
      <c r="RHZ90" s="87" t="s">
        <v>563</v>
      </c>
      <c r="RIA90" s="83"/>
      <c r="RIP90" s="87" t="s">
        <v>563</v>
      </c>
      <c r="RIQ90" s="83"/>
      <c r="RJF90" s="87" t="s">
        <v>563</v>
      </c>
      <c r="RJG90" s="83"/>
      <c r="RJV90" s="87" t="s">
        <v>563</v>
      </c>
      <c r="RJW90" s="83"/>
      <c r="RKL90" s="87" t="s">
        <v>563</v>
      </c>
      <c r="RKM90" s="83"/>
      <c r="RLB90" s="87" t="s">
        <v>563</v>
      </c>
      <c r="RLC90" s="83"/>
      <c r="RLR90" s="87" t="s">
        <v>563</v>
      </c>
      <c r="RLS90" s="83"/>
      <c r="RMH90" s="87" t="s">
        <v>563</v>
      </c>
      <c r="RMI90" s="83"/>
      <c r="RMX90" s="87" t="s">
        <v>563</v>
      </c>
      <c r="RMY90" s="83"/>
      <c r="RNN90" s="87" t="s">
        <v>563</v>
      </c>
      <c r="RNO90" s="83"/>
      <c r="ROD90" s="87" t="s">
        <v>563</v>
      </c>
      <c r="ROE90" s="83"/>
      <c r="ROT90" s="87" t="s">
        <v>563</v>
      </c>
      <c r="ROU90" s="83"/>
      <c r="RPJ90" s="87" t="s">
        <v>563</v>
      </c>
      <c r="RPK90" s="83"/>
      <c r="RPZ90" s="87" t="s">
        <v>563</v>
      </c>
      <c r="RQA90" s="83"/>
      <c r="RQP90" s="87" t="s">
        <v>563</v>
      </c>
      <c r="RQQ90" s="83"/>
      <c r="RRF90" s="87" t="s">
        <v>563</v>
      </c>
      <c r="RRG90" s="83"/>
      <c r="RRV90" s="87" t="s">
        <v>563</v>
      </c>
      <c r="RRW90" s="83"/>
      <c r="RSL90" s="87" t="s">
        <v>563</v>
      </c>
      <c r="RSM90" s="83"/>
      <c r="RTB90" s="87" t="s">
        <v>563</v>
      </c>
      <c r="RTC90" s="83"/>
      <c r="RTR90" s="87" t="s">
        <v>563</v>
      </c>
      <c r="RTS90" s="83"/>
      <c r="RUH90" s="87" t="s">
        <v>563</v>
      </c>
      <c r="RUI90" s="83"/>
      <c r="RUX90" s="87" t="s">
        <v>563</v>
      </c>
      <c r="RUY90" s="83"/>
      <c r="RVN90" s="87" t="s">
        <v>563</v>
      </c>
      <c r="RVO90" s="83"/>
      <c r="RWD90" s="87" t="s">
        <v>563</v>
      </c>
      <c r="RWE90" s="83"/>
      <c r="RWT90" s="87" t="s">
        <v>563</v>
      </c>
      <c r="RWU90" s="83"/>
      <c r="RXJ90" s="87" t="s">
        <v>563</v>
      </c>
      <c r="RXK90" s="83"/>
      <c r="RXZ90" s="87" t="s">
        <v>563</v>
      </c>
      <c r="RYA90" s="83"/>
      <c r="RYP90" s="87" t="s">
        <v>563</v>
      </c>
      <c r="RYQ90" s="83"/>
      <c r="RZF90" s="87" t="s">
        <v>563</v>
      </c>
      <c r="RZG90" s="83"/>
      <c r="RZV90" s="87" t="s">
        <v>563</v>
      </c>
      <c r="RZW90" s="83"/>
      <c r="SAL90" s="87" t="s">
        <v>563</v>
      </c>
      <c r="SAM90" s="83"/>
      <c r="SBB90" s="87" t="s">
        <v>563</v>
      </c>
      <c r="SBC90" s="83"/>
      <c r="SBR90" s="87" t="s">
        <v>563</v>
      </c>
      <c r="SBS90" s="83"/>
      <c r="SCH90" s="87" t="s">
        <v>563</v>
      </c>
      <c r="SCI90" s="83"/>
      <c r="SCX90" s="87" t="s">
        <v>563</v>
      </c>
      <c r="SCY90" s="83"/>
      <c r="SDN90" s="87" t="s">
        <v>563</v>
      </c>
      <c r="SDO90" s="83"/>
      <c r="SED90" s="87" t="s">
        <v>563</v>
      </c>
      <c r="SEE90" s="83"/>
      <c r="SET90" s="87" t="s">
        <v>563</v>
      </c>
      <c r="SEU90" s="83"/>
      <c r="SFJ90" s="87" t="s">
        <v>563</v>
      </c>
      <c r="SFK90" s="83"/>
      <c r="SFZ90" s="87" t="s">
        <v>563</v>
      </c>
      <c r="SGA90" s="83"/>
      <c r="SGP90" s="87" t="s">
        <v>563</v>
      </c>
      <c r="SGQ90" s="83"/>
      <c r="SHF90" s="87" t="s">
        <v>563</v>
      </c>
      <c r="SHG90" s="83"/>
      <c r="SHV90" s="87" t="s">
        <v>563</v>
      </c>
      <c r="SHW90" s="83"/>
      <c r="SIL90" s="87" t="s">
        <v>563</v>
      </c>
      <c r="SIM90" s="83"/>
      <c r="SJB90" s="87" t="s">
        <v>563</v>
      </c>
      <c r="SJC90" s="83"/>
      <c r="SJR90" s="87" t="s">
        <v>563</v>
      </c>
      <c r="SJS90" s="83"/>
      <c r="SKH90" s="87" t="s">
        <v>563</v>
      </c>
      <c r="SKI90" s="83"/>
      <c r="SKX90" s="87" t="s">
        <v>563</v>
      </c>
      <c r="SKY90" s="83"/>
      <c r="SLN90" s="87" t="s">
        <v>563</v>
      </c>
      <c r="SLO90" s="83"/>
      <c r="SMD90" s="87" t="s">
        <v>563</v>
      </c>
      <c r="SME90" s="83"/>
      <c r="SMT90" s="87" t="s">
        <v>563</v>
      </c>
      <c r="SMU90" s="83"/>
      <c r="SNJ90" s="87" t="s">
        <v>563</v>
      </c>
      <c r="SNK90" s="83"/>
      <c r="SNZ90" s="87" t="s">
        <v>563</v>
      </c>
      <c r="SOA90" s="83"/>
      <c r="SOP90" s="87" t="s">
        <v>563</v>
      </c>
      <c r="SOQ90" s="83"/>
      <c r="SPF90" s="87" t="s">
        <v>563</v>
      </c>
      <c r="SPG90" s="83"/>
      <c r="SPV90" s="87" t="s">
        <v>563</v>
      </c>
      <c r="SPW90" s="83"/>
      <c r="SQL90" s="87" t="s">
        <v>563</v>
      </c>
      <c r="SQM90" s="83"/>
      <c r="SRB90" s="87" t="s">
        <v>563</v>
      </c>
      <c r="SRC90" s="83"/>
      <c r="SRR90" s="87" t="s">
        <v>563</v>
      </c>
      <c r="SRS90" s="83"/>
      <c r="SSH90" s="87" t="s">
        <v>563</v>
      </c>
      <c r="SSI90" s="83"/>
      <c r="SSX90" s="87" t="s">
        <v>563</v>
      </c>
      <c r="SSY90" s="83"/>
      <c r="STN90" s="87" t="s">
        <v>563</v>
      </c>
      <c r="STO90" s="83"/>
      <c r="SUD90" s="87" t="s">
        <v>563</v>
      </c>
      <c r="SUE90" s="83"/>
      <c r="SUT90" s="87" t="s">
        <v>563</v>
      </c>
      <c r="SUU90" s="83"/>
      <c r="SVJ90" s="87" t="s">
        <v>563</v>
      </c>
      <c r="SVK90" s="83"/>
      <c r="SVZ90" s="87" t="s">
        <v>563</v>
      </c>
      <c r="SWA90" s="83"/>
      <c r="SWP90" s="87" t="s">
        <v>563</v>
      </c>
      <c r="SWQ90" s="83"/>
      <c r="SXF90" s="87" t="s">
        <v>563</v>
      </c>
      <c r="SXG90" s="83"/>
      <c r="SXV90" s="87" t="s">
        <v>563</v>
      </c>
      <c r="SXW90" s="83"/>
      <c r="SYL90" s="87" t="s">
        <v>563</v>
      </c>
      <c r="SYM90" s="83"/>
      <c r="SZB90" s="87" t="s">
        <v>563</v>
      </c>
      <c r="SZC90" s="83"/>
      <c r="SZR90" s="87" t="s">
        <v>563</v>
      </c>
      <c r="SZS90" s="83"/>
      <c r="TAH90" s="87" t="s">
        <v>563</v>
      </c>
      <c r="TAI90" s="83"/>
      <c r="TAX90" s="87" t="s">
        <v>563</v>
      </c>
      <c r="TAY90" s="83"/>
      <c r="TBN90" s="87" t="s">
        <v>563</v>
      </c>
      <c r="TBO90" s="83"/>
      <c r="TCD90" s="87" t="s">
        <v>563</v>
      </c>
      <c r="TCE90" s="83"/>
      <c r="TCT90" s="87" t="s">
        <v>563</v>
      </c>
      <c r="TCU90" s="83"/>
      <c r="TDJ90" s="87" t="s">
        <v>563</v>
      </c>
      <c r="TDK90" s="83"/>
      <c r="TDZ90" s="87" t="s">
        <v>563</v>
      </c>
      <c r="TEA90" s="83"/>
      <c r="TEP90" s="87" t="s">
        <v>563</v>
      </c>
      <c r="TEQ90" s="83"/>
      <c r="TFF90" s="87" t="s">
        <v>563</v>
      </c>
      <c r="TFG90" s="83"/>
      <c r="TFV90" s="87" t="s">
        <v>563</v>
      </c>
      <c r="TFW90" s="83"/>
      <c r="TGL90" s="87" t="s">
        <v>563</v>
      </c>
      <c r="TGM90" s="83"/>
      <c r="THB90" s="87" t="s">
        <v>563</v>
      </c>
      <c r="THC90" s="83"/>
      <c r="THR90" s="87" t="s">
        <v>563</v>
      </c>
      <c r="THS90" s="83"/>
      <c r="TIH90" s="87" t="s">
        <v>563</v>
      </c>
      <c r="TII90" s="83"/>
      <c r="TIX90" s="87" t="s">
        <v>563</v>
      </c>
      <c r="TIY90" s="83"/>
      <c r="TJN90" s="87" t="s">
        <v>563</v>
      </c>
      <c r="TJO90" s="83"/>
      <c r="TKD90" s="87" t="s">
        <v>563</v>
      </c>
      <c r="TKE90" s="83"/>
      <c r="TKT90" s="87" t="s">
        <v>563</v>
      </c>
      <c r="TKU90" s="83"/>
      <c r="TLJ90" s="87" t="s">
        <v>563</v>
      </c>
      <c r="TLK90" s="83"/>
      <c r="TLZ90" s="87" t="s">
        <v>563</v>
      </c>
      <c r="TMA90" s="83"/>
      <c r="TMP90" s="87" t="s">
        <v>563</v>
      </c>
      <c r="TMQ90" s="83"/>
      <c r="TNF90" s="87" t="s">
        <v>563</v>
      </c>
      <c r="TNG90" s="83"/>
      <c r="TNV90" s="87" t="s">
        <v>563</v>
      </c>
      <c r="TNW90" s="83"/>
      <c r="TOL90" s="87" t="s">
        <v>563</v>
      </c>
      <c r="TOM90" s="83"/>
      <c r="TPB90" s="87" t="s">
        <v>563</v>
      </c>
      <c r="TPC90" s="83"/>
      <c r="TPR90" s="87" t="s">
        <v>563</v>
      </c>
      <c r="TPS90" s="83"/>
      <c r="TQH90" s="87" t="s">
        <v>563</v>
      </c>
      <c r="TQI90" s="83"/>
      <c r="TQX90" s="87" t="s">
        <v>563</v>
      </c>
      <c r="TQY90" s="83"/>
      <c r="TRN90" s="87" t="s">
        <v>563</v>
      </c>
      <c r="TRO90" s="83"/>
      <c r="TSD90" s="87" t="s">
        <v>563</v>
      </c>
      <c r="TSE90" s="83"/>
      <c r="TST90" s="87" t="s">
        <v>563</v>
      </c>
      <c r="TSU90" s="83"/>
      <c r="TTJ90" s="87" t="s">
        <v>563</v>
      </c>
      <c r="TTK90" s="83"/>
      <c r="TTZ90" s="87" t="s">
        <v>563</v>
      </c>
      <c r="TUA90" s="83"/>
      <c r="TUP90" s="87" t="s">
        <v>563</v>
      </c>
      <c r="TUQ90" s="83"/>
      <c r="TVF90" s="87" t="s">
        <v>563</v>
      </c>
      <c r="TVG90" s="83"/>
      <c r="TVV90" s="87" t="s">
        <v>563</v>
      </c>
      <c r="TVW90" s="83"/>
      <c r="TWL90" s="87" t="s">
        <v>563</v>
      </c>
      <c r="TWM90" s="83"/>
      <c r="TXB90" s="87" t="s">
        <v>563</v>
      </c>
      <c r="TXC90" s="83"/>
      <c r="TXR90" s="87" t="s">
        <v>563</v>
      </c>
      <c r="TXS90" s="83"/>
      <c r="TYH90" s="87" t="s">
        <v>563</v>
      </c>
      <c r="TYI90" s="83"/>
      <c r="TYX90" s="87" t="s">
        <v>563</v>
      </c>
      <c r="TYY90" s="83"/>
      <c r="TZN90" s="87" t="s">
        <v>563</v>
      </c>
      <c r="TZO90" s="83"/>
      <c r="UAD90" s="87" t="s">
        <v>563</v>
      </c>
      <c r="UAE90" s="83"/>
      <c r="UAT90" s="87" t="s">
        <v>563</v>
      </c>
      <c r="UAU90" s="83"/>
      <c r="UBJ90" s="87" t="s">
        <v>563</v>
      </c>
      <c r="UBK90" s="83"/>
      <c r="UBZ90" s="87" t="s">
        <v>563</v>
      </c>
      <c r="UCA90" s="83"/>
      <c r="UCP90" s="87" t="s">
        <v>563</v>
      </c>
      <c r="UCQ90" s="83"/>
      <c r="UDF90" s="87" t="s">
        <v>563</v>
      </c>
      <c r="UDG90" s="83"/>
      <c r="UDV90" s="87" t="s">
        <v>563</v>
      </c>
      <c r="UDW90" s="83"/>
      <c r="UEL90" s="87" t="s">
        <v>563</v>
      </c>
      <c r="UEM90" s="83"/>
      <c r="UFB90" s="87" t="s">
        <v>563</v>
      </c>
      <c r="UFC90" s="83"/>
      <c r="UFR90" s="87" t="s">
        <v>563</v>
      </c>
      <c r="UFS90" s="83"/>
      <c r="UGH90" s="87" t="s">
        <v>563</v>
      </c>
      <c r="UGI90" s="83"/>
      <c r="UGX90" s="87" t="s">
        <v>563</v>
      </c>
      <c r="UGY90" s="83"/>
      <c r="UHN90" s="87" t="s">
        <v>563</v>
      </c>
      <c r="UHO90" s="83"/>
      <c r="UID90" s="87" t="s">
        <v>563</v>
      </c>
      <c r="UIE90" s="83"/>
      <c r="UIT90" s="87" t="s">
        <v>563</v>
      </c>
      <c r="UIU90" s="83"/>
      <c r="UJJ90" s="87" t="s">
        <v>563</v>
      </c>
      <c r="UJK90" s="83"/>
      <c r="UJZ90" s="87" t="s">
        <v>563</v>
      </c>
      <c r="UKA90" s="83"/>
      <c r="UKP90" s="87" t="s">
        <v>563</v>
      </c>
      <c r="UKQ90" s="83"/>
      <c r="ULF90" s="87" t="s">
        <v>563</v>
      </c>
      <c r="ULG90" s="83"/>
      <c r="ULV90" s="87" t="s">
        <v>563</v>
      </c>
      <c r="ULW90" s="83"/>
      <c r="UML90" s="87" t="s">
        <v>563</v>
      </c>
      <c r="UMM90" s="83"/>
      <c r="UNB90" s="87" t="s">
        <v>563</v>
      </c>
      <c r="UNC90" s="83"/>
      <c r="UNR90" s="87" t="s">
        <v>563</v>
      </c>
      <c r="UNS90" s="83"/>
      <c r="UOH90" s="87" t="s">
        <v>563</v>
      </c>
      <c r="UOI90" s="83"/>
      <c r="UOX90" s="87" t="s">
        <v>563</v>
      </c>
      <c r="UOY90" s="83"/>
      <c r="UPN90" s="87" t="s">
        <v>563</v>
      </c>
      <c r="UPO90" s="83"/>
      <c r="UQD90" s="87" t="s">
        <v>563</v>
      </c>
      <c r="UQE90" s="83"/>
      <c r="UQT90" s="87" t="s">
        <v>563</v>
      </c>
      <c r="UQU90" s="83"/>
      <c r="URJ90" s="87" t="s">
        <v>563</v>
      </c>
      <c r="URK90" s="83"/>
      <c r="URZ90" s="87" t="s">
        <v>563</v>
      </c>
      <c r="USA90" s="83"/>
      <c r="USP90" s="87" t="s">
        <v>563</v>
      </c>
      <c r="USQ90" s="83"/>
      <c r="UTF90" s="87" t="s">
        <v>563</v>
      </c>
      <c r="UTG90" s="83"/>
      <c r="UTV90" s="87" t="s">
        <v>563</v>
      </c>
      <c r="UTW90" s="83"/>
      <c r="UUL90" s="87" t="s">
        <v>563</v>
      </c>
      <c r="UUM90" s="83"/>
      <c r="UVB90" s="87" t="s">
        <v>563</v>
      </c>
      <c r="UVC90" s="83"/>
      <c r="UVR90" s="87" t="s">
        <v>563</v>
      </c>
      <c r="UVS90" s="83"/>
      <c r="UWH90" s="87" t="s">
        <v>563</v>
      </c>
      <c r="UWI90" s="83"/>
      <c r="UWX90" s="87" t="s">
        <v>563</v>
      </c>
      <c r="UWY90" s="83"/>
      <c r="UXN90" s="87" t="s">
        <v>563</v>
      </c>
      <c r="UXO90" s="83"/>
      <c r="UYD90" s="87" t="s">
        <v>563</v>
      </c>
      <c r="UYE90" s="83"/>
      <c r="UYT90" s="87" t="s">
        <v>563</v>
      </c>
      <c r="UYU90" s="83"/>
      <c r="UZJ90" s="87" t="s">
        <v>563</v>
      </c>
      <c r="UZK90" s="83"/>
      <c r="UZZ90" s="87" t="s">
        <v>563</v>
      </c>
      <c r="VAA90" s="83"/>
      <c r="VAP90" s="87" t="s">
        <v>563</v>
      </c>
      <c r="VAQ90" s="83"/>
      <c r="VBF90" s="87" t="s">
        <v>563</v>
      </c>
      <c r="VBG90" s="83"/>
      <c r="VBV90" s="87" t="s">
        <v>563</v>
      </c>
      <c r="VBW90" s="83"/>
      <c r="VCL90" s="87" t="s">
        <v>563</v>
      </c>
      <c r="VCM90" s="83"/>
      <c r="VDB90" s="87" t="s">
        <v>563</v>
      </c>
      <c r="VDC90" s="83"/>
      <c r="VDR90" s="87" t="s">
        <v>563</v>
      </c>
      <c r="VDS90" s="83"/>
      <c r="VEH90" s="87" t="s">
        <v>563</v>
      </c>
      <c r="VEI90" s="83"/>
      <c r="VEX90" s="87" t="s">
        <v>563</v>
      </c>
      <c r="VEY90" s="83"/>
      <c r="VFN90" s="87" t="s">
        <v>563</v>
      </c>
      <c r="VFO90" s="83"/>
      <c r="VGD90" s="87" t="s">
        <v>563</v>
      </c>
      <c r="VGE90" s="83"/>
      <c r="VGT90" s="87" t="s">
        <v>563</v>
      </c>
      <c r="VGU90" s="83"/>
      <c r="VHJ90" s="87" t="s">
        <v>563</v>
      </c>
      <c r="VHK90" s="83"/>
      <c r="VHZ90" s="87" t="s">
        <v>563</v>
      </c>
      <c r="VIA90" s="83"/>
      <c r="VIP90" s="87" t="s">
        <v>563</v>
      </c>
      <c r="VIQ90" s="83"/>
      <c r="VJF90" s="87" t="s">
        <v>563</v>
      </c>
      <c r="VJG90" s="83"/>
      <c r="VJV90" s="87" t="s">
        <v>563</v>
      </c>
      <c r="VJW90" s="83"/>
      <c r="VKL90" s="87" t="s">
        <v>563</v>
      </c>
      <c r="VKM90" s="83"/>
      <c r="VLB90" s="87" t="s">
        <v>563</v>
      </c>
      <c r="VLC90" s="83"/>
      <c r="VLR90" s="87" t="s">
        <v>563</v>
      </c>
      <c r="VLS90" s="83"/>
      <c r="VMH90" s="87" t="s">
        <v>563</v>
      </c>
      <c r="VMI90" s="83"/>
      <c r="VMX90" s="87" t="s">
        <v>563</v>
      </c>
      <c r="VMY90" s="83"/>
      <c r="VNN90" s="87" t="s">
        <v>563</v>
      </c>
      <c r="VNO90" s="83"/>
      <c r="VOD90" s="87" t="s">
        <v>563</v>
      </c>
      <c r="VOE90" s="83"/>
      <c r="VOT90" s="87" t="s">
        <v>563</v>
      </c>
      <c r="VOU90" s="83"/>
      <c r="VPJ90" s="87" t="s">
        <v>563</v>
      </c>
      <c r="VPK90" s="83"/>
      <c r="VPZ90" s="87" t="s">
        <v>563</v>
      </c>
      <c r="VQA90" s="83"/>
      <c r="VQP90" s="87" t="s">
        <v>563</v>
      </c>
      <c r="VQQ90" s="83"/>
      <c r="VRF90" s="87" t="s">
        <v>563</v>
      </c>
      <c r="VRG90" s="83"/>
      <c r="VRV90" s="87" t="s">
        <v>563</v>
      </c>
      <c r="VRW90" s="83"/>
      <c r="VSL90" s="87" t="s">
        <v>563</v>
      </c>
      <c r="VSM90" s="83"/>
      <c r="VTB90" s="87" t="s">
        <v>563</v>
      </c>
      <c r="VTC90" s="83"/>
      <c r="VTR90" s="87" t="s">
        <v>563</v>
      </c>
      <c r="VTS90" s="83"/>
      <c r="VUH90" s="87" t="s">
        <v>563</v>
      </c>
      <c r="VUI90" s="83"/>
      <c r="VUX90" s="87" t="s">
        <v>563</v>
      </c>
      <c r="VUY90" s="83"/>
      <c r="VVN90" s="87" t="s">
        <v>563</v>
      </c>
      <c r="VVO90" s="83"/>
      <c r="VWD90" s="87" t="s">
        <v>563</v>
      </c>
      <c r="VWE90" s="83"/>
      <c r="VWT90" s="87" t="s">
        <v>563</v>
      </c>
      <c r="VWU90" s="83"/>
      <c r="VXJ90" s="87" t="s">
        <v>563</v>
      </c>
      <c r="VXK90" s="83"/>
      <c r="VXZ90" s="87" t="s">
        <v>563</v>
      </c>
      <c r="VYA90" s="83"/>
      <c r="VYP90" s="87" t="s">
        <v>563</v>
      </c>
      <c r="VYQ90" s="83"/>
      <c r="VZF90" s="87" t="s">
        <v>563</v>
      </c>
      <c r="VZG90" s="83"/>
      <c r="VZV90" s="87" t="s">
        <v>563</v>
      </c>
      <c r="VZW90" s="83"/>
      <c r="WAL90" s="87" t="s">
        <v>563</v>
      </c>
      <c r="WAM90" s="83"/>
      <c r="WBB90" s="87" t="s">
        <v>563</v>
      </c>
      <c r="WBC90" s="83"/>
      <c r="WBR90" s="87" t="s">
        <v>563</v>
      </c>
      <c r="WBS90" s="83"/>
      <c r="WCH90" s="87" t="s">
        <v>563</v>
      </c>
      <c r="WCI90" s="83"/>
      <c r="WCX90" s="87" t="s">
        <v>563</v>
      </c>
      <c r="WCY90" s="83"/>
      <c r="WDN90" s="87" t="s">
        <v>563</v>
      </c>
      <c r="WDO90" s="83"/>
      <c r="WED90" s="87" t="s">
        <v>563</v>
      </c>
      <c r="WEE90" s="83"/>
      <c r="WET90" s="87" t="s">
        <v>563</v>
      </c>
      <c r="WEU90" s="83"/>
      <c r="WFJ90" s="87" t="s">
        <v>563</v>
      </c>
      <c r="WFK90" s="83"/>
      <c r="WFZ90" s="87" t="s">
        <v>563</v>
      </c>
      <c r="WGA90" s="83"/>
      <c r="WGP90" s="87" t="s">
        <v>563</v>
      </c>
      <c r="WGQ90" s="83"/>
      <c r="WHF90" s="87" t="s">
        <v>563</v>
      </c>
      <c r="WHG90" s="83"/>
      <c r="WHV90" s="87" t="s">
        <v>563</v>
      </c>
      <c r="WHW90" s="83"/>
      <c r="WIL90" s="87" t="s">
        <v>563</v>
      </c>
      <c r="WIM90" s="83"/>
      <c r="WJB90" s="87" t="s">
        <v>563</v>
      </c>
      <c r="WJC90" s="83"/>
      <c r="WJR90" s="87" t="s">
        <v>563</v>
      </c>
      <c r="WJS90" s="83"/>
      <c r="WKH90" s="87" t="s">
        <v>563</v>
      </c>
      <c r="WKI90" s="83"/>
      <c r="WKX90" s="87" t="s">
        <v>563</v>
      </c>
      <c r="WKY90" s="83"/>
      <c r="WLN90" s="87" t="s">
        <v>563</v>
      </c>
      <c r="WLO90" s="83"/>
      <c r="WMD90" s="87" t="s">
        <v>563</v>
      </c>
      <c r="WME90" s="83"/>
      <c r="WMT90" s="87" t="s">
        <v>563</v>
      </c>
      <c r="WMU90" s="83"/>
      <c r="WNJ90" s="87" t="s">
        <v>563</v>
      </c>
      <c r="WNK90" s="83"/>
      <c r="WNZ90" s="87" t="s">
        <v>563</v>
      </c>
      <c r="WOA90" s="83"/>
      <c r="WOP90" s="87" t="s">
        <v>563</v>
      </c>
      <c r="WOQ90" s="83"/>
      <c r="WPF90" s="87" t="s">
        <v>563</v>
      </c>
      <c r="WPG90" s="83"/>
      <c r="WPV90" s="87" t="s">
        <v>563</v>
      </c>
      <c r="WPW90" s="83"/>
      <c r="WQL90" s="87" t="s">
        <v>563</v>
      </c>
      <c r="WQM90" s="83"/>
      <c r="WRB90" s="87" t="s">
        <v>563</v>
      </c>
      <c r="WRC90" s="83"/>
      <c r="WRR90" s="87" t="s">
        <v>563</v>
      </c>
      <c r="WRS90" s="83"/>
      <c r="WSH90" s="87" t="s">
        <v>563</v>
      </c>
      <c r="WSI90" s="83"/>
      <c r="WSX90" s="87" t="s">
        <v>563</v>
      </c>
      <c r="WSY90" s="83"/>
      <c r="WTN90" s="87" t="s">
        <v>563</v>
      </c>
      <c r="WTO90" s="83"/>
      <c r="WUD90" s="87" t="s">
        <v>563</v>
      </c>
      <c r="WUE90" s="83"/>
      <c r="WUT90" s="87" t="s">
        <v>563</v>
      </c>
      <c r="WUU90" s="83"/>
      <c r="WVJ90" s="87" t="s">
        <v>563</v>
      </c>
      <c r="WVK90" s="83"/>
      <c r="WVZ90" s="87" t="s">
        <v>563</v>
      </c>
      <c r="WWA90" s="83"/>
      <c r="WWP90" s="87" t="s">
        <v>563</v>
      </c>
      <c r="WWQ90" s="83"/>
      <c r="WXF90" s="87" t="s">
        <v>563</v>
      </c>
      <c r="WXG90" s="83"/>
      <c r="WXV90" s="87" t="s">
        <v>563</v>
      </c>
      <c r="WXW90" s="83"/>
      <c r="WYL90" s="87" t="s">
        <v>563</v>
      </c>
      <c r="WYM90" s="83"/>
      <c r="WZB90" s="87" t="s">
        <v>563</v>
      </c>
      <c r="WZC90" s="83"/>
      <c r="WZR90" s="87" t="s">
        <v>563</v>
      </c>
      <c r="WZS90" s="83"/>
      <c r="XAH90" s="87" t="s">
        <v>563</v>
      </c>
      <c r="XAI90" s="83"/>
      <c r="XAX90" s="87" t="s">
        <v>563</v>
      </c>
      <c r="XAY90" s="83"/>
      <c r="XBN90" s="87" t="s">
        <v>563</v>
      </c>
      <c r="XBO90" s="83"/>
      <c r="XCD90" s="87" t="s">
        <v>563</v>
      </c>
      <c r="XCE90" s="83"/>
      <c r="XCT90" s="87" t="s">
        <v>563</v>
      </c>
      <c r="XCU90" s="83"/>
      <c r="XDJ90" s="87" t="s">
        <v>563</v>
      </c>
      <c r="XDK90" s="83"/>
      <c r="XDZ90" s="87" t="s">
        <v>563</v>
      </c>
      <c r="XEA90" s="83"/>
      <c r="XEP90" s="87" t="s">
        <v>563</v>
      </c>
      <c r="XEQ90" s="83"/>
    </row>
    <row r="91" spans="2:1011 1026:2035 2050:3059 3074:4083 4098:5107 5122:6131 6146:7155 7170:8179 8194:9203 9218:10227 10242:11251 11266:12275 12290:13299 13314:14323 14338:15347 15362:16371" ht="13.5" x14ac:dyDescent="0.35">
      <c r="B91" s="53"/>
      <c r="C91" s="83"/>
      <c r="R91" s="87" t="s">
        <v>617</v>
      </c>
      <c r="S91" s="83"/>
      <c r="AH91" s="87" t="s">
        <v>617</v>
      </c>
      <c r="AI91" s="83"/>
      <c r="AX91" s="87" t="s">
        <v>617</v>
      </c>
      <c r="AY91" s="83"/>
      <c r="BN91" s="87" t="s">
        <v>617</v>
      </c>
      <c r="BO91" s="83"/>
      <c r="CD91" s="87" t="s">
        <v>617</v>
      </c>
      <c r="CE91" s="83"/>
      <c r="CT91" s="87" t="s">
        <v>617</v>
      </c>
      <c r="CU91" s="83"/>
      <c r="DJ91" s="87" t="s">
        <v>617</v>
      </c>
      <c r="DK91" s="83"/>
      <c r="DZ91" s="87" t="s">
        <v>617</v>
      </c>
      <c r="EA91" s="83"/>
      <c r="EP91" s="87" t="s">
        <v>617</v>
      </c>
      <c r="EQ91" s="83"/>
      <c r="FF91" s="87" t="s">
        <v>617</v>
      </c>
      <c r="FG91" s="83"/>
      <c r="FV91" s="87" t="s">
        <v>617</v>
      </c>
      <c r="FW91" s="83"/>
      <c r="GL91" s="87" t="s">
        <v>617</v>
      </c>
      <c r="GM91" s="83"/>
      <c r="HB91" s="87" t="s">
        <v>617</v>
      </c>
      <c r="HC91" s="83"/>
      <c r="HR91" s="87" t="s">
        <v>617</v>
      </c>
      <c r="HS91" s="83"/>
      <c r="IH91" s="87" t="s">
        <v>617</v>
      </c>
      <c r="II91" s="83"/>
      <c r="IX91" s="87" t="s">
        <v>617</v>
      </c>
      <c r="IY91" s="83"/>
      <c r="JN91" s="87" t="s">
        <v>617</v>
      </c>
      <c r="JO91" s="83"/>
      <c r="KD91" s="87" t="s">
        <v>617</v>
      </c>
      <c r="KE91" s="83"/>
      <c r="KT91" s="87" t="s">
        <v>617</v>
      </c>
      <c r="KU91" s="83"/>
      <c r="LJ91" s="87" t="s">
        <v>617</v>
      </c>
      <c r="LK91" s="83"/>
      <c r="LZ91" s="87" t="s">
        <v>617</v>
      </c>
      <c r="MA91" s="83"/>
      <c r="MP91" s="87" t="s">
        <v>617</v>
      </c>
      <c r="MQ91" s="83"/>
      <c r="NF91" s="87" t="s">
        <v>617</v>
      </c>
      <c r="NG91" s="83"/>
      <c r="NV91" s="87" t="s">
        <v>617</v>
      </c>
      <c r="NW91" s="83"/>
      <c r="OL91" s="87" t="s">
        <v>617</v>
      </c>
      <c r="OM91" s="83"/>
      <c r="PB91" s="87" t="s">
        <v>617</v>
      </c>
      <c r="PC91" s="83"/>
      <c r="PR91" s="87" t="s">
        <v>617</v>
      </c>
      <c r="PS91" s="83"/>
      <c r="QH91" s="87" t="s">
        <v>617</v>
      </c>
      <c r="QI91" s="83"/>
      <c r="QX91" s="87" t="s">
        <v>617</v>
      </c>
      <c r="QY91" s="83"/>
      <c r="RN91" s="87" t="s">
        <v>617</v>
      </c>
      <c r="RO91" s="83"/>
      <c r="SD91" s="87" t="s">
        <v>617</v>
      </c>
      <c r="SE91" s="83"/>
      <c r="ST91" s="87" t="s">
        <v>617</v>
      </c>
      <c r="SU91" s="83"/>
      <c r="TJ91" s="87" t="s">
        <v>617</v>
      </c>
      <c r="TK91" s="83"/>
      <c r="TZ91" s="87" t="s">
        <v>617</v>
      </c>
      <c r="UA91" s="83"/>
      <c r="UP91" s="87" t="s">
        <v>617</v>
      </c>
      <c r="UQ91" s="83"/>
      <c r="VF91" s="87" t="s">
        <v>617</v>
      </c>
      <c r="VG91" s="83"/>
      <c r="VV91" s="87" t="s">
        <v>617</v>
      </c>
      <c r="VW91" s="83"/>
      <c r="WL91" s="87" t="s">
        <v>617</v>
      </c>
      <c r="WM91" s="83"/>
      <c r="XB91" s="87" t="s">
        <v>617</v>
      </c>
      <c r="XC91" s="83"/>
      <c r="XR91" s="87" t="s">
        <v>617</v>
      </c>
      <c r="XS91" s="83"/>
      <c r="YH91" s="87" t="s">
        <v>617</v>
      </c>
      <c r="YI91" s="83"/>
      <c r="YX91" s="87" t="s">
        <v>617</v>
      </c>
      <c r="YY91" s="83"/>
      <c r="ZN91" s="87" t="s">
        <v>617</v>
      </c>
      <c r="ZO91" s="83"/>
      <c r="AAD91" s="87" t="s">
        <v>617</v>
      </c>
      <c r="AAE91" s="83"/>
      <c r="AAT91" s="87" t="s">
        <v>617</v>
      </c>
      <c r="AAU91" s="83"/>
      <c r="ABJ91" s="87" t="s">
        <v>617</v>
      </c>
      <c r="ABK91" s="83"/>
      <c r="ABZ91" s="87" t="s">
        <v>617</v>
      </c>
      <c r="ACA91" s="83"/>
      <c r="ACP91" s="87" t="s">
        <v>617</v>
      </c>
      <c r="ACQ91" s="83"/>
      <c r="ADF91" s="87" t="s">
        <v>617</v>
      </c>
      <c r="ADG91" s="83"/>
      <c r="ADV91" s="87" t="s">
        <v>617</v>
      </c>
      <c r="ADW91" s="83"/>
      <c r="AEL91" s="87" t="s">
        <v>617</v>
      </c>
      <c r="AEM91" s="83"/>
      <c r="AFB91" s="87" t="s">
        <v>617</v>
      </c>
      <c r="AFC91" s="83"/>
      <c r="AFR91" s="87" t="s">
        <v>617</v>
      </c>
      <c r="AFS91" s="83"/>
      <c r="AGH91" s="87" t="s">
        <v>617</v>
      </c>
      <c r="AGI91" s="83"/>
      <c r="AGX91" s="87" t="s">
        <v>617</v>
      </c>
      <c r="AGY91" s="83"/>
      <c r="AHN91" s="87" t="s">
        <v>617</v>
      </c>
      <c r="AHO91" s="83"/>
      <c r="AID91" s="87" t="s">
        <v>617</v>
      </c>
      <c r="AIE91" s="83"/>
      <c r="AIT91" s="87" t="s">
        <v>617</v>
      </c>
      <c r="AIU91" s="83"/>
      <c r="AJJ91" s="87" t="s">
        <v>617</v>
      </c>
      <c r="AJK91" s="83"/>
      <c r="AJZ91" s="87" t="s">
        <v>617</v>
      </c>
      <c r="AKA91" s="83"/>
      <c r="AKP91" s="87" t="s">
        <v>617</v>
      </c>
      <c r="AKQ91" s="83"/>
      <c r="ALF91" s="87" t="s">
        <v>617</v>
      </c>
      <c r="ALG91" s="83"/>
      <c r="ALV91" s="87" t="s">
        <v>617</v>
      </c>
      <c r="ALW91" s="83"/>
      <c r="AML91" s="87" t="s">
        <v>617</v>
      </c>
      <c r="AMM91" s="83"/>
      <c r="ANB91" s="87" t="s">
        <v>617</v>
      </c>
      <c r="ANC91" s="83"/>
      <c r="ANR91" s="87" t="s">
        <v>617</v>
      </c>
      <c r="ANS91" s="83"/>
      <c r="AOH91" s="87" t="s">
        <v>617</v>
      </c>
      <c r="AOI91" s="83"/>
      <c r="AOX91" s="87" t="s">
        <v>617</v>
      </c>
      <c r="AOY91" s="83"/>
      <c r="APN91" s="87" t="s">
        <v>617</v>
      </c>
      <c r="APO91" s="83"/>
      <c r="AQD91" s="87" t="s">
        <v>617</v>
      </c>
      <c r="AQE91" s="83"/>
      <c r="AQT91" s="87" t="s">
        <v>617</v>
      </c>
      <c r="AQU91" s="83"/>
      <c r="ARJ91" s="87" t="s">
        <v>617</v>
      </c>
      <c r="ARK91" s="83"/>
      <c r="ARZ91" s="87" t="s">
        <v>617</v>
      </c>
      <c r="ASA91" s="83"/>
      <c r="ASP91" s="87" t="s">
        <v>617</v>
      </c>
      <c r="ASQ91" s="83"/>
      <c r="ATF91" s="87" t="s">
        <v>617</v>
      </c>
      <c r="ATG91" s="83"/>
      <c r="ATV91" s="87" t="s">
        <v>617</v>
      </c>
      <c r="ATW91" s="83"/>
      <c r="AUL91" s="87" t="s">
        <v>617</v>
      </c>
      <c r="AUM91" s="83"/>
      <c r="AVB91" s="87" t="s">
        <v>617</v>
      </c>
      <c r="AVC91" s="83"/>
      <c r="AVR91" s="87" t="s">
        <v>617</v>
      </c>
      <c r="AVS91" s="83"/>
      <c r="AWH91" s="87" t="s">
        <v>617</v>
      </c>
      <c r="AWI91" s="83"/>
      <c r="AWX91" s="87" t="s">
        <v>617</v>
      </c>
      <c r="AWY91" s="83"/>
      <c r="AXN91" s="87" t="s">
        <v>617</v>
      </c>
      <c r="AXO91" s="83"/>
      <c r="AYD91" s="87" t="s">
        <v>617</v>
      </c>
      <c r="AYE91" s="83"/>
      <c r="AYT91" s="87" t="s">
        <v>617</v>
      </c>
      <c r="AYU91" s="83"/>
      <c r="AZJ91" s="87" t="s">
        <v>617</v>
      </c>
      <c r="AZK91" s="83"/>
      <c r="AZZ91" s="87" t="s">
        <v>617</v>
      </c>
      <c r="BAA91" s="83"/>
      <c r="BAP91" s="87" t="s">
        <v>617</v>
      </c>
      <c r="BAQ91" s="83"/>
      <c r="BBF91" s="87" t="s">
        <v>617</v>
      </c>
      <c r="BBG91" s="83"/>
      <c r="BBV91" s="87" t="s">
        <v>617</v>
      </c>
      <c r="BBW91" s="83"/>
      <c r="BCL91" s="87" t="s">
        <v>617</v>
      </c>
      <c r="BCM91" s="83"/>
      <c r="BDB91" s="87" t="s">
        <v>617</v>
      </c>
      <c r="BDC91" s="83"/>
      <c r="BDR91" s="87" t="s">
        <v>617</v>
      </c>
      <c r="BDS91" s="83"/>
      <c r="BEH91" s="87" t="s">
        <v>617</v>
      </c>
      <c r="BEI91" s="83"/>
      <c r="BEX91" s="87" t="s">
        <v>617</v>
      </c>
      <c r="BEY91" s="83"/>
      <c r="BFN91" s="87" t="s">
        <v>617</v>
      </c>
      <c r="BFO91" s="83"/>
      <c r="BGD91" s="87" t="s">
        <v>617</v>
      </c>
      <c r="BGE91" s="83"/>
      <c r="BGT91" s="87" t="s">
        <v>617</v>
      </c>
      <c r="BGU91" s="83"/>
      <c r="BHJ91" s="87" t="s">
        <v>617</v>
      </c>
      <c r="BHK91" s="83"/>
      <c r="BHZ91" s="87" t="s">
        <v>617</v>
      </c>
      <c r="BIA91" s="83"/>
      <c r="BIP91" s="87" t="s">
        <v>617</v>
      </c>
      <c r="BIQ91" s="83"/>
      <c r="BJF91" s="87" t="s">
        <v>617</v>
      </c>
      <c r="BJG91" s="83"/>
      <c r="BJV91" s="87" t="s">
        <v>617</v>
      </c>
      <c r="BJW91" s="83"/>
      <c r="BKL91" s="87" t="s">
        <v>617</v>
      </c>
      <c r="BKM91" s="83"/>
      <c r="BLB91" s="87" t="s">
        <v>617</v>
      </c>
      <c r="BLC91" s="83"/>
      <c r="BLR91" s="87" t="s">
        <v>617</v>
      </c>
      <c r="BLS91" s="83"/>
      <c r="BMH91" s="87" t="s">
        <v>617</v>
      </c>
      <c r="BMI91" s="83"/>
      <c r="BMX91" s="87" t="s">
        <v>617</v>
      </c>
      <c r="BMY91" s="83"/>
      <c r="BNN91" s="87" t="s">
        <v>617</v>
      </c>
      <c r="BNO91" s="83"/>
      <c r="BOD91" s="87" t="s">
        <v>617</v>
      </c>
      <c r="BOE91" s="83"/>
      <c r="BOT91" s="87" t="s">
        <v>617</v>
      </c>
      <c r="BOU91" s="83"/>
      <c r="BPJ91" s="87" t="s">
        <v>617</v>
      </c>
      <c r="BPK91" s="83"/>
      <c r="BPZ91" s="87" t="s">
        <v>617</v>
      </c>
      <c r="BQA91" s="83"/>
      <c r="BQP91" s="87" t="s">
        <v>617</v>
      </c>
      <c r="BQQ91" s="83"/>
      <c r="BRF91" s="87" t="s">
        <v>617</v>
      </c>
      <c r="BRG91" s="83"/>
      <c r="BRV91" s="87" t="s">
        <v>617</v>
      </c>
      <c r="BRW91" s="83"/>
      <c r="BSL91" s="87" t="s">
        <v>617</v>
      </c>
      <c r="BSM91" s="83"/>
      <c r="BTB91" s="87" t="s">
        <v>617</v>
      </c>
      <c r="BTC91" s="83"/>
      <c r="BTR91" s="87" t="s">
        <v>617</v>
      </c>
      <c r="BTS91" s="83"/>
      <c r="BUH91" s="87" t="s">
        <v>617</v>
      </c>
      <c r="BUI91" s="83"/>
      <c r="BUX91" s="87" t="s">
        <v>617</v>
      </c>
      <c r="BUY91" s="83"/>
      <c r="BVN91" s="87" t="s">
        <v>617</v>
      </c>
      <c r="BVO91" s="83"/>
      <c r="BWD91" s="87" t="s">
        <v>617</v>
      </c>
      <c r="BWE91" s="83"/>
      <c r="BWT91" s="87" t="s">
        <v>617</v>
      </c>
      <c r="BWU91" s="83"/>
      <c r="BXJ91" s="87" t="s">
        <v>617</v>
      </c>
      <c r="BXK91" s="83"/>
      <c r="BXZ91" s="87" t="s">
        <v>617</v>
      </c>
      <c r="BYA91" s="83"/>
      <c r="BYP91" s="87" t="s">
        <v>617</v>
      </c>
      <c r="BYQ91" s="83"/>
      <c r="BZF91" s="87" t="s">
        <v>617</v>
      </c>
      <c r="BZG91" s="83"/>
      <c r="BZV91" s="87" t="s">
        <v>617</v>
      </c>
      <c r="BZW91" s="83"/>
      <c r="CAL91" s="87" t="s">
        <v>617</v>
      </c>
      <c r="CAM91" s="83"/>
      <c r="CBB91" s="87" t="s">
        <v>617</v>
      </c>
      <c r="CBC91" s="83"/>
      <c r="CBR91" s="87" t="s">
        <v>617</v>
      </c>
      <c r="CBS91" s="83"/>
      <c r="CCH91" s="87" t="s">
        <v>617</v>
      </c>
      <c r="CCI91" s="83"/>
      <c r="CCX91" s="87" t="s">
        <v>617</v>
      </c>
      <c r="CCY91" s="83"/>
      <c r="CDN91" s="87" t="s">
        <v>617</v>
      </c>
      <c r="CDO91" s="83"/>
      <c r="CED91" s="87" t="s">
        <v>617</v>
      </c>
      <c r="CEE91" s="83"/>
      <c r="CET91" s="87" t="s">
        <v>617</v>
      </c>
      <c r="CEU91" s="83"/>
      <c r="CFJ91" s="87" t="s">
        <v>617</v>
      </c>
      <c r="CFK91" s="83"/>
      <c r="CFZ91" s="87" t="s">
        <v>617</v>
      </c>
      <c r="CGA91" s="83"/>
      <c r="CGP91" s="87" t="s">
        <v>617</v>
      </c>
      <c r="CGQ91" s="83"/>
      <c r="CHF91" s="87" t="s">
        <v>617</v>
      </c>
      <c r="CHG91" s="83"/>
      <c r="CHV91" s="87" t="s">
        <v>617</v>
      </c>
      <c r="CHW91" s="83"/>
      <c r="CIL91" s="87" t="s">
        <v>617</v>
      </c>
      <c r="CIM91" s="83"/>
      <c r="CJB91" s="87" t="s">
        <v>617</v>
      </c>
      <c r="CJC91" s="83"/>
      <c r="CJR91" s="87" t="s">
        <v>617</v>
      </c>
      <c r="CJS91" s="83"/>
      <c r="CKH91" s="87" t="s">
        <v>617</v>
      </c>
      <c r="CKI91" s="83"/>
      <c r="CKX91" s="87" t="s">
        <v>617</v>
      </c>
      <c r="CKY91" s="83"/>
      <c r="CLN91" s="87" t="s">
        <v>617</v>
      </c>
      <c r="CLO91" s="83"/>
      <c r="CMD91" s="87" t="s">
        <v>617</v>
      </c>
      <c r="CME91" s="83"/>
      <c r="CMT91" s="87" t="s">
        <v>617</v>
      </c>
      <c r="CMU91" s="83"/>
      <c r="CNJ91" s="87" t="s">
        <v>617</v>
      </c>
      <c r="CNK91" s="83"/>
      <c r="CNZ91" s="87" t="s">
        <v>617</v>
      </c>
      <c r="COA91" s="83"/>
      <c r="COP91" s="87" t="s">
        <v>617</v>
      </c>
      <c r="COQ91" s="83"/>
      <c r="CPF91" s="87" t="s">
        <v>617</v>
      </c>
      <c r="CPG91" s="83"/>
      <c r="CPV91" s="87" t="s">
        <v>617</v>
      </c>
      <c r="CPW91" s="83"/>
      <c r="CQL91" s="87" t="s">
        <v>617</v>
      </c>
      <c r="CQM91" s="83"/>
      <c r="CRB91" s="87" t="s">
        <v>617</v>
      </c>
      <c r="CRC91" s="83"/>
      <c r="CRR91" s="87" t="s">
        <v>617</v>
      </c>
      <c r="CRS91" s="83"/>
      <c r="CSH91" s="87" t="s">
        <v>617</v>
      </c>
      <c r="CSI91" s="83"/>
      <c r="CSX91" s="87" t="s">
        <v>617</v>
      </c>
      <c r="CSY91" s="83"/>
      <c r="CTN91" s="87" t="s">
        <v>617</v>
      </c>
      <c r="CTO91" s="83"/>
      <c r="CUD91" s="87" t="s">
        <v>617</v>
      </c>
      <c r="CUE91" s="83"/>
      <c r="CUT91" s="87" t="s">
        <v>617</v>
      </c>
      <c r="CUU91" s="83"/>
      <c r="CVJ91" s="87" t="s">
        <v>617</v>
      </c>
      <c r="CVK91" s="83"/>
      <c r="CVZ91" s="87" t="s">
        <v>617</v>
      </c>
      <c r="CWA91" s="83"/>
      <c r="CWP91" s="87" t="s">
        <v>617</v>
      </c>
      <c r="CWQ91" s="83"/>
      <c r="CXF91" s="87" t="s">
        <v>617</v>
      </c>
      <c r="CXG91" s="83"/>
      <c r="CXV91" s="87" t="s">
        <v>617</v>
      </c>
      <c r="CXW91" s="83"/>
      <c r="CYL91" s="87" t="s">
        <v>617</v>
      </c>
      <c r="CYM91" s="83"/>
      <c r="CZB91" s="87" t="s">
        <v>617</v>
      </c>
      <c r="CZC91" s="83"/>
      <c r="CZR91" s="87" t="s">
        <v>617</v>
      </c>
      <c r="CZS91" s="83"/>
      <c r="DAH91" s="87" t="s">
        <v>617</v>
      </c>
      <c r="DAI91" s="83"/>
      <c r="DAX91" s="87" t="s">
        <v>617</v>
      </c>
      <c r="DAY91" s="83"/>
      <c r="DBN91" s="87" t="s">
        <v>617</v>
      </c>
      <c r="DBO91" s="83"/>
      <c r="DCD91" s="87" t="s">
        <v>617</v>
      </c>
      <c r="DCE91" s="83"/>
      <c r="DCT91" s="87" t="s">
        <v>617</v>
      </c>
      <c r="DCU91" s="83"/>
      <c r="DDJ91" s="87" t="s">
        <v>617</v>
      </c>
      <c r="DDK91" s="83"/>
      <c r="DDZ91" s="87" t="s">
        <v>617</v>
      </c>
      <c r="DEA91" s="83"/>
      <c r="DEP91" s="87" t="s">
        <v>617</v>
      </c>
      <c r="DEQ91" s="83"/>
      <c r="DFF91" s="87" t="s">
        <v>617</v>
      </c>
      <c r="DFG91" s="83"/>
      <c r="DFV91" s="87" t="s">
        <v>617</v>
      </c>
      <c r="DFW91" s="83"/>
      <c r="DGL91" s="87" t="s">
        <v>617</v>
      </c>
      <c r="DGM91" s="83"/>
      <c r="DHB91" s="87" t="s">
        <v>617</v>
      </c>
      <c r="DHC91" s="83"/>
      <c r="DHR91" s="87" t="s">
        <v>617</v>
      </c>
      <c r="DHS91" s="83"/>
      <c r="DIH91" s="87" t="s">
        <v>617</v>
      </c>
      <c r="DII91" s="83"/>
      <c r="DIX91" s="87" t="s">
        <v>617</v>
      </c>
      <c r="DIY91" s="83"/>
      <c r="DJN91" s="87" t="s">
        <v>617</v>
      </c>
      <c r="DJO91" s="83"/>
      <c r="DKD91" s="87" t="s">
        <v>617</v>
      </c>
      <c r="DKE91" s="83"/>
      <c r="DKT91" s="87" t="s">
        <v>617</v>
      </c>
      <c r="DKU91" s="83"/>
      <c r="DLJ91" s="87" t="s">
        <v>617</v>
      </c>
      <c r="DLK91" s="83"/>
      <c r="DLZ91" s="87" t="s">
        <v>617</v>
      </c>
      <c r="DMA91" s="83"/>
      <c r="DMP91" s="87" t="s">
        <v>617</v>
      </c>
      <c r="DMQ91" s="83"/>
      <c r="DNF91" s="87" t="s">
        <v>617</v>
      </c>
      <c r="DNG91" s="83"/>
      <c r="DNV91" s="87" t="s">
        <v>617</v>
      </c>
      <c r="DNW91" s="83"/>
      <c r="DOL91" s="87" t="s">
        <v>617</v>
      </c>
      <c r="DOM91" s="83"/>
      <c r="DPB91" s="87" t="s">
        <v>617</v>
      </c>
      <c r="DPC91" s="83"/>
      <c r="DPR91" s="87" t="s">
        <v>617</v>
      </c>
      <c r="DPS91" s="83"/>
      <c r="DQH91" s="87" t="s">
        <v>617</v>
      </c>
      <c r="DQI91" s="83"/>
      <c r="DQX91" s="87" t="s">
        <v>617</v>
      </c>
      <c r="DQY91" s="83"/>
      <c r="DRN91" s="87" t="s">
        <v>617</v>
      </c>
      <c r="DRO91" s="83"/>
      <c r="DSD91" s="87" t="s">
        <v>617</v>
      </c>
      <c r="DSE91" s="83"/>
      <c r="DST91" s="87" t="s">
        <v>617</v>
      </c>
      <c r="DSU91" s="83"/>
      <c r="DTJ91" s="87" t="s">
        <v>617</v>
      </c>
      <c r="DTK91" s="83"/>
      <c r="DTZ91" s="87" t="s">
        <v>617</v>
      </c>
      <c r="DUA91" s="83"/>
      <c r="DUP91" s="87" t="s">
        <v>617</v>
      </c>
      <c r="DUQ91" s="83"/>
      <c r="DVF91" s="87" t="s">
        <v>617</v>
      </c>
      <c r="DVG91" s="83"/>
      <c r="DVV91" s="87" t="s">
        <v>617</v>
      </c>
      <c r="DVW91" s="83"/>
      <c r="DWL91" s="87" t="s">
        <v>617</v>
      </c>
      <c r="DWM91" s="83"/>
      <c r="DXB91" s="87" t="s">
        <v>617</v>
      </c>
      <c r="DXC91" s="83"/>
      <c r="DXR91" s="87" t="s">
        <v>617</v>
      </c>
      <c r="DXS91" s="83"/>
      <c r="DYH91" s="87" t="s">
        <v>617</v>
      </c>
      <c r="DYI91" s="83"/>
      <c r="DYX91" s="87" t="s">
        <v>617</v>
      </c>
      <c r="DYY91" s="83"/>
      <c r="DZN91" s="87" t="s">
        <v>617</v>
      </c>
      <c r="DZO91" s="83"/>
      <c r="EAD91" s="87" t="s">
        <v>617</v>
      </c>
      <c r="EAE91" s="83"/>
      <c r="EAT91" s="87" t="s">
        <v>617</v>
      </c>
      <c r="EAU91" s="83"/>
      <c r="EBJ91" s="87" t="s">
        <v>617</v>
      </c>
      <c r="EBK91" s="83"/>
      <c r="EBZ91" s="87" t="s">
        <v>617</v>
      </c>
      <c r="ECA91" s="83"/>
      <c r="ECP91" s="87" t="s">
        <v>617</v>
      </c>
      <c r="ECQ91" s="83"/>
      <c r="EDF91" s="87" t="s">
        <v>617</v>
      </c>
      <c r="EDG91" s="83"/>
      <c r="EDV91" s="87" t="s">
        <v>617</v>
      </c>
      <c r="EDW91" s="83"/>
      <c r="EEL91" s="87" t="s">
        <v>617</v>
      </c>
      <c r="EEM91" s="83"/>
      <c r="EFB91" s="87" t="s">
        <v>617</v>
      </c>
      <c r="EFC91" s="83"/>
      <c r="EFR91" s="87" t="s">
        <v>617</v>
      </c>
      <c r="EFS91" s="83"/>
      <c r="EGH91" s="87" t="s">
        <v>617</v>
      </c>
      <c r="EGI91" s="83"/>
      <c r="EGX91" s="87" t="s">
        <v>617</v>
      </c>
      <c r="EGY91" s="83"/>
      <c r="EHN91" s="87" t="s">
        <v>617</v>
      </c>
      <c r="EHO91" s="83"/>
      <c r="EID91" s="87" t="s">
        <v>617</v>
      </c>
      <c r="EIE91" s="83"/>
      <c r="EIT91" s="87" t="s">
        <v>617</v>
      </c>
      <c r="EIU91" s="83"/>
      <c r="EJJ91" s="87" t="s">
        <v>617</v>
      </c>
      <c r="EJK91" s="83"/>
      <c r="EJZ91" s="87" t="s">
        <v>617</v>
      </c>
      <c r="EKA91" s="83"/>
      <c r="EKP91" s="87" t="s">
        <v>617</v>
      </c>
      <c r="EKQ91" s="83"/>
      <c r="ELF91" s="87" t="s">
        <v>617</v>
      </c>
      <c r="ELG91" s="83"/>
      <c r="ELV91" s="87" t="s">
        <v>617</v>
      </c>
      <c r="ELW91" s="83"/>
      <c r="EML91" s="87" t="s">
        <v>617</v>
      </c>
      <c r="EMM91" s="83"/>
      <c r="ENB91" s="87" t="s">
        <v>617</v>
      </c>
      <c r="ENC91" s="83"/>
      <c r="ENR91" s="87" t="s">
        <v>617</v>
      </c>
      <c r="ENS91" s="83"/>
      <c r="EOH91" s="87" t="s">
        <v>617</v>
      </c>
      <c r="EOI91" s="83"/>
      <c r="EOX91" s="87" t="s">
        <v>617</v>
      </c>
      <c r="EOY91" s="83"/>
      <c r="EPN91" s="87" t="s">
        <v>617</v>
      </c>
      <c r="EPO91" s="83"/>
      <c r="EQD91" s="87" t="s">
        <v>617</v>
      </c>
      <c r="EQE91" s="83"/>
      <c r="EQT91" s="87" t="s">
        <v>617</v>
      </c>
      <c r="EQU91" s="83"/>
      <c r="ERJ91" s="87" t="s">
        <v>617</v>
      </c>
      <c r="ERK91" s="83"/>
      <c r="ERZ91" s="87" t="s">
        <v>617</v>
      </c>
      <c r="ESA91" s="83"/>
      <c r="ESP91" s="87" t="s">
        <v>617</v>
      </c>
      <c r="ESQ91" s="83"/>
      <c r="ETF91" s="87" t="s">
        <v>617</v>
      </c>
      <c r="ETG91" s="83"/>
      <c r="ETV91" s="87" t="s">
        <v>617</v>
      </c>
      <c r="ETW91" s="83"/>
      <c r="EUL91" s="87" t="s">
        <v>617</v>
      </c>
      <c r="EUM91" s="83"/>
      <c r="EVB91" s="87" t="s">
        <v>617</v>
      </c>
      <c r="EVC91" s="83"/>
      <c r="EVR91" s="87" t="s">
        <v>617</v>
      </c>
      <c r="EVS91" s="83"/>
      <c r="EWH91" s="87" t="s">
        <v>617</v>
      </c>
      <c r="EWI91" s="83"/>
      <c r="EWX91" s="87" t="s">
        <v>617</v>
      </c>
      <c r="EWY91" s="83"/>
      <c r="EXN91" s="87" t="s">
        <v>617</v>
      </c>
      <c r="EXO91" s="83"/>
      <c r="EYD91" s="87" t="s">
        <v>617</v>
      </c>
      <c r="EYE91" s="83"/>
      <c r="EYT91" s="87" t="s">
        <v>617</v>
      </c>
      <c r="EYU91" s="83"/>
      <c r="EZJ91" s="87" t="s">
        <v>617</v>
      </c>
      <c r="EZK91" s="83"/>
      <c r="EZZ91" s="87" t="s">
        <v>617</v>
      </c>
      <c r="FAA91" s="83"/>
      <c r="FAP91" s="87" t="s">
        <v>617</v>
      </c>
      <c r="FAQ91" s="83"/>
      <c r="FBF91" s="87" t="s">
        <v>617</v>
      </c>
      <c r="FBG91" s="83"/>
      <c r="FBV91" s="87" t="s">
        <v>617</v>
      </c>
      <c r="FBW91" s="83"/>
      <c r="FCL91" s="87" t="s">
        <v>617</v>
      </c>
      <c r="FCM91" s="83"/>
      <c r="FDB91" s="87" t="s">
        <v>617</v>
      </c>
      <c r="FDC91" s="83"/>
      <c r="FDR91" s="87" t="s">
        <v>617</v>
      </c>
      <c r="FDS91" s="83"/>
      <c r="FEH91" s="87" t="s">
        <v>617</v>
      </c>
      <c r="FEI91" s="83"/>
      <c r="FEX91" s="87" t="s">
        <v>617</v>
      </c>
      <c r="FEY91" s="83"/>
      <c r="FFN91" s="87" t="s">
        <v>617</v>
      </c>
      <c r="FFO91" s="83"/>
      <c r="FGD91" s="87" t="s">
        <v>617</v>
      </c>
      <c r="FGE91" s="83"/>
      <c r="FGT91" s="87" t="s">
        <v>617</v>
      </c>
      <c r="FGU91" s="83"/>
      <c r="FHJ91" s="87" t="s">
        <v>617</v>
      </c>
      <c r="FHK91" s="83"/>
      <c r="FHZ91" s="87" t="s">
        <v>617</v>
      </c>
      <c r="FIA91" s="83"/>
      <c r="FIP91" s="87" t="s">
        <v>617</v>
      </c>
      <c r="FIQ91" s="83"/>
      <c r="FJF91" s="87" t="s">
        <v>617</v>
      </c>
      <c r="FJG91" s="83"/>
      <c r="FJV91" s="87" t="s">
        <v>617</v>
      </c>
      <c r="FJW91" s="83"/>
      <c r="FKL91" s="87" t="s">
        <v>617</v>
      </c>
      <c r="FKM91" s="83"/>
      <c r="FLB91" s="87" t="s">
        <v>617</v>
      </c>
      <c r="FLC91" s="83"/>
      <c r="FLR91" s="87" t="s">
        <v>617</v>
      </c>
      <c r="FLS91" s="83"/>
      <c r="FMH91" s="87" t="s">
        <v>617</v>
      </c>
      <c r="FMI91" s="83"/>
      <c r="FMX91" s="87" t="s">
        <v>617</v>
      </c>
      <c r="FMY91" s="83"/>
      <c r="FNN91" s="87" t="s">
        <v>617</v>
      </c>
      <c r="FNO91" s="83"/>
      <c r="FOD91" s="87" t="s">
        <v>617</v>
      </c>
      <c r="FOE91" s="83"/>
      <c r="FOT91" s="87" t="s">
        <v>617</v>
      </c>
      <c r="FOU91" s="83"/>
      <c r="FPJ91" s="87" t="s">
        <v>617</v>
      </c>
      <c r="FPK91" s="83"/>
      <c r="FPZ91" s="87" t="s">
        <v>617</v>
      </c>
      <c r="FQA91" s="83"/>
      <c r="FQP91" s="87" t="s">
        <v>617</v>
      </c>
      <c r="FQQ91" s="83"/>
      <c r="FRF91" s="87" t="s">
        <v>617</v>
      </c>
      <c r="FRG91" s="83"/>
      <c r="FRV91" s="87" t="s">
        <v>617</v>
      </c>
      <c r="FRW91" s="83"/>
      <c r="FSL91" s="87" t="s">
        <v>617</v>
      </c>
      <c r="FSM91" s="83"/>
      <c r="FTB91" s="87" t="s">
        <v>617</v>
      </c>
      <c r="FTC91" s="83"/>
      <c r="FTR91" s="87" t="s">
        <v>617</v>
      </c>
      <c r="FTS91" s="83"/>
      <c r="FUH91" s="87" t="s">
        <v>617</v>
      </c>
      <c r="FUI91" s="83"/>
      <c r="FUX91" s="87" t="s">
        <v>617</v>
      </c>
      <c r="FUY91" s="83"/>
      <c r="FVN91" s="87" t="s">
        <v>617</v>
      </c>
      <c r="FVO91" s="83"/>
      <c r="FWD91" s="87" t="s">
        <v>617</v>
      </c>
      <c r="FWE91" s="83"/>
      <c r="FWT91" s="87" t="s">
        <v>617</v>
      </c>
      <c r="FWU91" s="83"/>
      <c r="FXJ91" s="87" t="s">
        <v>617</v>
      </c>
      <c r="FXK91" s="83"/>
      <c r="FXZ91" s="87" t="s">
        <v>617</v>
      </c>
      <c r="FYA91" s="83"/>
      <c r="FYP91" s="87" t="s">
        <v>617</v>
      </c>
      <c r="FYQ91" s="83"/>
      <c r="FZF91" s="87" t="s">
        <v>617</v>
      </c>
      <c r="FZG91" s="83"/>
      <c r="FZV91" s="87" t="s">
        <v>617</v>
      </c>
      <c r="FZW91" s="83"/>
      <c r="GAL91" s="87" t="s">
        <v>617</v>
      </c>
      <c r="GAM91" s="83"/>
      <c r="GBB91" s="87" t="s">
        <v>617</v>
      </c>
      <c r="GBC91" s="83"/>
      <c r="GBR91" s="87" t="s">
        <v>617</v>
      </c>
      <c r="GBS91" s="83"/>
      <c r="GCH91" s="87" t="s">
        <v>617</v>
      </c>
      <c r="GCI91" s="83"/>
      <c r="GCX91" s="87" t="s">
        <v>617</v>
      </c>
      <c r="GCY91" s="83"/>
      <c r="GDN91" s="87" t="s">
        <v>617</v>
      </c>
      <c r="GDO91" s="83"/>
      <c r="GED91" s="87" t="s">
        <v>617</v>
      </c>
      <c r="GEE91" s="83"/>
      <c r="GET91" s="87" t="s">
        <v>617</v>
      </c>
      <c r="GEU91" s="83"/>
      <c r="GFJ91" s="87" t="s">
        <v>617</v>
      </c>
      <c r="GFK91" s="83"/>
      <c r="GFZ91" s="87" t="s">
        <v>617</v>
      </c>
      <c r="GGA91" s="83"/>
      <c r="GGP91" s="87" t="s">
        <v>617</v>
      </c>
      <c r="GGQ91" s="83"/>
      <c r="GHF91" s="87" t="s">
        <v>617</v>
      </c>
      <c r="GHG91" s="83"/>
      <c r="GHV91" s="87" t="s">
        <v>617</v>
      </c>
      <c r="GHW91" s="83"/>
      <c r="GIL91" s="87" t="s">
        <v>617</v>
      </c>
      <c r="GIM91" s="83"/>
      <c r="GJB91" s="87" t="s">
        <v>617</v>
      </c>
      <c r="GJC91" s="83"/>
      <c r="GJR91" s="87" t="s">
        <v>617</v>
      </c>
      <c r="GJS91" s="83"/>
      <c r="GKH91" s="87" t="s">
        <v>617</v>
      </c>
      <c r="GKI91" s="83"/>
      <c r="GKX91" s="87" t="s">
        <v>617</v>
      </c>
      <c r="GKY91" s="83"/>
      <c r="GLN91" s="87" t="s">
        <v>617</v>
      </c>
      <c r="GLO91" s="83"/>
      <c r="GMD91" s="87" t="s">
        <v>617</v>
      </c>
      <c r="GME91" s="83"/>
      <c r="GMT91" s="87" t="s">
        <v>617</v>
      </c>
      <c r="GMU91" s="83"/>
      <c r="GNJ91" s="87" t="s">
        <v>617</v>
      </c>
      <c r="GNK91" s="83"/>
      <c r="GNZ91" s="87" t="s">
        <v>617</v>
      </c>
      <c r="GOA91" s="83"/>
      <c r="GOP91" s="87" t="s">
        <v>617</v>
      </c>
      <c r="GOQ91" s="83"/>
      <c r="GPF91" s="87" t="s">
        <v>617</v>
      </c>
      <c r="GPG91" s="83"/>
      <c r="GPV91" s="87" t="s">
        <v>617</v>
      </c>
      <c r="GPW91" s="83"/>
      <c r="GQL91" s="87" t="s">
        <v>617</v>
      </c>
      <c r="GQM91" s="83"/>
      <c r="GRB91" s="87" t="s">
        <v>617</v>
      </c>
      <c r="GRC91" s="83"/>
      <c r="GRR91" s="87" t="s">
        <v>617</v>
      </c>
      <c r="GRS91" s="83"/>
      <c r="GSH91" s="87" t="s">
        <v>617</v>
      </c>
      <c r="GSI91" s="83"/>
      <c r="GSX91" s="87" t="s">
        <v>617</v>
      </c>
      <c r="GSY91" s="83"/>
      <c r="GTN91" s="87" t="s">
        <v>617</v>
      </c>
      <c r="GTO91" s="83"/>
      <c r="GUD91" s="87" t="s">
        <v>617</v>
      </c>
      <c r="GUE91" s="83"/>
      <c r="GUT91" s="87" t="s">
        <v>617</v>
      </c>
      <c r="GUU91" s="83"/>
      <c r="GVJ91" s="87" t="s">
        <v>617</v>
      </c>
      <c r="GVK91" s="83"/>
      <c r="GVZ91" s="87" t="s">
        <v>617</v>
      </c>
      <c r="GWA91" s="83"/>
      <c r="GWP91" s="87" t="s">
        <v>617</v>
      </c>
      <c r="GWQ91" s="83"/>
      <c r="GXF91" s="87" t="s">
        <v>617</v>
      </c>
      <c r="GXG91" s="83"/>
      <c r="GXV91" s="87" t="s">
        <v>617</v>
      </c>
      <c r="GXW91" s="83"/>
      <c r="GYL91" s="87" t="s">
        <v>617</v>
      </c>
      <c r="GYM91" s="83"/>
      <c r="GZB91" s="87" t="s">
        <v>617</v>
      </c>
      <c r="GZC91" s="83"/>
      <c r="GZR91" s="87" t="s">
        <v>617</v>
      </c>
      <c r="GZS91" s="83"/>
      <c r="HAH91" s="87" t="s">
        <v>617</v>
      </c>
      <c r="HAI91" s="83"/>
      <c r="HAX91" s="87" t="s">
        <v>617</v>
      </c>
      <c r="HAY91" s="83"/>
      <c r="HBN91" s="87" t="s">
        <v>617</v>
      </c>
      <c r="HBO91" s="83"/>
      <c r="HCD91" s="87" t="s">
        <v>617</v>
      </c>
      <c r="HCE91" s="83"/>
      <c r="HCT91" s="87" t="s">
        <v>617</v>
      </c>
      <c r="HCU91" s="83"/>
      <c r="HDJ91" s="87" t="s">
        <v>617</v>
      </c>
      <c r="HDK91" s="83"/>
      <c r="HDZ91" s="87" t="s">
        <v>617</v>
      </c>
      <c r="HEA91" s="83"/>
      <c r="HEP91" s="87" t="s">
        <v>617</v>
      </c>
      <c r="HEQ91" s="83"/>
      <c r="HFF91" s="87" t="s">
        <v>617</v>
      </c>
      <c r="HFG91" s="83"/>
      <c r="HFV91" s="87" t="s">
        <v>617</v>
      </c>
      <c r="HFW91" s="83"/>
      <c r="HGL91" s="87" t="s">
        <v>617</v>
      </c>
      <c r="HGM91" s="83"/>
      <c r="HHB91" s="87" t="s">
        <v>617</v>
      </c>
      <c r="HHC91" s="83"/>
      <c r="HHR91" s="87" t="s">
        <v>617</v>
      </c>
      <c r="HHS91" s="83"/>
      <c r="HIH91" s="87" t="s">
        <v>617</v>
      </c>
      <c r="HII91" s="83"/>
      <c r="HIX91" s="87" t="s">
        <v>617</v>
      </c>
      <c r="HIY91" s="83"/>
      <c r="HJN91" s="87" t="s">
        <v>617</v>
      </c>
      <c r="HJO91" s="83"/>
      <c r="HKD91" s="87" t="s">
        <v>617</v>
      </c>
      <c r="HKE91" s="83"/>
      <c r="HKT91" s="87" t="s">
        <v>617</v>
      </c>
      <c r="HKU91" s="83"/>
      <c r="HLJ91" s="87" t="s">
        <v>617</v>
      </c>
      <c r="HLK91" s="83"/>
      <c r="HLZ91" s="87" t="s">
        <v>617</v>
      </c>
      <c r="HMA91" s="83"/>
      <c r="HMP91" s="87" t="s">
        <v>617</v>
      </c>
      <c r="HMQ91" s="83"/>
      <c r="HNF91" s="87" t="s">
        <v>617</v>
      </c>
      <c r="HNG91" s="83"/>
      <c r="HNV91" s="87" t="s">
        <v>617</v>
      </c>
      <c r="HNW91" s="83"/>
      <c r="HOL91" s="87" t="s">
        <v>617</v>
      </c>
      <c r="HOM91" s="83"/>
      <c r="HPB91" s="87" t="s">
        <v>617</v>
      </c>
      <c r="HPC91" s="83"/>
      <c r="HPR91" s="87" t="s">
        <v>617</v>
      </c>
      <c r="HPS91" s="83"/>
      <c r="HQH91" s="87" t="s">
        <v>617</v>
      </c>
      <c r="HQI91" s="83"/>
      <c r="HQX91" s="87" t="s">
        <v>617</v>
      </c>
      <c r="HQY91" s="83"/>
      <c r="HRN91" s="87" t="s">
        <v>617</v>
      </c>
      <c r="HRO91" s="83"/>
      <c r="HSD91" s="87" t="s">
        <v>617</v>
      </c>
      <c r="HSE91" s="83"/>
      <c r="HST91" s="87" t="s">
        <v>617</v>
      </c>
      <c r="HSU91" s="83"/>
      <c r="HTJ91" s="87" t="s">
        <v>617</v>
      </c>
      <c r="HTK91" s="83"/>
      <c r="HTZ91" s="87" t="s">
        <v>617</v>
      </c>
      <c r="HUA91" s="83"/>
      <c r="HUP91" s="87" t="s">
        <v>617</v>
      </c>
      <c r="HUQ91" s="83"/>
      <c r="HVF91" s="87" t="s">
        <v>617</v>
      </c>
      <c r="HVG91" s="83"/>
      <c r="HVV91" s="87" t="s">
        <v>617</v>
      </c>
      <c r="HVW91" s="83"/>
      <c r="HWL91" s="87" t="s">
        <v>617</v>
      </c>
      <c r="HWM91" s="83"/>
      <c r="HXB91" s="87" t="s">
        <v>617</v>
      </c>
      <c r="HXC91" s="83"/>
      <c r="HXR91" s="87" t="s">
        <v>617</v>
      </c>
      <c r="HXS91" s="83"/>
      <c r="HYH91" s="87" t="s">
        <v>617</v>
      </c>
      <c r="HYI91" s="83"/>
      <c r="HYX91" s="87" t="s">
        <v>617</v>
      </c>
      <c r="HYY91" s="83"/>
      <c r="HZN91" s="87" t="s">
        <v>617</v>
      </c>
      <c r="HZO91" s="83"/>
      <c r="IAD91" s="87" t="s">
        <v>617</v>
      </c>
      <c r="IAE91" s="83"/>
      <c r="IAT91" s="87" t="s">
        <v>617</v>
      </c>
      <c r="IAU91" s="83"/>
      <c r="IBJ91" s="87" t="s">
        <v>617</v>
      </c>
      <c r="IBK91" s="83"/>
      <c r="IBZ91" s="87" t="s">
        <v>617</v>
      </c>
      <c r="ICA91" s="83"/>
      <c r="ICP91" s="87" t="s">
        <v>617</v>
      </c>
      <c r="ICQ91" s="83"/>
      <c r="IDF91" s="87" t="s">
        <v>617</v>
      </c>
      <c r="IDG91" s="83"/>
      <c r="IDV91" s="87" t="s">
        <v>617</v>
      </c>
      <c r="IDW91" s="83"/>
      <c r="IEL91" s="87" t="s">
        <v>617</v>
      </c>
      <c r="IEM91" s="83"/>
      <c r="IFB91" s="87" t="s">
        <v>617</v>
      </c>
      <c r="IFC91" s="83"/>
      <c r="IFR91" s="87" t="s">
        <v>617</v>
      </c>
      <c r="IFS91" s="83"/>
      <c r="IGH91" s="87" t="s">
        <v>617</v>
      </c>
      <c r="IGI91" s="83"/>
      <c r="IGX91" s="87" t="s">
        <v>617</v>
      </c>
      <c r="IGY91" s="83"/>
      <c r="IHN91" s="87" t="s">
        <v>617</v>
      </c>
      <c r="IHO91" s="83"/>
      <c r="IID91" s="87" t="s">
        <v>617</v>
      </c>
      <c r="IIE91" s="83"/>
      <c r="IIT91" s="87" t="s">
        <v>617</v>
      </c>
      <c r="IIU91" s="83"/>
      <c r="IJJ91" s="87" t="s">
        <v>617</v>
      </c>
      <c r="IJK91" s="83"/>
      <c r="IJZ91" s="87" t="s">
        <v>617</v>
      </c>
      <c r="IKA91" s="83"/>
      <c r="IKP91" s="87" t="s">
        <v>617</v>
      </c>
      <c r="IKQ91" s="83"/>
      <c r="ILF91" s="87" t="s">
        <v>617</v>
      </c>
      <c r="ILG91" s="83"/>
      <c r="ILV91" s="87" t="s">
        <v>617</v>
      </c>
      <c r="ILW91" s="83"/>
      <c r="IML91" s="87" t="s">
        <v>617</v>
      </c>
      <c r="IMM91" s="83"/>
      <c r="INB91" s="87" t="s">
        <v>617</v>
      </c>
      <c r="INC91" s="83"/>
      <c r="INR91" s="87" t="s">
        <v>617</v>
      </c>
      <c r="INS91" s="83"/>
      <c r="IOH91" s="87" t="s">
        <v>617</v>
      </c>
      <c r="IOI91" s="83"/>
      <c r="IOX91" s="87" t="s">
        <v>617</v>
      </c>
      <c r="IOY91" s="83"/>
      <c r="IPN91" s="87" t="s">
        <v>617</v>
      </c>
      <c r="IPO91" s="83"/>
      <c r="IQD91" s="87" t="s">
        <v>617</v>
      </c>
      <c r="IQE91" s="83"/>
      <c r="IQT91" s="87" t="s">
        <v>617</v>
      </c>
      <c r="IQU91" s="83"/>
      <c r="IRJ91" s="87" t="s">
        <v>617</v>
      </c>
      <c r="IRK91" s="83"/>
      <c r="IRZ91" s="87" t="s">
        <v>617</v>
      </c>
      <c r="ISA91" s="83"/>
      <c r="ISP91" s="87" t="s">
        <v>617</v>
      </c>
      <c r="ISQ91" s="83"/>
      <c r="ITF91" s="87" t="s">
        <v>617</v>
      </c>
      <c r="ITG91" s="83"/>
      <c r="ITV91" s="87" t="s">
        <v>617</v>
      </c>
      <c r="ITW91" s="83"/>
      <c r="IUL91" s="87" t="s">
        <v>617</v>
      </c>
      <c r="IUM91" s="83"/>
      <c r="IVB91" s="87" t="s">
        <v>617</v>
      </c>
      <c r="IVC91" s="83"/>
      <c r="IVR91" s="87" t="s">
        <v>617</v>
      </c>
      <c r="IVS91" s="83"/>
      <c r="IWH91" s="87" t="s">
        <v>617</v>
      </c>
      <c r="IWI91" s="83"/>
      <c r="IWX91" s="87" t="s">
        <v>617</v>
      </c>
      <c r="IWY91" s="83"/>
      <c r="IXN91" s="87" t="s">
        <v>617</v>
      </c>
      <c r="IXO91" s="83"/>
      <c r="IYD91" s="87" t="s">
        <v>617</v>
      </c>
      <c r="IYE91" s="83"/>
      <c r="IYT91" s="87" t="s">
        <v>617</v>
      </c>
      <c r="IYU91" s="83"/>
      <c r="IZJ91" s="87" t="s">
        <v>617</v>
      </c>
      <c r="IZK91" s="83"/>
      <c r="IZZ91" s="87" t="s">
        <v>617</v>
      </c>
      <c r="JAA91" s="83"/>
      <c r="JAP91" s="87" t="s">
        <v>617</v>
      </c>
      <c r="JAQ91" s="83"/>
      <c r="JBF91" s="87" t="s">
        <v>617</v>
      </c>
      <c r="JBG91" s="83"/>
      <c r="JBV91" s="87" t="s">
        <v>617</v>
      </c>
      <c r="JBW91" s="83"/>
      <c r="JCL91" s="87" t="s">
        <v>617</v>
      </c>
      <c r="JCM91" s="83"/>
      <c r="JDB91" s="87" t="s">
        <v>617</v>
      </c>
      <c r="JDC91" s="83"/>
      <c r="JDR91" s="87" t="s">
        <v>617</v>
      </c>
      <c r="JDS91" s="83"/>
      <c r="JEH91" s="87" t="s">
        <v>617</v>
      </c>
      <c r="JEI91" s="83"/>
      <c r="JEX91" s="87" t="s">
        <v>617</v>
      </c>
      <c r="JEY91" s="83"/>
      <c r="JFN91" s="87" t="s">
        <v>617</v>
      </c>
      <c r="JFO91" s="83"/>
      <c r="JGD91" s="87" t="s">
        <v>617</v>
      </c>
      <c r="JGE91" s="83"/>
      <c r="JGT91" s="87" t="s">
        <v>617</v>
      </c>
      <c r="JGU91" s="83"/>
      <c r="JHJ91" s="87" t="s">
        <v>617</v>
      </c>
      <c r="JHK91" s="83"/>
      <c r="JHZ91" s="87" t="s">
        <v>617</v>
      </c>
      <c r="JIA91" s="83"/>
      <c r="JIP91" s="87" t="s">
        <v>617</v>
      </c>
      <c r="JIQ91" s="83"/>
      <c r="JJF91" s="87" t="s">
        <v>617</v>
      </c>
      <c r="JJG91" s="83"/>
      <c r="JJV91" s="87" t="s">
        <v>617</v>
      </c>
      <c r="JJW91" s="83"/>
      <c r="JKL91" s="87" t="s">
        <v>617</v>
      </c>
      <c r="JKM91" s="83"/>
      <c r="JLB91" s="87" t="s">
        <v>617</v>
      </c>
      <c r="JLC91" s="83"/>
      <c r="JLR91" s="87" t="s">
        <v>617</v>
      </c>
      <c r="JLS91" s="83"/>
      <c r="JMH91" s="87" t="s">
        <v>617</v>
      </c>
      <c r="JMI91" s="83"/>
      <c r="JMX91" s="87" t="s">
        <v>617</v>
      </c>
      <c r="JMY91" s="83"/>
      <c r="JNN91" s="87" t="s">
        <v>617</v>
      </c>
      <c r="JNO91" s="83"/>
      <c r="JOD91" s="87" t="s">
        <v>617</v>
      </c>
      <c r="JOE91" s="83"/>
      <c r="JOT91" s="87" t="s">
        <v>617</v>
      </c>
      <c r="JOU91" s="83"/>
      <c r="JPJ91" s="87" t="s">
        <v>617</v>
      </c>
      <c r="JPK91" s="83"/>
      <c r="JPZ91" s="87" t="s">
        <v>617</v>
      </c>
      <c r="JQA91" s="83"/>
      <c r="JQP91" s="87" t="s">
        <v>617</v>
      </c>
      <c r="JQQ91" s="83"/>
      <c r="JRF91" s="87" t="s">
        <v>617</v>
      </c>
      <c r="JRG91" s="83"/>
      <c r="JRV91" s="87" t="s">
        <v>617</v>
      </c>
      <c r="JRW91" s="83"/>
      <c r="JSL91" s="87" t="s">
        <v>617</v>
      </c>
      <c r="JSM91" s="83"/>
      <c r="JTB91" s="87" t="s">
        <v>617</v>
      </c>
      <c r="JTC91" s="83"/>
      <c r="JTR91" s="87" t="s">
        <v>617</v>
      </c>
      <c r="JTS91" s="83"/>
      <c r="JUH91" s="87" t="s">
        <v>617</v>
      </c>
      <c r="JUI91" s="83"/>
      <c r="JUX91" s="87" t="s">
        <v>617</v>
      </c>
      <c r="JUY91" s="83"/>
      <c r="JVN91" s="87" t="s">
        <v>617</v>
      </c>
      <c r="JVO91" s="83"/>
      <c r="JWD91" s="87" t="s">
        <v>617</v>
      </c>
      <c r="JWE91" s="83"/>
      <c r="JWT91" s="87" t="s">
        <v>617</v>
      </c>
      <c r="JWU91" s="83"/>
      <c r="JXJ91" s="87" t="s">
        <v>617</v>
      </c>
      <c r="JXK91" s="83"/>
      <c r="JXZ91" s="87" t="s">
        <v>617</v>
      </c>
      <c r="JYA91" s="83"/>
      <c r="JYP91" s="87" t="s">
        <v>617</v>
      </c>
      <c r="JYQ91" s="83"/>
      <c r="JZF91" s="87" t="s">
        <v>617</v>
      </c>
      <c r="JZG91" s="83"/>
      <c r="JZV91" s="87" t="s">
        <v>617</v>
      </c>
      <c r="JZW91" s="83"/>
      <c r="KAL91" s="87" t="s">
        <v>617</v>
      </c>
      <c r="KAM91" s="83"/>
      <c r="KBB91" s="87" t="s">
        <v>617</v>
      </c>
      <c r="KBC91" s="83"/>
      <c r="KBR91" s="87" t="s">
        <v>617</v>
      </c>
      <c r="KBS91" s="83"/>
      <c r="KCH91" s="87" t="s">
        <v>617</v>
      </c>
      <c r="KCI91" s="83"/>
      <c r="KCX91" s="87" t="s">
        <v>617</v>
      </c>
      <c r="KCY91" s="83"/>
      <c r="KDN91" s="87" t="s">
        <v>617</v>
      </c>
      <c r="KDO91" s="83"/>
      <c r="KED91" s="87" t="s">
        <v>617</v>
      </c>
      <c r="KEE91" s="83"/>
      <c r="KET91" s="87" t="s">
        <v>617</v>
      </c>
      <c r="KEU91" s="83"/>
      <c r="KFJ91" s="87" t="s">
        <v>617</v>
      </c>
      <c r="KFK91" s="83"/>
      <c r="KFZ91" s="87" t="s">
        <v>617</v>
      </c>
      <c r="KGA91" s="83"/>
      <c r="KGP91" s="87" t="s">
        <v>617</v>
      </c>
      <c r="KGQ91" s="83"/>
      <c r="KHF91" s="87" t="s">
        <v>617</v>
      </c>
      <c r="KHG91" s="83"/>
      <c r="KHV91" s="87" t="s">
        <v>617</v>
      </c>
      <c r="KHW91" s="83"/>
      <c r="KIL91" s="87" t="s">
        <v>617</v>
      </c>
      <c r="KIM91" s="83"/>
      <c r="KJB91" s="87" t="s">
        <v>617</v>
      </c>
      <c r="KJC91" s="83"/>
      <c r="KJR91" s="87" t="s">
        <v>617</v>
      </c>
      <c r="KJS91" s="83"/>
      <c r="KKH91" s="87" t="s">
        <v>617</v>
      </c>
      <c r="KKI91" s="83"/>
      <c r="KKX91" s="87" t="s">
        <v>617</v>
      </c>
      <c r="KKY91" s="83"/>
      <c r="KLN91" s="87" t="s">
        <v>617</v>
      </c>
      <c r="KLO91" s="83"/>
      <c r="KMD91" s="87" t="s">
        <v>617</v>
      </c>
      <c r="KME91" s="83"/>
      <c r="KMT91" s="87" t="s">
        <v>617</v>
      </c>
      <c r="KMU91" s="83"/>
      <c r="KNJ91" s="87" t="s">
        <v>617</v>
      </c>
      <c r="KNK91" s="83"/>
      <c r="KNZ91" s="87" t="s">
        <v>617</v>
      </c>
      <c r="KOA91" s="83"/>
      <c r="KOP91" s="87" t="s">
        <v>617</v>
      </c>
      <c r="KOQ91" s="83"/>
      <c r="KPF91" s="87" t="s">
        <v>617</v>
      </c>
      <c r="KPG91" s="83"/>
      <c r="KPV91" s="87" t="s">
        <v>617</v>
      </c>
      <c r="KPW91" s="83"/>
      <c r="KQL91" s="87" t="s">
        <v>617</v>
      </c>
      <c r="KQM91" s="83"/>
      <c r="KRB91" s="87" t="s">
        <v>617</v>
      </c>
      <c r="KRC91" s="83"/>
      <c r="KRR91" s="87" t="s">
        <v>617</v>
      </c>
      <c r="KRS91" s="83"/>
      <c r="KSH91" s="87" t="s">
        <v>617</v>
      </c>
      <c r="KSI91" s="83"/>
      <c r="KSX91" s="87" t="s">
        <v>617</v>
      </c>
      <c r="KSY91" s="83"/>
      <c r="KTN91" s="87" t="s">
        <v>617</v>
      </c>
      <c r="KTO91" s="83"/>
      <c r="KUD91" s="87" t="s">
        <v>617</v>
      </c>
      <c r="KUE91" s="83"/>
      <c r="KUT91" s="87" t="s">
        <v>617</v>
      </c>
      <c r="KUU91" s="83"/>
      <c r="KVJ91" s="87" t="s">
        <v>617</v>
      </c>
      <c r="KVK91" s="83"/>
      <c r="KVZ91" s="87" t="s">
        <v>617</v>
      </c>
      <c r="KWA91" s="83"/>
      <c r="KWP91" s="87" t="s">
        <v>617</v>
      </c>
      <c r="KWQ91" s="83"/>
      <c r="KXF91" s="87" t="s">
        <v>617</v>
      </c>
      <c r="KXG91" s="83"/>
      <c r="KXV91" s="87" t="s">
        <v>617</v>
      </c>
      <c r="KXW91" s="83"/>
      <c r="KYL91" s="87" t="s">
        <v>617</v>
      </c>
      <c r="KYM91" s="83"/>
      <c r="KZB91" s="87" t="s">
        <v>617</v>
      </c>
      <c r="KZC91" s="83"/>
      <c r="KZR91" s="87" t="s">
        <v>617</v>
      </c>
      <c r="KZS91" s="83"/>
      <c r="LAH91" s="87" t="s">
        <v>617</v>
      </c>
      <c r="LAI91" s="83"/>
      <c r="LAX91" s="87" t="s">
        <v>617</v>
      </c>
      <c r="LAY91" s="83"/>
      <c r="LBN91" s="87" t="s">
        <v>617</v>
      </c>
      <c r="LBO91" s="83"/>
      <c r="LCD91" s="87" t="s">
        <v>617</v>
      </c>
      <c r="LCE91" s="83"/>
      <c r="LCT91" s="87" t="s">
        <v>617</v>
      </c>
      <c r="LCU91" s="83"/>
      <c r="LDJ91" s="87" t="s">
        <v>617</v>
      </c>
      <c r="LDK91" s="83"/>
      <c r="LDZ91" s="87" t="s">
        <v>617</v>
      </c>
      <c r="LEA91" s="83"/>
      <c r="LEP91" s="87" t="s">
        <v>617</v>
      </c>
      <c r="LEQ91" s="83"/>
      <c r="LFF91" s="87" t="s">
        <v>617</v>
      </c>
      <c r="LFG91" s="83"/>
      <c r="LFV91" s="87" t="s">
        <v>617</v>
      </c>
      <c r="LFW91" s="83"/>
      <c r="LGL91" s="87" t="s">
        <v>617</v>
      </c>
      <c r="LGM91" s="83"/>
      <c r="LHB91" s="87" t="s">
        <v>617</v>
      </c>
      <c r="LHC91" s="83"/>
      <c r="LHR91" s="87" t="s">
        <v>617</v>
      </c>
      <c r="LHS91" s="83"/>
      <c r="LIH91" s="87" t="s">
        <v>617</v>
      </c>
      <c r="LII91" s="83"/>
      <c r="LIX91" s="87" t="s">
        <v>617</v>
      </c>
      <c r="LIY91" s="83"/>
      <c r="LJN91" s="87" t="s">
        <v>617</v>
      </c>
      <c r="LJO91" s="83"/>
      <c r="LKD91" s="87" t="s">
        <v>617</v>
      </c>
      <c r="LKE91" s="83"/>
      <c r="LKT91" s="87" t="s">
        <v>617</v>
      </c>
      <c r="LKU91" s="83"/>
      <c r="LLJ91" s="87" t="s">
        <v>617</v>
      </c>
      <c r="LLK91" s="83"/>
      <c r="LLZ91" s="87" t="s">
        <v>617</v>
      </c>
      <c r="LMA91" s="83"/>
      <c r="LMP91" s="87" t="s">
        <v>617</v>
      </c>
      <c r="LMQ91" s="83"/>
      <c r="LNF91" s="87" t="s">
        <v>617</v>
      </c>
      <c r="LNG91" s="83"/>
      <c r="LNV91" s="87" t="s">
        <v>617</v>
      </c>
      <c r="LNW91" s="83"/>
      <c r="LOL91" s="87" t="s">
        <v>617</v>
      </c>
      <c r="LOM91" s="83"/>
      <c r="LPB91" s="87" t="s">
        <v>617</v>
      </c>
      <c r="LPC91" s="83"/>
      <c r="LPR91" s="87" t="s">
        <v>617</v>
      </c>
      <c r="LPS91" s="83"/>
      <c r="LQH91" s="87" t="s">
        <v>617</v>
      </c>
      <c r="LQI91" s="83"/>
      <c r="LQX91" s="87" t="s">
        <v>617</v>
      </c>
      <c r="LQY91" s="83"/>
      <c r="LRN91" s="87" t="s">
        <v>617</v>
      </c>
      <c r="LRO91" s="83"/>
      <c r="LSD91" s="87" t="s">
        <v>617</v>
      </c>
      <c r="LSE91" s="83"/>
      <c r="LST91" s="87" t="s">
        <v>617</v>
      </c>
      <c r="LSU91" s="83"/>
      <c r="LTJ91" s="87" t="s">
        <v>617</v>
      </c>
      <c r="LTK91" s="83"/>
      <c r="LTZ91" s="87" t="s">
        <v>617</v>
      </c>
      <c r="LUA91" s="83"/>
      <c r="LUP91" s="87" t="s">
        <v>617</v>
      </c>
      <c r="LUQ91" s="83"/>
      <c r="LVF91" s="87" t="s">
        <v>617</v>
      </c>
      <c r="LVG91" s="83"/>
      <c r="LVV91" s="87" t="s">
        <v>617</v>
      </c>
      <c r="LVW91" s="83"/>
      <c r="LWL91" s="87" t="s">
        <v>617</v>
      </c>
      <c r="LWM91" s="83"/>
      <c r="LXB91" s="87" t="s">
        <v>617</v>
      </c>
      <c r="LXC91" s="83"/>
      <c r="LXR91" s="87" t="s">
        <v>617</v>
      </c>
      <c r="LXS91" s="83"/>
      <c r="LYH91" s="87" t="s">
        <v>617</v>
      </c>
      <c r="LYI91" s="83"/>
      <c r="LYX91" s="87" t="s">
        <v>617</v>
      </c>
      <c r="LYY91" s="83"/>
      <c r="LZN91" s="87" t="s">
        <v>617</v>
      </c>
      <c r="LZO91" s="83"/>
      <c r="MAD91" s="87" t="s">
        <v>617</v>
      </c>
      <c r="MAE91" s="83"/>
      <c r="MAT91" s="87" t="s">
        <v>617</v>
      </c>
      <c r="MAU91" s="83"/>
      <c r="MBJ91" s="87" t="s">
        <v>617</v>
      </c>
      <c r="MBK91" s="83"/>
      <c r="MBZ91" s="87" t="s">
        <v>617</v>
      </c>
      <c r="MCA91" s="83"/>
      <c r="MCP91" s="87" t="s">
        <v>617</v>
      </c>
      <c r="MCQ91" s="83"/>
      <c r="MDF91" s="87" t="s">
        <v>617</v>
      </c>
      <c r="MDG91" s="83"/>
      <c r="MDV91" s="87" t="s">
        <v>617</v>
      </c>
      <c r="MDW91" s="83"/>
      <c r="MEL91" s="87" t="s">
        <v>617</v>
      </c>
      <c r="MEM91" s="83"/>
      <c r="MFB91" s="87" t="s">
        <v>617</v>
      </c>
      <c r="MFC91" s="83"/>
      <c r="MFR91" s="87" t="s">
        <v>617</v>
      </c>
      <c r="MFS91" s="83"/>
      <c r="MGH91" s="87" t="s">
        <v>617</v>
      </c>
      <c r="MGI91" s="83"/>
      <c r="MGX91" s="87" t="s">
        <v>617</v>
      </c>
      <c r="MGY91" s="83"/>
      <c r="MHN91" s="87" t="s">
        <v>617</v>
      </c>
      <c r="MHO91" s="83"/>
      <c r="MID91" s="87" t="s">
        <v>617</v>
      </c>
      <c r="MIE91" s="83"/>
      <c r="MIT91" s="87" t="s">
        <v>617</v>
      </c>
      <c r="MIU91" s="83"/>
      <c r="MJJ91" s="87" t="s">
        <v>617</v>
      </c>
      <c r="MJK91" s="83"/>
      <c r="MJZ91" s="87" t="s">
        <v>617</v>
      </c>
      <c r="MKA91" s="83"/>
      <c r="MKP91" s="87" t="s">
        <v>617</v>
      </c>
      <c r="MKQ91" s="83"/>
      <c r="MLF91" s="87" t="s">
        <v>617</v>
      </c>
      <c r="MLG91" s="83"/>
      <c r="MLV91" s="87" t="s">
        <v>617</v>
      </c>
      <c r="MLW91" s="83"/>
      <c r="MML91" s="87" t="s">
        <v>617</v>
      </c>
      <c r="MMM91" s="83"/>
      <c r="MNB91" s="87" t="s">
        <v>617</v>
      </c>
      <c r="MNC91" s="83"/>
      <c r="MNR91" s="87" t="s">
        <v>617</v>
      </c>
      <c r="MNS91" s="83"/>
      <c r="MOH91" s="87" t="s">
        <v>617</v>
      </c>
      <c r="MOI91" s="83"/>
      <c r="MOX91" s="87" t="s">
        <v>617</v>
      </c>
      <c r="MOY91" s="83"/>
      <c r="MPN91" s="87" t="s">
        <v>617</v>
      </c>
      <c r="MPO91" s="83"/>
      <c r="MQD91" s="87" t="s">
        <v>617</v>
      </c>
      <c r="MQE91" s="83"/>
      <c r="MQT91" s="87" t="s">
        <v>617</v>
      </c>
      <c r="MQU91" s="83"/>
      <c r="MRJ91" s="87" t="s">
        <v>617</v>
      </c>
      <c r="MRK91" s="83"/>
      <c r="MRZ91" s="87" t="s">
        <v>617</v>
      </c>
      <c r="MSA91" s="83"/>
      <c r="MSP91" s="87" t="s">
        <v>617</v>
      </c>
      <c r="MSQ91" s="83"/>
      <c r="MTF91" s="87" t="s">
        <v>617</v>
      </c>
      <c r="MTG91" s="83"/>
      <c r="MTV91" s="87" t="s">
        <v>617</v>
      </c>
      <c r="MTW91" s="83"/>
      <c r="MUL91" s="87" t="s">
        <v>617</v>
      </c>
      <c r="MUM91" s="83"/>
      <c r="MVB91" s="87" t="s">
        <v>617</v>
      </c>
      <c r="MVC91" s="83"/>
      <c r="MVR91" s="87" t="s">
        <v>617</v>
      </c>
      <c r="MVS91" s="83"/>
      <c r="MWH91" s="87" t="s">
        <v>617</v>
      </c>
      <c r="MWI91" s="83"/>
      <c r="MWX91" s="87" t="s">
        <v>617</v>
      </c>
      <c r="MWY91" s="83"/>
      <c r="MXN91" s="87" t="s">
        <v>617</v>
      </c>
      <c r="MXO91" s="83"/>
      <c r="MYD91" s="87" t="s">
        <v>617</v>
      </c>
      <c r="MYE91" s="83"/>
      <c r="MYT91" s="87" t="s">
        <v>617</v>
      </c>
      <c r="MYU91" s="83"/>
      <c r="MZJ91" s="87" t="s">
        <v>617</v>
      </c>
      <c r="MZK91" s="83"/>
      <c r="MZZ91" s="87" t="s">
        <v>617</v>
      </c>
      <c r="NAA91" s="83"/>
      <c r="NAP91" s="87" t="s">
        <v>617</v>
      </c>
      <c r="NAQ91" s="83"/>
      <c r="NBF91" s="87" t="s">
        <v>617</v>
      </c>
      <c r="NBG91" s="83"/>
      <c r="NBV91" s="87" t="s">
        <v>617</v>
      </c>
      <c r="NBW91" s="83"/>
      <c r="NCL91" s="87" t="s">
        <v>617</v>
      </c>
      <c r="NCM91" s="83"/>
      <c r="NDB91" s="87" t="s">
        <v>617</v>
      </c>
      <c r="NDC91" s="83"/>
      <c r="NDR91" s="87" t="s">
        <v>617</v>
      </c>
      <c r="NDS91" s="83"/>
      <c r="NEH91" s="87" t="s">
        <v>617</v>
      </c>
      <c r="NEI91" s="83"/>
      <c r="NEX91" s="87" t="s">
        <v>617</v>
      </c>
      <c r="NEY91" s="83"/>
      <c r="NFN91" s="87" t="s">
        <v>617</v>
      </c>
      <c r="NFO91" s="83"/>
      <c r="NGD91" s="87" t="s">
        <v>617</v>
      </c>
      <c r="NGE91" s="83"/>
      <c r="NGT91" s="87" t="s">
        <v>617</v>
      </c>
      <c r="NGU91" s="83"/>
      <c r="NHJ91" s="87" t="s">
        <v>617</v>
      </c>
      <c r="NHK91" s="83"/>
      <c r="NHZ91" s="87" t="s">
        <v>617</v>
      </c>
      <c r="NIA91" s="83"/>
      <c r="NIP91" s="87" t="s">
        <v>617</v>
      </c>
      <c r="NIQ91" s="83"/>
      <c r="NJF91" s="87" t="s">
        <v>617</v>
      </c>
      <c r="NJG91" s="83"/>
      <c r="NJV91" s="87" t="s">
        <v>617</v>
      </c>
      <c r="NJW91" s="83"/>
      <c r="NKL91" s="87" t="s">
        <v>617</v>
      </c>
      <c r="NKM91" s="83"/>
      <c r="NLB91" s="87" t="s">
        <v>617</v>
      </c>
      <c r="NLC91" s="83"/>
      <c r="NLR91" s="87" t="s">
        <v>617</v>
      </c>
      <c r="NLS91" s="83"/>
      <c r="NMH91" s="87" t="s">
        <v>617</v>
      </c>
      <c r="NMI91" s="83"/>
      <c r="NMX91" s="87" t="s">
        <v>617</v>
      </c>
      <c r="NMY91" s="83"/>
      <c r="NNN91" s="87" t="s">
        <v>617</v>
      </c>
      <c r="NNO91" s="83"/>
      <c r="NOD91" s="87" t="s">
        <v>617</v>
      </c>
      <c r="NOE91" s="83"/>
      <c r="NOT91" s="87" t="s">
        <v>617</v>
      </c>
      <c r="NOU91" s="83"/>
      <c r="NPJ91" s="87" t="s">
        <v>617</v>
      </c>
      <c r="NPK91" s="83"/>
      <c r="NPZ91" s="87" t="s">
        <v>617</v>
      </c>
      <c r="NQA91" s="83"/>
      <c r="NQP91" s="87" t="s">
        <v>617</v>
      </c>
      <c r="NQQ91" s="83"/>
      <c r="NRF91" s="87" t="s">
        <v>617</v>
      </c>
      <c r="NRG91" s="83"/>
      <c r="NRV91" s="87" t="s">
        <v>617</v>
      </c>
      <c r="NRW91" s="83"/>
      <c r="NSL91" s="87" t="s">
        <v>617</v>
      </c>
      <c r="NSM91" s="83"/>
      <c r="NTB91" s="87" t="s">
        <v>617</v>
      </c>
      <c r="NTC91" s="83"/>
      <c r="NTR91" s="87" t="s">
        <v>617</v>
      </c>
      <c r="NTS91" s="83"/>
      <c r="NUH91" s="87" t="s">
        <v>617</v>
      </c>
      <c r="NUI91" s="83"/>
      <c r="NUX91" s="87" t="s">
        <v>617</v>
      </c>
      <c r="NUY91" s="83"/>
      <c r="NVN91" s="87" t="s">
        <v>617</v>
      </c>
      <c r="NVO91" s="83"/>
      <c r="NWD91" s="87" t="s">
        <v>617</v>
      </c>
      <c r="NWE91" s="83"/>
      <c r="NWT91" s="87" t="s">
        <v>617</v>
      </c>
      <c r="NWU91" s="83"/>
      <c r="NXJ91" s="87" t="s">
        <v>617</v>
      </c>
      <c r="NXK91" s="83"/>
      <c r="NXZ91" s="87" t="s">
        <v>617</v>
      </c>
      <c r="NYA91" s="83"/>
      <c r="NYP91" s="87" t="s">
        <v>617</v>
      </c>
      <c r="NYQ91" s="83"/>
      <c r="NZF91" s="87" t="s">
        <v>617</v>
      </c>
      <c r="NZG91" s="83"/>
      <c r="NZV91" s="87" t="s">
        <v>617</v>
      </c>
      <c r="NZW91" s="83"/>
      <c r="OAL91" s="87" t="s">
        <v>617</v>
      </c>
      <c r="OAM91" s="83"/>
      <c r="OBB91" s="87" t="s">
        <v>617</v>
      </c>
      <c r="OBC91" s="83"/>
      <c r="OBR91" s="87" t="s">
        <v>617</v>
      </c>
      <c r="OBS91" s="83"/>
      <c r="OCH91" s="87" t="s">
        <v>617</v>
      </c>
      <c r="OCI91" s="83"/>
      <c r="OCX91" s="87" t="s">
        <v>617</v>
      </c>
      <c r="OCY91" s="83"/>
      <c r="ODN91" s="87" t="s">
        <v>617</v>
      </c>
      <c r="ODO91" s="83"/>
      <c r="OED91" s="87" t="s">
        <v>617</v>
      </c>
      <c r="OEE91" s="83"/>
      <c r="OET91" s="87" t="s">
        <v>617</v>
      </c>
      <c r="OEU91" s="83"/>
      <c r="OFJ91" s="87" t="s">
        <v>617</v>
      </c>
      <c r="OFK91" s="83"/>
      <c r="OFZ91" s="87" t="s">
        <v>617</v>
      </c>
      <c r="OGA91" s="83"/>
      <c r="OGP91" s="87" t="s">
        <v>617</v>
      </c>
      <c r="OGQ91" s="83"/>
      <c r="OHF91" s="87" t="s">
        <v>617</v>
      </c>
      <c r="OHG91" s="83"/>
      <c r="OHV91" s="87" t="s">
        <v>617</v>
      </c>
      <c r="OHW91" s="83"/>
      <c r="OIL91" s="87" t="s">
        <v>617</v>
      </c>
      <c r="OIM91" s="83"/>
      <c r="OJB91" s="87" t="s">
        <v>617</v>
      </c>
      <c r="OJC91" s="83"/>
      <c r="OJR91" s="87" t="s">
        <v>617</v>
      </c>
      <c r="OJS91" s="83"/>
      <c r="OKH91" s="87" t="s">
        <v>617</v>
      </c>
      <c r="OKI91" s="83"/>
      <c r="OKX91" s="87" t="s">
        <v>617</v>
      </c>
      <c r="OKY91" s="83"/>
      <c r="OLN91" s="87" t="s">
        <v>617</v>
      </c>
      <c r="OLO91" s="83"/>
      <c r="OMD91" s="87" t="s">
        <v>617</v>
      </c>
      <c r="OME91" s="83"/>
      <c r="OMT91" s="87" t="s">
        <v>617</v>
      </c>
      <c r="OMU91" s="83"/>
      <c r="ONJ91" s="87" t="s">
        <v>617</v>
      </c>
      <c r="ONK91" s="83"/>
      <c r="ONZ91" s="87" t="s">
        <v>617</v>
      </c>
      <c r="OOA91" s="83"/>
      <c r="OOP91" s="87" t="s">
        <v>617</v>
      </c>
      <c r="OOQ91" s="83"/>
      <c r="OPF91" s="87" t="s">
        <v>617</v>
      </c>
      <c r="OPG91" s="83"/>
      <c r="OPV91" s="87" t="s">
        <v>617</v>
      </c>
      <c r="OPW91" s="83"/>
      <c r="OQL91" s="87" t="s">
        <v>617</v>
      </c>
      <c r="OQM91" s="83"/>
      <c r="ORB91" s="87" t="s">
        <v>617</v>
      </c>
      <c r="ORC91" s="83"/>
      <c r="ORR91" s="87" t="s">
        <v>617</v>
      </c>
      <c r="ORS91" s="83"/>
      <c r="OSH91" s="87" t="s">
        <v>617</v>
      </c>
      <c r="OSI91" s="83"/>
      <c r="OSX91" s="87" t="s">
        <v>617</v>
      </c>
      <c r="OSY91" s="83"/>
      <c r="OTN91" s="87" t="s">
        <v>617</v>
      </c>
      <c r="OTO91" s="83"/>
      <c r="OUD91" s="87" t="s">
        <v>617</v>
      </c>
      <c r="OUE91" s="83"/>
      <c r="OUT91" s="87" t="s">
        <v>617</v>
      </c>
      <c r="OUU91" s="83"/>
      <c r="OVJ91" s="87" t="s">
        <v>617</v>
      </c>
      <c r="OVK91" s="83"/>
      <c r="OVZ91" s="87" t="s">
        <v>617</v>
      </c>
      <c r="OWA91" s="83"/>
      <c r="OWP91" s="87" t="s">
        <v>617</v>
      </c>
      <c r="OWQ91" s="83"/>
      <c r="OXF91" s="87" t="s">
        <v>617</v>
      </c>
      <c r="OXG91" s="83"/>
      <c r="OXV91" s="87" t="s">
        <v>617</v>
      </c>
      <c r="OXW91" s="83"/>
      <c r="OYL91" s="87" t="s">
        <v>617</v>
      </c>
      <c r="OYM91" s="83"/>
      <c r="OZB91" s="87" t="s">
        <v>617</v>
      </c>
      <c r="OZC91" s="83"/>
      <c r="OZR91" s="87" t="s">
        <v>617</v>
      </c>
      <c r="OZS91" s="83"/>
      <c r="PAH91" s="87" t="s">
        <v>617</v>
      </c>
      <c r="PAI91" s="83"/>
      <c r="PAX91" s="87" t="s">
        <v>617</v>
      </c>
      <c r="PAY91" s="83"/>
      <c r="PBN91" s="87" t="s">
        <v>617</v>
      </c>
      <c r="PBO91" s="83"/>
      <c r="PCD91" s="87" t="s">
        <v>617</v>
      </c>
      <c r="PCE91" s="83"/>
      <c r="PCT91" s="87" t="s">
        <v>617</v>
      </c>
      <c r="PCU91" s="83"/>
      <c r="PDJ91" s="87" t="s">
        <v>617</v>
      </c>
      <c r="PDK91" s="83"/>
      <c r="PDZ91" s="87" t="s">
        <v>617</v>
      </c>
      <c r="PEA91" s="83"/>
      <c r="PEP91" s="87" t="s">
        <v>617</v>
      </c>
      <c r="PEQ91" s="83"/>
      <c r="PFF91" s="87" t="s">
        <v>617</v>
      </c>
      <c r="PFG91" s="83"/>
      <c r="PFV91" s="87" t="s">
        <v>617</v>
      </c>
      <c r="PFW91" s="83"/>
      <c r="PGL91" s="87" t="s">
        <v>617</v>
      </c>
      <c r="PGM91" s="83"/>
      <c r="PHB91" s="87" t="s">
        <v>617</v>
      </c>
      <c r="PHC91" s="83"/>
      <c r="PHR91" s="87" t="s">
        <v>617</v>
      </c>
      <c r="PHS91" s="83"/>
      <c r="PIH91" s="87" t="s">
        <v>617</v>
      </c>
      <c r="PII91" s="83"/>
      <c r="PIX91" s="87" t="s">
        <v>617</v>
      </c>
      <c r="PIY91" s="83"/>
      <c r="PJN91" s="87" t="s">
        <v>617</v>
      </c>
      <c r="PJO91" s="83"/>
      <c r="PKD91" s="87" t="s">
        <v>617</v>
      </c>
      <c r="PKE91" s="83"/>
      <c r="PKT91" s="87" t="s">
        <v>617</v>
      </c>
      <c r="PKU91" s="83"/>
      <c r="PLJ91" s="87" t="s">
        <v>617</v>
      </c>
      <c r="PLK91" s="83"/>
      <c r="PLZ91" s="87" t="s">
        <v>617</v>
      </c>
      <c r="PMA91" s="83"/>
      <c r="PMP91" s="87" t="s">
        <v>617</v>
      </c>
      <c r="PMQ91" s="83"/>
      <c r="PNF91" s="87" t="s">
        <v>617</v>
      </c>
      <c r="PNG91" s="83"/>
      <c r="PNV91" s="87" t="s">
        <v>617</v>
      </c>
      <c r="PNW91" s="83"/>
      <c r="POL91" s="87" t="s">
        <v>617</v>
      </c>
      <c r="POM91" s="83"/>
      <c r="PPB91" s="87" t="s">
        <v>617</v>
      </c>
      <c r="PPC91" s="83"/>
      <c r="PPR91" s="87" t="s">
        <v>617</v>
      </c>
      <c r="PPS91" s="83"/>
      <c r="PQH91" s="87" t="s">
        <v>617</v>
      </c>
      <c r="PQI91" s="83"/>
      <c r="PQX91" s="87" t="s">
        <v>617</v>
      </c>
      <c r="PQY91" s="83"/>
      <c r="PRN91" s="87" t="s">
        <v>617</v>
      </c>
      <c r="PRO91" s="83"/>
      <c r="PSD91" s="87" t="s">
        <v>617</v>
      </c>
      <c r="PSE91" s="83"/>
      <c r="PST91" s="87" t="s">
        <v>617</v>
      </c>
      <c r="PSU91" s="83"/>
      <c r="PTJ91" s="87" t="s">
        <v>617</v>
      </c>
      <c r="PTK91" s="83"/>
      <c r="PTZ91" s="87" t="s">
        <v>617</v>
      </c>
      <c r="PUA91" s="83"/>
      <c r="PUP91" s="87" t="s">
        <v>617</v>
      </c>
      <c r="PUQ91" s="83"/>
      <c r="PVF91" s="87" t="s">
        <v>617</v>
      </c>
      <c r="PVG91" s="83"/>
      <c r="PVV91" s="87" t="s">
        <v>617</v>
      </c>
      <c r="PVW91" s="83"/>
      <c r="PWL91" s="87" t="s">
        <v>617</v>
      </c>
      <c r="PWM91" s="83"/>
      <c r="PXB91" s="87" t="s">
        <v>617</v>
      </c>
      <c r="PXC91" s="83"/>
      <c r="PXR91" s="87" t="s">
        <v>617</v>
      </c>
      <c r="PXS91" s="83"/>
      <c r="PYH91" s="87" t="s">
        <v>617</v>
      </c>
      <c r="PYI91" s="83"/>
      <c r="PYX91" s="87" t="s">
        <v>617</v>
      </c>
      <c r="PYY91" s="83"/>
      <c r="PZN91" s="87" t="s">
        <v>617</v>
      </c>
      <c r="PZO91" s="83"/>
      <c r="QAD91" s="87" t="s">
        <v>617</v>
      </c>
      <c r="QAE91" s="83"/>
      <c r="QAT91" s="87" t="s">
        <v>617</v>
      </c>
      <c r="QAU91" s="83"/>
      <c r="QBJ91" s="87" t="s">
        <v>617</v>
      </c>
      <c r="QBK91" s="83"/>
      <c r="QBZ91" s="87" t="s">
        <v>617</v>
      </c>
      <c r="QCA91" s="83"/>
      <c r="QCP91" s="87" t="s">
        <v>617</v>
      </c>
      <c r="QCQ91" s="83"/>
      <c r="QDF91" s="87" t="s">
        <v>617</v>
      </c>
      <c r="QDG91" s="83"/>
      <c r="QDV91" s="87" t="s">
        <v>617</v>
      </c>
      <c r="QDW91" s="83"/>
      <c r="QEL91" s="87" t="s">
        <v>617</v>
      </c>
      <c r="QEM91" s="83"/>
      <c r="QFB91" s="87" t="s">
        <v>617</v>
      </c>
      <c r="QFC91" s="83"/>
      <c r="QFR91" s="87" t="s">
        <v>617</v>
      </c>
      <c r="QFS91" s="83"/>
      <c r="QGH91" s="87" t="s">
        <v>617</v>
      </c>
      <c r="QGI91" s="83"/>
      <c r="QGX91" s="87" t="s">
        <v>617</v>
      </c>
      <c r="QGY91" s="83"/>
      <c r="QHN91" s="87" t="s">
        <v>617</v>
      </c>
      <c r="QHO91" s="83"/>
      <c r="QID91" s="87" t="s">
        <v>617</v>
      </c>
      <c r="QIE91" s="83"/>
      <c r="QIT91" s="87" t="s">
        <v>617</v>
      </c>
      <c r="QIU91" s="83"/>
      <c r="QJJ91" s="87" t="s">
        <v>617</v>
      </c>
      <c r="QJK91" s="83"/>
      <c r="QJZ91" s="87" t="s">
        <v>617</v>
      </c>
      <c r="QKA91" s="83"/>
      <c r="QKP91" s="87" t="s">
        <v>617</v>
      </c>
      <c r="QKQ91" s="83"/>
      <c r="QLF91" s="87" t="s">
        <v>617</v>
      </c>
      <c r="QLG91" s="83"/>
      <c r="QLV91" s="87" t="s">
        <v>617</v>
      </c>
      <c r="QLW91" s="83"/>
      <c r="QML91" s="87" t="s">
        <v>617</v>
      </c>
      <c r="QMM91" s="83"/>
      <c r="QNB91" s="87" t="s">
        <v>617</v>
      </c>
      <c r="QNC91" s="83"/>
      <c r="QNR91" s="87" t="s">
        <v>617</v>
      </c>
      <c r="QNS91" s="83"/>
      <c r="QOH91" s="87" t="s">
        <v>617</v>
      </c>
      <c r="QOI91" s="83"/>
      <c r="QOX91" s="87" t="s">
        <v>617</v>
      </c>
      <c r="QOY91" s="83"/>
      <c r="QPN91" s="87" t="s">
        <v>617</v>
      </c>
      <c r="QPO91" s="83"/>
      <c r="QQD91" s="87" t="s">
        <v>617</v>
      </c>
      <c r="QQE91" s="83"/>
      <c r="QQT91" s="87" t="s">
        <v>617</v>
      </c>
      <c r="QQU91" s="83"/>
      <c r="QRJ91" s="87" t="s">
        <v>617</v>
      </c>
      <c r="QRK91" s="83"/>
      <c r="QRZ91" s="87" t="s">
        <v>617</v>
      </c>
      <c r="QSA91" s="83"/>
      <c r="QSP91" s="87" t="s">
        <v>617</v>
      </c>
      <c r="QSQ91" s="83"/>
      <c r="QTF91" s="87" t="s">
        <v>617</v>
      </c>
      <c r="QTG91" s="83"/>
      <c r="QTV91" s="87" t="s">
        <v>617</v>
      </c>
      <c r="QTW91" s="83"/>
      <c r="QUL91" s="87" t="s">
        <v>617</v>
      </c>
      <c r="QUM91" s="83"/>
      <c r="QVB91" s="87" t="s">
        <v>617</v>
      </c>
      <c r="QVC91" s="83"/>
      <c r="QVR91" s="87" t="s">
        <v>617</v>
      </c>
      <c r="QVS91" s="83"/>
      <c r="QWH91" s="87" t="s">
        <v>617</v>
      </c>
      <c r="QWI91" s="83"/>
      <c r="QWX91" s="87" t="s">
        <v>617</v>
      </c>
      <c r="QWY91" s="83"/>
      <c r="QXN91" s="87" t="s">
        <v>617</v>
      </c>
      <c r="QXO91" s="83"/>
      <c r="QYD91" s="87" t="s">
        <v>617</v>
      </c>
      <c r="QYE91" s="83"/>
      <c r="QYT91" s="87" t="s">
        <v>617</v>
      </c>
      <c r="QYU91" s="83"/>
      <c r="QZJ91" s="87" t="s">
        <v>617</v>
      </c>
      <c r="QZK91" s="83"/>
      <c r="QZZ91" s="87" t="s">
        <v>617</v>
      </c>
      <c r="RAA91" s="83"/>
      <c r="RAP91" s="87" t="s">
        <v>617</v>
      </c>
      <c r="RAQ91" s="83"/>
      <c r="RBF91" s="87" t="s">
        <v>617</v>
      </c>
      <c r="RBG91" s="83"/>
      <c r="RBV91" s="87" t="s">
        <v>617</v>
      </c>
      <c r="RBW91" s="83"/>
      <c r="RCL91" s="87" t="s">
        <v>617</v>
      </c>
      <c r="RCM91" s="83"/>
      <c r="RDB91" s="87" t="s">
        <v>617</v>
      </c>
      <c r="RDC91" s="83"/>
      <c r="RDR91" s="87" t="s">
        <v>617</v>
      </c>
      <c r="RDS91" s="83"/>
      <c r="REH91" s="87" t="s">
        <v>617</v>
      </c>
      <c r="REI91" s="83"/>
      <c r="REX91" s="87" t="s">
        <v>617</v>
      </c>
      <c r="REY91" s="83"/>
      <c r="RFN91" s="87" t="s">
        <v>617</v>
      </c>
      <c r="RFO91" s="83"/>
      <c r="RGD91" s="87" t="s">
        <v>617</v>
      </c>
      <c r="RGE91" s="83"/>
      <c r="RGT91" s="87" t="s">
        <v>617</v>
      </c>
      <c r="RGU91" s="83"/>
      <c r="RHJ91" s="87" t="s">
        <v>617</v>
      </c>
      <c r="RHK91" s="83"/>
      <c r="RHZ91" s="87" t="s">
        <v>617</v>
      </c>
      <c r="RIA91" s="83"/>
      <c r="RIP91" s="87" t="s">
        <v>617</v>
      </c>
      <c r="RIQ91" s="83"/>
      <c r="RJF91" s="87" t="s">
        <v>617</v>
      </c>
      <c r="RJG91" s="83"/>
      <c r="RJV91" s="87" t="s">
        <v>617</v>
      </c>
      <c r="RJW91" s="83"/>
      <c r="RKL91" s="87" t="s">
        <v>617</v>
      </c>
      <c r="RKM91" s="83"/>
      <c r="RLB91" s="87" t="s">
        <v>617</v>
      </c>
      <c r="RLC91" s="83"/>
      <c r="RLR91" s="87" t="s">
        <v>617</v>
      </c>
      <c r="RLS91" s="83"/>
      <c r="RMH91" s="87" t="s">
        <v>617</v>
      </c>
      <c r="RMI91" s="83"/>
      <c r="RMX91" s="87" t="s">
        <v>617</v>
      </c>
      <c r="RMY91" s="83"/>
      <c r="RNN91" s="87" t="s">
        <v>617</v>
      </c>
      <c r="RNO91" s="83"/>
      <c r="ROD91" s="87" t="s">
        <v>617</v>
      </c>
      <c r="ROE91" s="83"/>
      <c r="ROT91" s="87" t="s">
        <v>617</v>
      </c>
      <c r="ROU91" s="83"/>
      <c r="RPJ91" s="87" t="s">
        <v>617</v>
      </c>
      <c r="RPK91" s="83"/>
      <c r="RPZ91" s="87" t="s">
        <v>617</v>
      </c>
      <c r="RQA91" s="83"/>
      <c r="RQP91" s="87" t="s">
        <v>617</v>
      </c>
      <c r="RQQ91" s="83"/>
      <c r="RRF91" s="87" t="s">
        <v>617</v>
      </c>
      <c r="RRG91" s="83"/>
      <c r="RRV91" s="87" t="s">
        <v>617</v>
      </c>
      <c r="RRW91" s="83"/>
      <c r="RSL91" s="87" t="s">
        <v>617</v>
      </c>
      <c r="RSM91" s="83"/>
      <c r="RTB91" s="87" t="s">
        <v>617</v>
      </c>
      <c r="RTC91" s="83"/>
      <c r="RTR91" s="87" t="s">
        <v>617</v>
      </c>
      <c r="RTS91" s="83"/>
      <c r="RUH91" s="87" t="s">
        <v>617</v>
      </c>
      <c r="RUI91" s="83"/>
      <c r="RUX91" s="87" t="s">
        <v>617</v>
      </c>
      <c r="RUY91" s="83"/>
      <c r="RVN91" s="87" t="s">
        <v>617</v>
      </c>
      <c r="RVO91" s="83"/>
      <c r="RWD91" s="87" t="s">
        <v>617</v>
      </c>
      <c r="RWE91" s="83"/>
      <c r="RWT91" s="87" t="s">
        <v>617</v>
      </c>
      <c r="RWU91" s="83"/>
      <c r="RXJ91" s="87" t="s">
        <v>617</v>
      </c>
      <c r="RXK91" s="83"/>
      <c r="RXZ91" s="87" t="s">
        <v>617</v>
      </c>
      <c r="RYA91" s="83"/>
      <c r="RYP91" s="87" t="s">
        <v>617</v>
      </c>
      <c r="RYQ91" s="83"/>
      <c r="RZF91" s="87" t="s">
        <v>617</v>
      </c>
      <c r="RZG91" s="83"/>
      <c r="RZV91" s="87" t="s">
        <v>617</v>
      </c>
      <c r="RZW91" s="83"/>
      <c r="SAL91" s="87" t="s">
        <v>617</v>
      </c>
      <c r="SAM91" s="83"/>
      <c r="SBB91" s="87" t="s">
        <v>617</v>
      </c>
      <c r="SBC91" s="83"/>
      <c r="SBR91" s="87" t="s">
        <v>617</v>
      </c>
      <c r="SBS91" s="83"/>
      <c r="SCH91" s="87" t="s">
        <v>617</v>
      </c>
      <c r="SCI91" s="83"/>
      <c r="SCX91" s="87" t="s">
        <v>617</v>
      </c>
      <c r="SCY91" s="83"/>
      <c r="SDN91" s="87" t="s">
        <v>617</v>
      </c>
      <c r="SDO91" s="83"/>
      <c r="SED91" s="87" t="s">
        <v>617</v>
      </c>
      <c r="SEE91" s="83"/>
      <c r="SET91" s="87" t="s">
        <v>617</v>
      </c>
      <c r="SEU91" s="83"/>
      <c r="SFJ91" s="87" t="s">
        <v>617</v>
      </c>
      <c r="SFK91" s="83"/>
      <c r="SFZ91" s="87" t="s">
        <v>617</v>
      </c>
      <c r="SGA91" s="83"/>
      <c r="SGP91" s="87" t="s">
        <v>617</v>
      </c>
      <c r="SGQ91" s="83"/>
      <c r="SHF91" s="87" t="s">
        <v>617</v>
      </c>
      <c r="SHG91" s="83"/>
      <c r="SHV91" s="87" t="s">
        <v>617</v>
      </c>
      <c r="SHW91" s="83"/>
      <c r="SIL91" s="87" t="s">
        <v>617</v>
      </c>
      <c r="SIM91" s="83"/>
      <c r="SJB91" s="87" t="s">
        <v>617</v>
      </c>
      <c r="SJC91" s="83"/>
      <c r="SJR91" s="87" t="s">
        <v>617</v>
      </c>
      <c r="SJS91" s="83"/>
      <c r="SKH91" s="87" t="s">
        <v>617</v>
      </c>
      <c r="SKI91" s="83"/>
      <c r="SKX91" s="87" t="s">
        <v>617</v>
      </c>
      <c r="SKY91" s="83"/>
      <c r="SLN91" s="87" t="s">
        <v>617</v>
      </c>
      <c r="SLO91" s="83"/>
      <c r="SMD91" s="87" t="s">
        <v>617</v>
      </c>
      <c r="SME91" s="83"/>
      <c r="SMT91" s="87" t="s">
        <v>617</v>
      </c>
      <c r="SMU91" s="83"/>
      <c r="SNJ91" s="87" t="s">
        <v>617</v>
      </c>
      <c r="SNK91" s="83"/>
      <c r="SNZ91" s="87" t="s">
        <v>617</v>
      </c>
      <c r="SOA91" s="83"/>
      <c r="SOP91" s="87" t="s">
        <v>617</v>
      </c>
      <c r="SOQ91" s="83"/>
      <c r="SPF91" s="87" t="s">
        <v>617</v>
      </c>
      <c r="SPG91" s="83"/>
      <c r="SPV91" s="87" t="s">
        <v>617</v>
      </c>
      <c r="SPW91" s="83"/>
      <c r="SQL91" s="87" t="s">
        <v>617</v>
      </c>
      <c r="SQM91" s="83"/>
      <c r="SRB91" s="87" t="s">
        <v>617</v>
      </c>
      <c r="SRC91" s="83"/>
      <c r="SRR91" s="87" t="s">
        <v>617</v>
      </c>
      <c r="SRS91" s="83"/>
      <c r="SSH91" s="87" t="s">
        <v>617</v>
      </c>
      <c r="SSI91" s="83"/>
      <c r="SSX91" s="87" t="s">
        <v>617</v>
      </c>
      <c r="SSY91" s="83"/>
      <c r="STN91" s="87" t="s">
        <v>617</v>
      </c>
      <c r="STO91" s="83"/>
      <c r="SUD91" s="87" t="s">
        <v>617</v>
      </c>
      <c r="SUE91" s="83"/>
      <c r="SUT91" s="87" t="s">
        <v>617</v>
      </c>
      <c r="SUU91" s="83"/>
      <c r="SVJ91" s="87" t="s">
        <v>617</v>
      </c>
      <c r="SVK91" s="83"/>
      <c r="SVZ91" s="87" t="s">
        <v>617</v>
      </c>
      <c r="SWA91" s="83"/>
      <c r="SWP91" s="87" t="s">
        <v>617</v>
      </c>
      <c r="SWQ91" s="83"/>
      <c r="SXF91" s="87" t="s">
        <v>617</v>
      </c>
      <c r="SXG91" s="83"/>
      <c r="SXV91" s="87" t="s">
        <v>617</v>
      </c>
      <c r="SXW91" s="83"/>
      <c r="SYL91" s="87" t="s">
        <v>617</v>
      </c>
      <c r="SYM91" s="83"/>
      <c r="SZB91" s="87" t="s">
        <v>617</v>
      </c>
      <c r="SZC91" s="83"/>
      <c r="SZR91" s="87" t="s">
        <v>617</v>
      </c>
      <c r="SZS91" s="83"/>
      <c r="TAH91" s="87" t="s">
        <v>617</v>
      </c>
      <c r="TAI91" s="83"/>
      <c r="TAX91" s="87" t="s">
        <v>617</v>
      </c>
      <c r="TAY91" s="83"/>
      <c r="TBN91" s="87" t="s">
        <v>617</v>
      </c>
      <c r="TBO91" s="83"/>
      <c r="TCD91" s="87" t="s">
        <v>617</v>
      </c>
      <c r="TCE91" s="83"/>
      <c r="TCT91" s="87" t="s">
        <v>617</v>
      </c>
      <c r="TCU91" s="83"/>
      <c r="TDJ91" s="87" t="s">
        <v>617</v>
      </c>
      <c r="TDK91" s="83"/>
      <c r="TDZ91" s="87" t="s">
        <v>617</v>
      </c>
      <c r="TEA91" s="83"/>
      <c r="TEP91" s="87" t="s">
        <v>617</v>
      </c>
      <c r="TEQ91" s="83"/>
      <c r="TFF91" s="87" t="s">
        <v>617</v>
      </c>
      <c r="TFG91" s="83"/>
      <c r="TFV91" s="87" t="s">
        <v>617</v>
      </c>
      <c r="TFW91" s="83"/>
      <c r="TGL91" s="87" t="s">
        <v>617</v>
      </c>
      <c r="TGM91" s="83"/>
      <c r="THB91" s="87" t="s">
        <v>617</v>
      </c>
      <c r="THC91" s="83"/>
      <c r="THR91" s="87" t="s">
        <v>617</v>
      </c>
      <c r="THS91" s="83"/>
      <c r="TIH91" s="87" t="s">
        <v>617</v>
      </c>
      <c r="TII91" s="83"/>
      <c r="TIX91" s="87" t="s">
        <v>617</v>
      </c>
      <c r="TIY91" s="83"/>
      <c r="TJN91" s="87" t="s">
        <v>617</v>
      </c>
      <c r="TJO91" s="83"/>
      <c r="TKD91" s="87" t="s">
        <v>617</v>
      </c>
      <c r="TKE91" s="83"/>
      <c r="TKT91" s="87" t="s">
        <v>617</v>
      </c>
      <c r="TKU91" s="83"/>
      <c r="TLJ91" s="87" t="s">
        <v>617</v>
      </c>
      <c r="TLK91" s="83"/>
      <c r="TLZ91" s="87" t="s">
        <v>617</v>
      </c>
      <c r="TMA91" s="83"/>
      <c r="TMP91" s="87" t="s">
        <v>617</v>
      </c>
      <c r="TMQ91" s="83"/>
      <c r="TNF91" s="87" t="s">
        <v>617</v>
      </c>
      <c r="TNG91" s="83"/>
      <c r="TNV91" s="87" t="s">
        <v>617</v>
      </c>
      <c r="TNW91" s="83"/>
      <c r="TOL91" s="87" t="s">
        <v>617</v>
      </c>
      <c r="TOM91" s="83"/>
      <c r="TPB91" s="87" t="s">
        <v>617</v>
      </c>
      <c r="TPC91" s="83"/>
      <c r="TPR91" s="87" t="s">
        <v>617</v>
      </c>
      <c r="TPS91" s="83"/>
      <c r="TQH91" s="87" t="s">
        <v>617</v>
      </c>
      <c r="TQI91" s="83"/>
      <c r="TQX91" s="87" t="s">
        <v>617</v>
      </c>
      <c r="TQY91" s="83"/>
      <c r="TRN91" s="87" t="s">
        <v>617</v>
      </c>
      <c r="TRO91" s="83"/>
      <c r="TSD91" s="87" t="s">
        <v>617</v>
      </c>
      <c r="TSE91" s="83"/>
      <c r="TST91" s="87" t="s">
        <v>617</v>
      </c>
      <c r="TSU91" s="83"/>
      <c r="TTJ91" s="87" t="s">
        <v>617</v>
      </c>
      <c r="TTK91" s="83"/>
      <c r="TTZ91" s="87" t="s">
        <v>617</v>
      </c>
      <c r="TUA91" s="83"/>
      <c r="TUP91" s="87" t="s">
        <v>617</v>
      </c>
      <c r="TUQ91" s="83"/>
      <c r="TVF91" s="87" t="s">
        <v>617</v>
      </c>
      <c r="TVG91" s="83"/>
      <c r="TVV91" s="87" t="s">
        <v>617</v>
      </c>
      <c r="TVW91" s="83"/>
      <c r="TWL91" s="87" t="s">
        <v>617</v>
      </c>
      <c r="TWM91" s="83"/>
      <c r="TXB91" s="87" t="s">
        <v>617</v>
      </c>
      <c r="TXC91" s="83"/>
      <c r="TXR91" s="87" t="s">
        <v>617</v>
      </c>
      <c r="TXS91" s="83"/>
      <c r="TYH91" s="87" t="s">
        <v>617</v>
      </c>
      <c r="TYI91" s="83"/>
      <c r="TYX91" s="87" t="s">
        <v>617</v>
      </c>
      <c r="TYY91" s="83"/>
      <c r="TZN91" s="87" t="s">
        <v>617</v>
      </c>
      <c r="TZO91" s="83"/>
      <c r="UAD91" s="87" t="s">
        <v>617</v>
      </c>
      <c r="UAE91" s="83"/>
      <c r="UAT91" s="87" t="s">
        <v>617</v>
      </c>
      <c r="UAU91" s="83"/>
      <c r="UBJ91" s="87" t="s">
        <v>617</v>
      </c>
      <c r="UBK91" s="83"/>
      <c r="UBZ91" s="87" t="s">
        <v>617</v>
      </c>
      <c r="UCA91" s="83"/>
      <c r="UCP91" s="87" t="s">
        <v>617</v>
      </c>
      <c r="UCQ91" s="83"/>
      <c r="UDF91" s="87" t="s">
        <v>617</v>
      </c>
      <c r="UDG91" s="83"/>
      <c r="UDV91" s="87" t="s">
        <v>617</v>
      </c>
      <c r="UDW91" s="83"/>
      <c r="UEL91" s="87" t="s">
        <v>617</v>
      </c>
      <c r="UEM91" s="83"/>
      <c r="UFB91" s="87" t="s">
        <v>617</v>
      </c>
      <c r="UFC91" s="83"/>
      <c r="UFR91" s="87" t="s">
        <v>617</v>
      </c>
      <c r="UFS91" s="83"/>
      <c r="UGH91" s="87" t="s">
        <v>617</v>
      </c>
      <c r="UGI91" s="83"/>
      <c r="UGX91" s="87" t="s">
        <v>617</v>
      </c>
      <c r="UGY91" s="83"/>
      <c r="UHN91" s="87" t="s">
        <v>617</v>
      </c>
      <c r="UHO91" s="83"/>
      <c r="UID91" s="87" t="s">
        <v>617</v>
      </c>
      <c r="UIE91" s="83"/>
      <c r="UIT91" s="87" t="s">
        <v>617</v>
      </c>
      <c r="UIU91" s="83"/>
      <c r="UJJ91" s="87" t="s">
        <v>617</v>
      </c>
      <c r="UJK91" s="83"/>
      <c r="UJZ91" s="87" t="s">
        <v>617</v>
      </c>
      <c r="UKA91" s="83"/>
      <c r="UKP91" s="87" t="s">
        <v>617</v>
      </c>
      <c r="UKQ91" s="83"/>
      <c r="ULF91" s="87" t="s">
        <v>617</v>
      </c>
      <c r="ULG91" s="83"/>
      <c r="ULV91" s="87" t="s">
        <v>617</v>
      </c>
      <c r="ULW91" s="83"/>
      <c r="UML91" s="87" t="s">
        <v>617</v>
      </c>
      <c r="UMM91" s="83"/>
      <c r="UNB91" s="87" t="s">
        <v>617</v>
      </c>
      <c r="UNC91" s="83"/>
      <c r="UNR91" s="87" t="s">
        <v>617</v>
      </c>
      <c r="UNS91" s="83"/>
      <c r="UOH91" s="87" t="s">
        <v>617</v>
      </c>
      <c r="UOI91" s="83"/>
      <c r="UOX91" s="87" t="s">
        <v>617</v>
      </c>
      <c r="UOY91" s="83"/>
      <c r="UPN91" s="87" t="s">
        <v>617</v>
      </c>
      <c r="UPO91" s="83"/>
      <c r="UQD91" s="87" t="s">
        <v>617</v>
      </c>
      <c r="UQE91" s="83"/>
      <c r="UQT91" s="87" t="s">
        <v>617</v>
      </c>
      <c r="UQU91" s="83"/>
      <c r="URJ91" s="87" t="s">
        <v>617</v>
      </c>
      <c r="URK91" s="83"/>
      <c r="URZ91" s="87" t="s">
        <v>617</v>
      </c>
      <c r="USA91" s="83"/>
      <c r="USP91" s="87" t="s">
        <v>617</v>
      </c>
      <c r="USQ91" s="83"/>
      <c r="UTF91" s="87" t="s">
        <v>617</v>
      </c>
      <c r="UTG91" s="83"/>
      <c r="UTV91" s="87" t="s">
        <v>617</v>
      </c>
      <c r="UTW91" s="83"/>
      <c r="UUL91" s="87" t="s">
        <v>617</v>
      </c>
      <c r="UUM91" s="83"/>
      <c r="UVB91" s="87" t="s">
        <v>617</v>
      </c>
      <c r="UVC91" s="83"/>
      <c r="UVR91" s="87" t="s">
        <v>617</v>
      </c>
      <c r="UVS91" s="83"/>
      <c r="UWH91" s="87" t="s">
        <v>617</v>
      </c>
      <c r="UWI91" s="83"/>
      <c r="UWX91" s="87" t="s">
        <v>617</v>
      </c>
      <c r="UWY91" s="83"/>
      <c r="UXN91" s="87" t="s">
        <v>617</v>
      </c>
      <c r="UXO91" s="83"/>
      <c r="UYD91" s="87" t="s">
        <v>617</v>
      </c>
      <c r="UYE91" s="83"/>
      <c r="UYT91" s="87" t="s">
        <v>617</v>
      </c>
      <c r="UYU91" s="83"/>
      <c r="UZJ91" s="87" t="s">
        <v>617</v>
      </c>
      <c r="UZK91" s="83"/>
      <c r="UZZ91" s="87" t="s">
        <v>617</v>
      </c>
      <c r="VAA91" s="83"/>
      <c r="VAP91" s="87" t="s">
        <v>617</v>
      </c>
      <c r="VAQ91" s="83"/>
      <c r="VBF91" s="87" t="s">
        <v>617</v>
      </c>
      <c r="VBG91" s="83"/>
      <c r="VBV91" s="87" t="s">
        <v>617</v>
      </c>
      <c r="VBW91" s="83"/>
      <c r="VCL91" s="87" t="s">
        <v>617</v>
      </c>
      <c r="VCM91" s="83"/>
      <c r="VDB91" s="87" t="s">
        <v>617</v>
      </c>
      <c r="VDC91" s="83"/>
      <c r="VDR91" s="87" t="s">
        <v>617</v>
      </c>
      <c r="VDS91" s="83"/>
      <c r="VEH91" s="87" t="s">
        <v>617</v>
      </c>
      <c r="VEI91" s="83"/>
      <c r="VEX91" s="87" t="s">
        <v>617</v>
      </c>
      <c r="VEY91" s="83"/>
      <c r="VFN91" s="87" t="s">
        <v>617</v>
      </c>
      <c r="VFO91" s="83"/>
      <c r="VGD91" s="87" t="s">
        <v>617</v>
      </c>
      <c r="VGE91" s="83"/>
      <c r="VGT91" s="87" t="s">
        <v>617</v>
      </c>
      <c r="VGU91" s="83"/>
      <c r="VHJ91" s="87" t="s">
        <v>617</v>
      </c>
      <c r="VHK91" s="83"/>
      <c r="VHZ91" s="87" t="s">
        <v>617</v>
      </c>
      <c r="VIA91" s="83"/>
      <c r="VIP91" s="87" t="s">
        <v>617</v>
      </c>
      <c r="VIQ91" s="83"/>
      <c r="VJF91" s="87" t="s">
        <v>617</v>
      </c>
      <c r="VJG91" s="83"/>
      <c r="VJV91" s="87" t="s">
        <v>617</v>
      </c>
      <c r="VJW91" s="83"/>
      <c r="VKL91" s="87" t="s">
        <v>617</v>
      </c>
      <c r="VKM91" s="83"/>
      <c r="VLB91" s="87" t="s">
        <v>617</v>
      </c>
      <c r="VLC91" s="83"/>
      <c r="VLR91" s="87" t="s">
        <v>617</v>
      </c>
      <c r="VLS91" s="83"/>
      <c r="VMH91" s="87" t="s">
        <v>617</v>
      </c>
      <c r="VMI91" s="83"/>
      <c r="VMX91" s="87" t="s">
        <v>617</v>
      </c>
      <c r="VMY91" s="83"/>
      <c r="VNN91" s="87" t="s">
        <v>617</v>
      </c>
      <c r="VNO91" s="83"/>
      <c r="VOD91" s="87" t="s">
        <v>617</v>
      </c>
      <c r="VOE91" s="83"/>
      <c r="VOT91" s="87" t="s">
        <v>617</v>
      </c>
      <c r="VOU91" s="83"/>
      <c r="VPJ91" s="87" t="s">
        <v>617</v>
      </c>
      <c r="VPK91" s="83"/>
      <c r="VPZ91" s="87" t="s">
        <v>617</v>
      </c>
      <c r="VQA91" s="83"/>
      <c r="VQP91" s="87" t="s">
        <v>617</v>
      </c>
      <c r="VQQ91" s="83"/>
      <c r="VRF91" s="87" t="s">
        <v>617</v>
      </c>
      <c r="VRG91" s="83"/>
      <c r="VRV91" s="87" t="s">
        <v>617</v>
      </c>
      <c r="VRW91" s="83"/>
      <c r="VSL91" s="87" t="s">
        <v>617</v>
      </c>
      <c r="VSM91" s="83"/>
      <c r="VTB91" s="87" t="s">
        <v>617</v>
      </c>
      <c r="VTC91" s="83"/>
      <c r="VTR91" s="87" t="s">
        <v>617</v>
      </c>
      <c r="VTS91" s="83"/>
      <c r="VUH91" s="87" t="s">
        <v>617</v>
      </c>
      <c r="VUI91" s="83"/>
      <c r="VUX91" s="87" t="s">
        <v>617</v>
      </c>
      <c r="VUY91" s="83"/>
      <c r="VVN91" s="87" t="s">
        <v>617</v>
      </c>
      <c r="VVO91" s="83"/>
      <c r="VWD91" s="87" t="s">
        <v>617</v>
      </c>
      <c r="VWE91" s="83"/>
      <c r="VWT91" s="87" t="s">
        <v>617</v>
      </c>
      <c r="VWU91" s="83"/>
      <c r="VXJ91" s="87" t="s">
        <v>617</v>
      </c>
      <c r="VXK91" s="83"/>
      <c r="VXZ91" s="87" t="s">
        <v>617</v>
      </c>
      <c r="VYA91" s="83"/>
      <c r="VYP91" s="87" t="s">
        <v>617</v>
      </c>
      <c r="VYQ91" s="83"/>
      <c r="VZF91" s="87" t="s">
        <v>617</v>
      </c>
      <c r="VZG91" s="83"/>
      <c r="VZV91" s="87" t="s">
        <v>617</v>
      </c>
      <c r="VZW91" s="83"/>
      <c r="WAL91" s="87" t="s">
        <v>617</v>
      </c>
      <c r="WAM91" s="83"/>
      <c r="WBB91" s="87" t="s">
        <v>617</v>
      </c>
      <c r="WBC91" s="83"/>
      <c r="WBR91" s="87" t="s">
        <v>617</v>
      </c>
      <c r="WBS91" s="83"/>
      <c r="WCH91" s="87" t="s">
        <v>617</v>
      </c>
      <c r="WCI91" s="83"/>
      <c r="WCX91" s="87" t="s">
        <v>617</v>
      </c>
      <c r="WCY91" s="83"/>
      <c r="WDN91" s="87" t="s">
        <v>617</v>
      </c>
      <c r="WDO91" s="83"/>
      <c r="WED91" s="87" t="s">
        <v>617</v>
      </c>
      <c r="WEE91" s="83"/>
      <c r="WET91" s="87" t="s">
        <v>617</v>
      </c>
      <c r="WEU91" s="83"/>
      <c r="WFJ91" s="87" t="s">
        <v>617</v>
      </c>
      <c r="WFK91" s="83"/>
      <c r="WFZ91" s="87" t="s">
        <v>617</v>
      </c>
      <c r="WGA91" s="83"/>
      <c r="WGP91" s="87" t="s">
        <v>617</v>
      </c>
      <c r="WGQ91" s="83"/>
      <c r="WHF91" s="87" t="s">
        <v>617</v>
      </c>
      <c r="WHG91" s="83"/>
      <c r="WHV91" s="87" t="s">
        <v>617</v>
      </c>
      <c r="WHW91" s="83"/>
      <c r="WIL91" s="87" t="s">
        <v>617</v>
      </c>
      <c r="WIM91" s="83"/>
      <c r="WJB91" s="87" t="s">
        <v>617</v>
      </c>
      <c r="WJC91" s="83"/>
      <c r="WJR91" s="87" t="s">
        <v>617</v>
      </c>
      <c r="WJS91" s="83"/>
      <c r="WKH91" s="87" t="s">
        <v>617</v>
      </c>
      <c r="WKI91" s="83"/>
      <c r="WKX91" s="87" t="s">
        <v>617</v>
      </c>
      <c r="WKY91" s="83"/>
      <c r="WLN91" s="87" t="s">
        <v>617</v>
      </c>
      <c r="WLO91" s="83"/>
      <c r="WMD91" s="87" t="s">
        <v>617</v>
      </c>
      <c r="WME91" s="83"/>
      <c r="WMT91" s="87" t="s">
        <v>617</v>
      </c>
      <c r="WMU91" s="83"/>
      <c r="WNJ91" s="87" t="s">
        <v>617</v>
      </c>
      <c r="WNK91" s="83"/>
      <c r="WNZ91" s="87" t="s">
        <v>617</v>
      </c>
      <c r="WOA91" s="83"/>
      <c r="WOP91" s="87" t="s">
        <v>617</v>
      </c>
      <c r="WOQ91" s="83"/>
      <c r="WPF91" s="87" t="s">
        <v>617</v>
      </c>
      <c r="WPG91" s="83"/>
      <c r="WPV91" s="87" t="s">
        <v>617</v>
      </c>
      <c r="WPW91" s="83"/>
      <c r="WQL91" s="87" t="s">
        <v>617</v>
      </c>
      <c r="WQM91" s="83"/>
      <c r="WRB91" s="87" t="s">
        <v>617</v>
      </c>
      <c r="WRC91" s="83"/>
      <c r="WRR91" s="87" t="s">
        <v>617</v>
      </c>
      <c r="WRS91" s="83"/>
      <c r="WSH91" s="87" t="s">
        <v>617</v>
      </c>
      <c r="WSI91" s="83"/>
      <c r="WSX91" s="87" t="s">
        <v>617</v>
      </c>
      <c r="WSY91" s="83"/>
      <c r="WTN91" s="87" t="s">
        <v>617</v>
      </c>
      <c r="WTO91" s="83"/>
      <c r="WUD91" s="87" t="s">
        <v>617</v>
      </c>
      <c r="WUE91" s="83"/>
      <c r="WUT91" s="87" t="s">
        <v>617</v>
      </c>
      <c r="WUU91" s="83"/>
      <c r="WVJ91" s="87" t="s">
        <v>617</v>
      </c>
      <c r="WVK91" s="83"/>
      <c r="WVZ91" s="87" t="s">
        <v>617</v>
      </c>
      <c r="WWA91" s="83"/>
      <c r="WWP91" s="87" t="s">
        <v>617</v>
      </c>
      <c r="WWQ91" s="83"/>
      <c r="WXF91" s="87" t="s">
        <v>617</v>
      </c>
      <c r="WXG91" s="83"/>
      <c r="WXV91" s="87" t="s">
        <v>617</v>
      </c>
      <c r="WXW91" s="83"/>
      <c r="WYL91" s="87" t="s">
        <v>617</v>
      </c>
      <c r="WYM91" s="83"/>
      <c r="WZB91" s="87" t="s">
        <v>617</v>
      </c>
      <c r="WZC91" s="83"/>
      <c r="WZR91" s="87" t="s">
        <v>617</v>
      </c>
      <c r="WZS91" s="83"/>
      <c r="XAH91" s="87" t="s">
        <v>617</v>
      </c>
      <c r="XAI91" s="83"/>
      <c r="XAX91" s="87" t="s">
        <v>617</v>
      </c>
      <c r="XAY91" s="83"/>
      <c r="XBN91" s="87" t="s">
        <v>617</v>
      </c>
      <c r="XBO91" s="83"/>
      <c r="XCD91" s="87" t="s">
        <v>617</v>
      </c>
      <c r="XCE91" s="83"/>
      <c r="XCT91" s="87" t="s">
        <v>617</v>
      </c>
      <c r="XCU91" s="83"/>
      <c r="XDJ91" s="87" t="s">
        <v>617</v>
      </c>
      <c r="XDK91" s="83"/>
      <c r="XDZ91" s="87" t="s">
        <v>617</v>
      </c>
      <c r="XEA91" s="83"/>
      <c r="XEP91" s="87" t="s">
        <v>617</v>
      </c>
      <c r="XEQ91" s="83"/>
    </row>
    <row r="92" spans="2:1011 1026:2035 2050:3059 3074:4083 4098:5107 5122:6131 6146:7155 7170:8179 8194:9203 9218:10227 10242:11251 11266:12275 12290:13299 13314:14323 14338:15347 15362:16371" ht="13.5" x14ac:dyDescent="0.35">
      <c r="R92" s="87" t="s">
        <v>618</v>
      </c>
      <c r="S92" s="83"/>
      <c r="AH92" s="87" t="s">
        <v>618</v>
      </c>
      <c r="AI92" s="83"/>
      <c r="AX92" s="87" t="s">
        <v>618</v>
      </c>
      <c r="AY92" s="83"/>
      <c r="BN92" s="87" t="s">
        <v>618</v>
      </c>
      <c r="BO92" s="83"/>
      <c r="CD92" s="87" t="s">
        <v>618</v>
      </c>
      <c r="CE92" s="83"/>
      <c r="CT92" s="87" t="s">
        <v>618</v>
      </c>
      <c r="CU92" s="83"/>
      <c r="DJ92" s="87" t="s">
        <v>618</v>
      </c>
      <c r="DK92" s="83"/>
      <c r="DZ92" s="87" t="s">
        <v>618</v>
      </c>
      <c r="EA92" s="83"/>
      <c r="EP92" s="87" t="s">
        <v>618</v>
      </c>
      <c r="EQ92" s="83"/>
      <c r="FF92" s="87" t="s">
        <v>618</v>
      </c>
      <c r="FG92" s="83"/>
      <c r="FV92" s="87" t="s">
        <v>618</v>
      </c>
      <c r="FW92" s="83"/>
      <c r="GL92" s="87" t="s">
        <v>618</v>
      </c>
      <c r="GM92" s="83"/>
      <c r="HB92" s="87" t="s">
        <v>618</v>
      </c>
      <c r="HC92" s="83"/>
      <c r="HR92" s="87" t="s">
        <v>618</v>
      </c>
      <c r="HS92" s="83"/>
      <c r="IH92" s="87" t="s">
        <v>618</v>
      </c>
      <c r="II92" s="83"/>
      <c r="IX92" s="87" t="s">
        <v>618</v>
      </c>
      <c r="IY92" s="83"/>
      <c r="JN92" s="87" t="s">
        <v>618</v>
      </c>
      <c r="JO92" s="83"/>
      <c r="KD92" s="87" t="s">
        <v>618</v>
      </c>
      <c r="KE92" s="83"/>
      <c r="KT92" s="87" t="s">
        <v>618</v>
      </c>
      <c r="KU92" s="83"/>
      <c r="LJ92" s="87" t="s">
        <v>618</v>
      </c>
      <c r="LK92" s="83"/>
      <c r="LZ92" s="87" t="s">
        <v>618</v>
      </c>
      <c r="MA92" s="83"/>
      <c r="MP92" s="87" t="s">
        <v>618</v>
      </c>
      <c r="MQ92" s="83"/>
      <c r="NF92" s="87" t="s">
        <v>618</v>
      </c>
      <c r="NG92" s="83"/>
      <c r="NV92" s="87" t="s">
        <v>618</v>
      </c>
      <c r="NW92" s="83"/>
      <c r="OL92" s="87" t="s">
        <v>618</v>
      </c>
      <c r="OM92" s="83"/>
      <c r="PB92" s="87" t="s">
        <v>618</v>
      </c>
      <c r="PC92" s="83"/>
      <c r="PR92" s="87" t="s">
        <v>618</v>
      </c>
      <c r="PS92" s="83"/>
      <c r="QH92" s="87" t="s">
        <v>618</v>
      </c>
      <c r="QI92" s="83"/>
      <c r="QX92" s="87" t="s">
        <v>618</v>
      </c>
      <c r="QY92" s="83"/>
      <c r="RN92" s="87" t="s">
        <v>618</v>
      </c>
      <c r="RO92" s="83"/>
      <c r="SD92" s="87" t="s">
        <v>618</v>
      </c>
      <c r="SE92" s="83"/>
      <c r="ST92" s="87" t="s">
        <v>618</v>
      </c>
      <c r="SU92" s="83"/>
      <c r="TJ92" s="87" t="s">
        <v>618</v>
      </c>
      <c r="TK92" s="83"/>
      <c r="TZ92" s="87" t="s">
        <v>618</v>
      </c>
      <c r="UA92" s="83"/>
      <c r="UP92" s="87" t="s">
        <v>618</v>
      </c>
      <c r="UQ92" s="83"/>
      <c r="VF92" s="87" t="s">
        <v>618</v>
      </c>
      <c r="VG92" s="83"/>
      <c r="VV92" s="87" t="s">
        <v>618</v>
      </c>
      <c r="VW92" s="83"/>
      <c r="WL92" s="87" t="s">
        <v>618</v>
      </c>
      <c r="WM92" s="83"/>
      <c r="XB92" s="87" t="s">
        <v>618</v>
      </c>
      <c r="XC92" s="83"/>
      <c r="XR92" s="87" t="s">
        <v>618</v>
      </c>
      <c r="XS92" s="83"/>
      <c r="YH92" s="87" t="s">
        <v>618</v>
      </c>
      <c r="YI92" s="83"/>
      <c r="YX92" s="87" t="s">
        <v>618</v>
      </c>
      <c r="YY92" s="83"/>
      <c r="ZN92" s="87" t="s">
        <v>618</v>
      </c>
      <c r="ZO92" s="83"/>
      <c r="AAD92" s="87" t="s">
        <v>618</v>
      </c>
      <c r="AAE92" s="83"/>
      <c r="AAT92" s="87" t="s">
        <v>618</v>
      </c>
      <c r="AAU92" s="83"/>
      <c r="ABJ92" s="87" t="s">
        <v>618</v>
      </c>
      <c r="ABK92" s="83"/>
      <c r="ABZ92" s="87" t="s">
        <v>618</v>
      </c>
      <c r="ACA92" s="83"/>
      <c r="ACP92" s="87" t="s">
        <v>618</v>
      </c>
      <c r="ACQ92" s="83"/>
      <c r="ADF92" s="87" t="s">
        <v>618</v>
      </c>
      <c r="ADG92" s="83"/>
      <c r="ADV92" s="87" t="s">
        <v>618</v>
      </c>
      <c r="ADW92" s="83"/>
      <c r="AEL92" s="87" t="s">
        <v>618</v>
      </c>
      <c r="AEM92" s="83"/>
      <c r="AFB92" s="87" t="s">
        <v>618</v>
      </c>
      <c r="AFC92" s="83"/>
      <c r="AFR92" s="87" t="s">
        <v>618</v>
      </c>
      <c r="AFS92" s="83"/>
      <c r="AGH92" s="87" t="s">
        <v>618</v>
      </c>
      <c r="AGI92" s="83"/>
      <c r="AGX92" s="87" t="s">
        <v>618</v>
      </c>
      <c r="AGY92" s="83"/>
      <c r="AHN92" s="87" t="s">
        <v>618</v>
      </c>
      <c r="AHO92" s="83"/>
      <c r="AID92" s="87" t="s">
        <v>618</v>
      </c>
      <c r="AIE92" s="83"/>
      <c r="AIT92" s="87" t="s">
        <v>618</v>
      </c>
      <c r="AIU92" s="83"/>
      <c r="AJJ92" s="87" t="s">
        <v>618</v>
      </c>
      <c r="AJK92" s="83"/>
      <c r="AJZ92" s="87" t="s">
        <v>618</v>
      </c>
      <c r="AKA92" s="83"/>
      <c r="AKP92" s="87" t="s">
        <v>618</v>
      </c>
      <c r="AKQ92" s="83"/>
      <c r="ALF92" s="87" t="s">
        <v>618</v>
      </c>
      <c r="ALG92" s="83"/>
      <c r="ALV92" s="87" t="s">
        <v>618</v>
      </c>
      <c r="ALW92" s="83"/>
      <c r="AML92" s="87" t="s">
        <v>618</v>
      </c>
      <c r="AMM92" s="83"/>
      <c r="ANB92" s="87" t="s">
        <v>618</v>
      </c>
      <c r="ANC92" s="83"/>
      <c r="ANR92" s="87" t="s">
        <v>618</v>
      </c>
      <c r="ANS92" s="83"/>
      <c r="AOH92" s="87" t="s">
        <v>618</v>
      </c>
      <c r="AOI92" s="83"/>
      <c r="AOX92" s="87" t="s">
        <v>618</v>
      </c>
      <c r="AOY92" s="83"/>
      <c r="APN92" s="87" t="s">
        <v>618</v>
      </c>
      <c r="APO92" s="83"/>
      <c r="AQD92" s="87" t="s">
        <v>618</v>
      </c>
      <c r="AQE92" s="83"/>
      <c r="AQT92" s="87" t="s">
        <v>618</v>
      </c>
      <c r="AQU92" s="83"/>
      <c r="ARJ92" s="87" t="s">
        <v>618</v>
      </c>
      <c r="ARK92" s="83"/>
      <c r="ARZ92" s="87" t="s">
        <v>618</v>
      </c>
      <c r="ASA92" s="83"/>
      <c r="ASP92" s="87" t="s">
        <v>618</v>
      </c>
      <c r="ASQ92" s="83"/>
      <c r="ATF92" s="87" t="s">
        <v>618</v>
      </c>
      <c r="ATG92" s="83"/>
      <c r="ATV92" s="87" t="s">
        <v>618</v>
      </c>
      <c r="ATW92" s="83"/>
      <c r="AUL92" s="87" t="s">
        <v>618</v>
      </c>
      <c r="AUM92" s="83"/>
      <c r="AVB92" s="87" t="s">
        <v>618</v>
      </c>
      <c r="AVC92" s="83"/>
      <c r="AVR92" s="87" t="s">
        <v>618</v>
      </c>
      <c r="AVS92" s="83"/>
      <c r="AWH92" s="87" t="s">
        <v>618</v>
      </c>
      <c r="AWI92" s="83"/>
      <c r="AWX92" s="87" t="s">
        <v>618</v>
      </c>
      <c r="AWY92" s="83"/>
      <c r="AXN92" s="87" t="s">
        <v>618</v>
      </c>
      <c r="AXO92" s="83"/>
      <c r="AYD92" s="87" t="s">
        <v>618</v>
      </c>
      <c r="AYE92" s="83"/>
      <c r="AYT92" s="87" t="s">
        <v>618</v>
      </c>
      <c r="AYU92" s="83"/>
      <c r="AZJ92" s="87" t="s">
        <v>618</v>
      </c>
      <c r="AZK92" s="83"/>
      <c r="AZZ92" s="87" t="s">
        <v>618</v>
      </c>
      <c r="BAA92" s="83"/>
      <c r="BAP92" s="87" t="s">
        <v>618</v>
      </c>
      <c r="BAQ92" s="83"/>
      <c r="BBF92" s="87" t="s">
        <v>618</v>
      </c>
      <c r="BBG92" s="83"/>
      <c r="BBV92" s="87" t="s">
        <v>618</v>
      </c>
      <c r="BBW92" s="83"/>
      <c r="BCL92" s="87" t="s">
        <v>618</v>
      </c>
      <c r="BCM92" s="83"/>
      <c r="BDB92" s="87" t="s">
        <v>618</v>
      </c>
      <c r="BDC92" s="83"/>
      <c r="BDR92" s="87" t="s">
        <v>618</v>
      </c>
      <c r="BDS92" s="83"/>
      <c r="BEH92" s="87" t="s">
        <v>618</v>
      </c>
      <c r="BEI92" s="83"/>
      <c r="BEX92" s="87" t="s">
        <v>618</v>
      </c>
      <c r="BEY92" s="83"/>
      <c r="BFN92" s="87" t="s">
        <v>618</v>
      </c>
      <c r="BFO92" s="83"/>
      <c r="BGD92" s="87" t="s">
        <v>618</v>
      </c>
      <c r="BGE92" s="83"/>
      <c r="BGT92" s="87" t="s">
        <v>618</v>
      </c>
      <c r="BGU92" s="83"/>
      <c r="BHJ92" s="87" t="s">
        <v>618</v>
      </c>
      <c r="BHK92" s="83"/>
      <c r="BHZ92" s="87" t="s">
        <v>618</v>
      </c>
      <c r="BIA92" s="83"/>
      <c r="BIP92" s="87" t="s">
        <v>618</v>
      </c>
      <c r="BIQ92" s="83"/>
      <c r="BJF92" s="87" t="s">
        <v>618</v>
      </c>
      <c r="BJG92" s="83"/>
      <c r="BJV92" s="87" t="s">
        <v>618</v>
      </c>
      <c r="BJW92" s="83"/>
      <c r="BKL92" s="87" t="s">
        <v>618</v>
      </c>
      <c r="BKM92" s="83"/>
      <c r="BLB92" s="87" t="s">
        <v>618</v>
      </c>
      <c r="BLC92" s="83"/>
      <c r="BLR92" s="87" t="s">
        <v>618</v>
      </c>
      <c r="BLS92" s="83"/>
      <c r="BMH92" s="87" t="s">
        <v>618</v>
      </c>
      <c r="BMI92" s="83"/>
      <c r="BMX92" s="87" t="s">
        <v>618</v>
      </c>
      <c r="BMY92" s="83"/>
      <c r="BNN92" s="87" t="s">
        <v>618</v>
      </c>
      <c r="BNO92" s="83"/>
      <c r="BOD92" s="87" t="s">
        <v>618</v>
      </c>
      <c r="BOE92" s="83"/>
      <c r="BOT92" s="87" t="s">
        <v>618</v>
      </c>
      <c r="BOU92" s="83"/>
      <c r="BPJ92" s="87" t="s">
        <v>618</v>
      </c>
      <c r="BPK92" s="83"/>
      <c r="BPZ92" s="87" t="s">
        <v>618</v>
      </c>
      <c r="BQA92" s="83"/>
      <c r="BQP92" s="87" t="s">
        <v>618</v>
      </c>
      <c r="BQQ92" s="83"/>
      <c r="BRF92" s="87" t="s">
        <v>618</v>
      </c>
      <c r="BRG92" s="83"/>
      <c r="BRV92" s="87" t="s">
        <v>618</v>
      </c>
      <c r="BRW92" s="83"/>
      <c r="BSL92" s="87" t="s">
        <v>618</v>
      </c>
      <c r="BSM92" s="83"/>
      <c r="BTB92" s="87" t="s">
        <v>618</v>
      </c>
      <c r="BTC92" s="83"/>
      <c r="BTR92" s="87" t="s">
        <v>618</v>
      </c>
      <c r="BTS92" s="83"/>
      <c r="BUH92" s="87" t="s">
        <v>618</v>
      </c>
      <c r="BUI92" s="83"/>
      <c r="BUX92" s="87" t="s">
        <v>618</v>
      </c>
      <c r="BUY92" s="83"/>
      <c r="BVN92" s="87" t="s">
        <v>618</v>
      </c>
      <c r="BVO92" s="83"/>
      <c r="BWD92" s="87" t="s">
        <v>618</v>
      </c>
      <c r="BWE92" s="83"/>
      <c r="BWT92" s="87" t="s">
        <v>618</v>
      </c>
      <c r="BWU92" s="83"/>
      <c r="BXJ92" s="87" t="s">
        <v>618</v>
      </c>
      <c r="BXK92" s="83"/>
      <c r="BXZ92" s="87" t="s">
        <v>618</v>
      </c>
      <c r="BYA92" s="83"/>
      <c r="BYP92" s="87" t="s">
        <v>618</v>
      </c>
      <c r="BYQ92" s="83"/>
      <c r="BZF92" s="87" t="s">
        <v>618</v>
      </c>
      <c r="BZG92" s="83"/>
      <c r="BZV92" s="87" t="s">
        <v>618</v>
      </c>
      <c r="BZW92" s="83"/>
      <c r="CAL92" s="87" t="s">
        <v>618</v>
      </c>
      <c r="CAM92" s="83"/>
      <c r="CBB92" s="87" t="s">
        <v>618</v>
      </c>
      <c r="CBC92" s="83"/>
      <c r="CBR92" s="87" t="s">
        <v>618</v>
      </c>
      <c r="CBS92" s="83"/>
      <c r="CCH92" s="87" t="s">
        <v>618</v>
      </c>
      <c r="CCI92" s="83"/>
      <c r="CCX92" s="87" t="s">
        <v>618</v>
      </c>
      <c r="CCY92" s="83"/>
      <c r="CDN92" s="87" t="s">
        <v>618</v>
      </c>
      <c r="CDO92" s="83"/>
      <c r="CED92" s="87" t="s">
        <v>618</v>
      </c>
      <c r="CEE92" s="83"/>
      <c r="CET92" s="87" t="s">
        <v>618</v>
      </c>
      <c r="CEU92" s="83"/>
      <c r="CFJ92" s="87" t="s">
        <v>618</v>
      </c>
      <c r="CFK92" s="83"/>
      <c r="CFZ92" s="87" t="s">
        <v>618</v>
      </c>
      <c r="CGA92" s="83"/>
      <c r="CGP92" s="87" t="s">
        <v>618</v>
      </c>
      <c r="CGQ92" s="83"/>
      <c r="CHF92" s="87" t="s">
        <v>618</v>
      </c>
      <c r="CHG92" s="83"/>
      <c r="CHV92" s="87" t="s">
        <v>618</v>
      </c>
      <c r="CHW92" s="83"/>
      <c r="CIL92" s="87" t="s">
        <v>618</v>
      </c>
      <c r="CIM92" s="83"/>
      <c r="CJB92" s="87" t="s">
        <v>618</v>
      </c>
      <c r="CJC92" s="83"/>
      <c r="CJR92" s="87" t="s">
        <v>618</v>
      </c>
      <c r="CJS92" s="83"/>
      <c r="CKH92" s="87" t="s">
        <v>618</v>
      </c>
      <c r="CKI92" s="83"/>
      <c r="CKX92" s="87" t="s">
        <v>618</v>
      </c>
      <c r="CKY92" s="83"/>
      <c r="CLN92" s="87" t="s">
        <v>618</v>
      </c>
      <c r="CLO92" s="83"/>
      <c r="CMD92" s="87" t="s">
        <v>618</v>
      </c>
      <c r="CME92" s="83"/>
      <c r="CMT92" s="87" t="s">
        <v>618</v>
      </c>
      <c r="CMU92" s="83"/>
      <c r="CNJ92" s="87" t="s">
        <v>618</v>
      </c>
      <c r="CNK92" s="83"/>
      <c r="CNZ92" s="87" t="s">
        <v>618</v>
      </c>
      <c r="COA92" s="83"/>
      <c r="COP92" s="87" t="s">
        <v>618</v>
      </c>
      <c r="COQ92" s="83"/>
      <c r="CPF92" s="87" t="s">
        <v>618</v>
      </c>
      <c r="CPG92" s="83"/>
      <c r="CPV92" s="87" t="s">
        <v>618</v>
      </c>
      <c r="CPW92" s="83"/>
      <c r="CQL92" s="87" t="s">
        <v>618</v>
      </c>
      <c r="CQM92" s="83"/>
      <c r="CRB92" s="87" t="s">
        <v>618</v>
      </c>
      <c r="CRC92" s="83"/>
      <c r="CRR92" s="87" t="s">
        <v>618</v>
      </c>
      <c r="CRS92" s="83"/>
      <c r="CSH92" s="87" t="s">
        <v>618</v>
      </c>
      <c r="CSI92" s="83"/>
      <c r="CSX92" s="87" t="s">
        <v>618</v>
      </c>
      <c r="CSY92" s="83"/>
      <c r="CTN92" s="87" t="s">
        <v>618</v>
      </c>
      <c r="CTO92" s="83"/>
      <c r="CUD92" s="87" t="s">
        <v>618</v>
      </c>
      <c r="CUE92" s="83"/>
      <c r="CUT92" s="87" t="s">
        <v>618</v>
      </c>
      <c r="CUU92" s="83"/>
      <c r="CVJ92" s="87" t="s">
        <v>618</v>
      </c>
      <c r="CVK92" s="83"/>
      <c r="CVZ92" s="87" t="s">
        <v>618</v>
      </c>
      <c r="CWA92" s="83"/>
      <c r="CWP92" s="87" t="s">
        <v>618</v>
      </c>
      <c r="CWQ92" s="83"/>
      <c r="CXF92" s="87" t="s">
        <v>618</v>
      </c>
      <c r="CXG92" s="83"/>
      <c r="CXV92" s="87" t="s">
        <v>618</v>
      </c>
      <c r="CXW92" s="83"/>
      <c r="CYL92" s="87" t="s">
        <v>618</v>
      </c>
      <c r="CYM92" s="83"/>
      <c r="CZB92" s="87" t="s">
        <v>618</v>
      </c>
      <c r="CZC92" s="83"/>
      <c r="CZR92" s="87" t="s">
        <v>618</v>
      </c>
      <c r="CZS92" s="83"/>
      <c r="DAH92" s="87" t="s">
        <v>618</v>
      </c>
      <c r="DAI92" s="83"/>
      <c r="DAX92" s="87" t="s">
        <v>618</v>
      </c>
      <c r="DAY92" s="83"/>
      <c r="DBN92" s="87" t="s">
        <v>618</v>
      </c>
      <c r="DBO92" s="83"/>
      <c r="DCD92" s="87" t="s">
        <v>618</v>
      </c>
      <c r="DCE92" s="83"/>
      <c r="DCT92" s="87" t="s">
        <v>618</v>
      </c>
      <c r="DCU92" s="83"/>
      <c r="DDJ92" s="87" t="s">
        <v>618</v>
      </c>
      <c r="DDK92" s="83"/>
      <c r="DDZ92" s="87" t="s">
        <v>618</v>
      </c>
      <c r="DEA92" s="83"/>
      <c r="DEP92" s="87" t="s">
        <v>618</v>
      </c>
      <c r="DEQ92" s="83"/>
      <c r="DFF92" s="87" t="s">
        <v>618</v>
      </c>
      <c r="DFG92" s="83"/>
      <c r="DFV92" s="87" t="s">
        <v>618</v>
      </c>
      <c r="DFW92" s="83"/>
      <c r="DGL92" s="87" t="s">
        <v>618</v>
      </c>
      <c r="DGM92" s="83"/>
      <c r="DHB92" s="87" t="s">
        <v>618</v>
      </c>
      <c r="DHC92" s="83"/>
      <c r="DHR92" s="87" t="s">
        <v>618</v>
      </c>
      <c r="DHS92" s="83"/>
      <c r="DIH92" s="87" t="s">
        <v>618</v>
      </c>
      <c r="DII92" s="83"/>
      <c r="DIX92" s="87" t="s">
        <v>618</v>
      </c>
      <c r="DIY92" s="83"/>
      <c r="DJN92" s="87" t="s">
        <v>618</v>
      </c>
      <c r="DJO92" s="83"/>
      <c r="DKD92" s="87" t="s">
        <v>618</v>
      </c>
      <c r="DKE92" s="83"/>
      <c r="DKT92" s="87" t="s">
        <v>618</v>
      </c>
      <c r="DKU92" s="83"/>
      <c r="DLJ92" s="87" t="s">
        <v>618</v>
      </c>
      <c r="DLK92" s="83"/>
      <c r="DLZ92" s="87" t="s">
        <v>618</v>
      </c>
      <c r="DMA92" s="83"/>
      <c r="DMP92" s="87" t="s">
        <v>618</v>
      </c>
      <c r="DMQ92" s="83"/>
      <c r="DNF92" s="87" t="s">
        <v>618</v>
      </c>
      <c r="DNG92" s="83"/>
      <c r="DNV92" s="87" t="s">
        <v>618</v>
      </c>
      <c r="DNW92" s="83"/>
      <c r="DOL92" s="87" t="s">
        <v>618</v>
      </c>
      <c r="DOM92" s="83"/>
      <c r="DPB92" s="87" t="s">
        <v>618</v>
      </c>
      <c r="DPC92" s="83"/>
      <c r="DPR92" s="87" t="s">
        <v>618</v>
      </c>
      <c r="DPS92" s="83"/>
      <c r="DQH92" s="87" t="s">
        <v>618</v>
      </c>
      <c r="DQI92" s="83"/>
      <c r="DQX92" s="87" t="s">
        <v>618</v>
      </c>
      <c r="DQY92" s="83"/>
      <c r="DRN92" s="87" t="s">
        <v>618</v>
      </c>
      <c r="DRO92" s="83"/>
      <c r="DSD92" s="87" t="s">
        <v>618</v>
      </c>
      <c r="DSE92" s="83"/>
      <c r="DST92" s="87" t="s">
        <v>618</v>
      </c>
      <c r="DSU92" s="83"/>
      <c r="DTJ92" s="87" t="s">
        <v>618</v>
      </c>
      <c r="DTK92" s="83"/>
      <c r="DTZ92" s="87" t="s">
        <v>618</v>
      </c>
      <c r="DUA92" s="83"/>
      <c r="DUP92" s="87" t="s">
        <v>618</v>
      </c>
      <c r="DUQ92" s="83"/>
      <c r="DVF92" s="87" t="s">
        <v>618</v>
      </c>
      <c r="DVG92" s="83"/>
      <c r="DVV92" s="87" t="s">
        <v>618</v>
      </c>
      <c r="DVW92" s="83"/>
      <c r="DWL92" s="87" t="s">
        <v>618</v>
      </c>
      <c r="DWM92" s="83"/>
      <c r="DXB92" s="87" t="s">
        <v>618</v>
      </c>
      <c r="DXC92" s="83"/>
      <c r="DXR92" s="87" t="s">
        <v>618</v>
      </c>
      <c r="DXS92" s="83"/>
      <c r="DYH92" s="87" t="s">
        <v>618</v>
      </c>
      <c r="DYI92" s="83"/>
      <c r="DYX92" s="87" t="s">
        <v>618</v>
      </c>
      <c r="DYY92" s="83"/>
      <c r="DZN92" s="87" t="s">
        <v>618</v>
      </c>
      <c r="DZO92" s="83"/>
      <c r="EAD92" s="87" t="s">
        <v>618</v>
      </c>
      <c r="EAE92" s="83"/>
      <c r="EAT92" s="87" t="s">
        <v>618</v>
      </c>
      <c r="EAU92" s="83"/>
      <c r="EBJ92" s="87" t="s">
        <v>618</v>
      </c>
      <c r="EBK92" s="83"/>
      <c r="EBZ92" s="87" t="s">
        <v>618</v>
      </c>
      <c r="ECA92" s="83"/>
      <c r="ECP92" s="87" t="s">
        <v>618</v>
      </c>
      <c r="ECQ92" s="83"/>
      <c r="EDF92" s="87" t="s">
        <v>618</v>
      </c>
      <c r="EDG92" s="83"/>
      <c r="EDV92" s="87" t="s">
        <v>618</v>
      </c>
      <c r="EDW92" s="83"/>
      <c r="EEL92" s="87" t="s">
        <v>618</v>
      </c>
      <c r="EEM92" s="83"/>
      <c r="EFB92" s="87" t="s">
        <v>618</v>
      </c>
      <c r="EFC92" s="83"/>
      <c r="EFR92" s="87" t="s">
        <v>618</v>
      </c>
      <c r="EFS92" s="83"/>
      <c r="EGH92" s="87" t="s">
        <v>618</v>
      </c>
      <c r="EGI92" s="83"/>
      <c r="EGX92" s="87" t="s">
        <v>618</v>
      </c>
      <c r="EGY92" s="83"/>
      <c r="EHN92" s="87" t="s">
        <v>618</v>
      </c>
      <c r="EHO92" s="83"/>
      <c r="EID92" s="87" t="s">
        <v>618</v>
      </c>
      <c r="EIE92" s="83"/>
      <c r="EIT92" s="87" t="s">
        <v>618</v>
      </c>
      <c r="EIU92" s="83"/>
      <c r="EJJ92" s="87" t="s">
        <v>618</v>
      </c>
      <c r="EJK92" s="83"/>
      <c r="EJZ92" s="87" t="s">
        <v>618</v>
      </c>
      <c r="EKA92" s="83"/>
      <c r="EKP92" s="87" t="s">
        <v>618</v>
      </c>
      <c r="EKQ92" s="83"/>
      <c r="ELF92" s="87" t="s">
        <v>618</v>
      </c>
      <c r="ELG92" s="83"/>
      <c r="ELV92" s="87" t="s">
        <v>618</v>
      </c>
      <c r="ELW92" s="83"/>
      <c r="EML92" s="87" t="s">
        <v>618</v>
      </c>
      <c r="EMM92" s="83"/>
      <c r="ENB92" s="87" t="s">
        <v>618</v>
      </c>
      <c r="ENC92" s="83"/>
      <c r="ENR92" s="87" t="s">
        <v>618</v>
      </c>
      <c r="ENS92" s="83"/>
      <c r="EOH92" s="87" t="s">
        <v>618</v>
      </c>
      <c r="EOI92" s="83"/>
      <c r="EOX92" s="87" t="s">
        <v>618</v>
      </c>
      <c r="EOY92" s="83"/>
      <c r="EPN92" s="87" t="s">
        <v>618</v>
      </c>
      <c r="EPO92" s="83"/>
      <c r="EQD92" s="87" t="s">
        <v>618</v>
      </c>
      <c r="EQE92" s="83"/>
      <c r="EQT92" s="87" t="s">
        <v>618</v>
      </c>
      <c r="EQU92" s="83"/>
      <c r="ERJ92" s="87" t="s">
        <v>618</v>
      </c>
      <c r="ERK92" s="83"/>
      <c r="ERZ92" s="87" t="s">
        <v>618</v>
      </c>
      <c r="ESA92" s="83"/>
      <c r="ESP92" s="87" t="s">
        <v>618</v>
      </c>
      <c r="ESQ92" s="83"/>
      <c r="ETF92" s="87" t="s">
        <v>618</v>
      </c>
      <c r="ETG92" s="83"/>
      <c r="ETV92" s="87" t="s">
        <v>618</v>
      </c>
      <c r="ETW92" s="83"/>
      <c r="EUL92" s="87" t="s">
        <v>618</v>
      </c>
      <c r="EUM92" s="83"/>
      <c r="EVB92" s="87" t="s">
        <v>618</v>
      </c>
      <c r="EVC92" s="83"/>
      <c r="EVR92" s="87" t="s">
        <v>618</v>
      </c>
      <c r="EVS92" s="83"/>
      <c r="EWH92" s="87" t="s">
        <v>618</v>
      </c>
      <c r="EWI92" s="83"/>
      <c r="EWX92" s="87" t="s">
        <v>618</v>
      </c>
      <c r="EWY92" s="83"/>
      <c r="EXN92" s="87" t="s">
        <v>618</v>
      </c>
      <c r="EXO92" s="83"/>
      <c r="EYD92" s="87" t="s">
        <v>618</v>
      </c>
      <c r="EYE92" s="83"/>
      <c r="EYT92" s="87" t="s">
        <v>618</v>
      </c>
      <c r="EYU92" s="83"/>
      <c r="EZJ92" s="87" t="s">
        <v>618</v>
      </c>
      <c r="EZK92" s="83"/>
      <c r="EZZ92" s="87" t="s">
        <v>618</v>
      </c>
      <c r="FAA92" s="83"/>
      <c r="FAP92" s="87" t="s">
        <v>618</v>
      </c>
      <c r="FAQ92" s="83"/>
      <c r="FBF92" s="87" t="s">
        <v>618</v>
      </c>
      <c r="FBG92" s="83"/>
      <c r="FBV92" s="87" t="s">
        <v>618</v>
      </c>
      <c r="FBW92" s="83"/>
      <c r="FCL92" s="87" t="s">
        <v>618</v>
      </c>
      <c r="FCM92" s="83"/>
      <c r="FDB92" s="87" t="s">
        <v>618</v>
      </c>
      <c r="FDC92" s="83"/>
      <c r="FDR92" s="87" t="s">
        <v>618</v>
      </c>
      <c r="FDS92" s="83"/>
      <c r="FEH92" s="87" t="s">
        <v>618</v>
      </c>
      <c r="FEI92" s="83"/>
      <c r="FEX92" s="87" t="s">
        <v>618</v>
      </c>
      <c r="FEY92" s="83"/>
      <c r="FFN92" s="87" t="s">
        <v>618</v>
      </c>
      <c r="FFO92" s="83"/>
      <c r="FGD92" s="87" t="s">
        <v>618</v>
      </c>
      <c r="FGE92" s="83"/>
      <c r="FGT92" s="87" t="s">
        <v>618</v>
      </c>
      <c r="FGU92" s="83"/>
      <c r="FHJ92" s="87" t="s">
        <v>618</v>
      </c>
      <c r="FHK92" s="83"/>
      <c r="FHZ92" s="87" t="s">
        <v>618</v>
      </c>
      <c r="FIA92" s="83"/>
      <c r="FIP92" s="87" t="s">
        <v>618</v>
      </c>
      <c r="FIQ92" s="83"/>
      <c r="FJF92" s="87" t="s">
        <v>618</v>
      </c>
      <c r="FJG92" s="83"/>
      <c r="FJV92" s="87" t="s">
        <v>618</v>
      </c>
      <c r="FJW92" s="83"/>
      <c r="FKL92" s="87" t="s">
        <v>618</v>
      </c>
      <c r="FKM92" s="83"/>
      <c r="FLB92" s="87" t="s">
        <v>618</v>
      </c>
      <c r="FLC92" s="83"/>
      <c r="FLR92" s="87" t="s">
        <v>618</v>
      </c>
      <c r="FLS92" s="83"/>
      <c r="FMH92" s="87" t="s">
        <v>618</v>
      </c>
      <c r="FMI92" s="83"/>
      <c r="FMX92" s="87" t="s">
        <v>618</v>
      </c>
      <c r="FMY92" s="83"/>
      <c r="FNN92" s="87" t="s">
        <v>618</v>
      </c>
      <c r="FNO92" s="83"/>
      <c r="FOD92" s="87" t="s">
        <v>618</v>
      </c>
      <c r="FOE92" s="83"/>
      <c r="FOT92" s="87" t="s">
        <v>618</v>
      </c>
      <c r="FOU92" s="83"/>
      <c r="FPJ92" s="87" t="s">
        <v>618</v>
      </c>
      <c r="FPK92" s="83"/>
      <c r="FPZ92" s="87" t="s">
        <v>618</v>
      </c>
      <c r="FQA92" s="83"/>
      <c r="FQP92" s="87" t="s">
        <v>618</v>
      </c>
      <c r="FQQ92" s="83"/>
      <c r="FRF92" s="87" t="s">
        <v>618</v>
      </c>
      <c r="FRG92" s="83"/>
      <c r="FRV92" s="87" t="s">
        <v>618</v>
      </c>
      <c r="FRW92" s="83"/>
      <c r="FSL92" s="87" t="s">
        <v>618</v>
      </c>
      <c r="FSM92" s="83"/>
      <c r="FTB92" s="87" t="s">
        <v>618</v>
      </c>
      <c r="FTC92" s="83"/>
      <c r="FTR92" s="87" t="s">
        <v>618</v>
      </c>
      <c r="FTS92" s="83"/>
      <c r="FUH92" s="87" t="s">
        <v>618</v>
      </c>
      <c r="FUI92" s="83"/>
      <c r="FUX92" s="87" t="s">
        <v>618</v>
      </c>
      <c r="FUY92" s="83"/>
      <c r="FVN92" s="87" t="s">
        <v>618</v>
      </c>
      <c r="FVO92" s="83"/>
      <c r="FWD92" s="87" t="s">
        <v>618</v>
      </c>
      <c r="FWE92" s="83"/>
      <c r="FWT92" s="87" t="s">
        <v>618</v>
      </c>
      <c r="FWU92" s="83"/>
      <c r="FXJ92" s="87" t="s">
        <v>618</v>
      </c>
      <c r="FXK92" s="83"/>
      <c r="FXZ92" s="87" t="s">
        <v>618</v>
      </c>
      <c r="FYA92" s="83"/>
      <c r="FYP92" s="87" t="s">
        <v>618</v>
      </c>
      <c r="FYQ92" s="83"/>
      <c r="FZF92" s="87" t="s">
        <v>618</v>
      </c>
      <c r="FZG92" s="83"/>
      <c r="FZV92" s="87" t="s">
        <v>618</v>
      </c>
      <c r="FZW92" s="83"/>
      <c r="GAL92" s="87" t="s">
        <v>618</v>
      </c>
      <c r="GAM92" s="83"/>
      <c r="GBB92" s="87" t="s">
        <v>618</v>
      </c>
      <c r="GBC92" s="83"/>
      <c r="GBR92" s="87" t="s">
        <v>618</v>
      </c>
      <c r="GBS92" s="83"/>
      <c r="GCH92" s="87" t="s">
        <v>618</v>
      </c>
      <c r="GCI92" s="83"/>
      <c r="GCX92" s="87" t="s">
        <v>618</v>
      </c>
      <c r="GCY92" s="83"/>
      <c r="GDN92" s="87" t="s">
        <v>618</v>
      </c>
      <c r="GDO92" s="83"/>
      <c r="GED92" s="87" t="s">
        <v>618</v>
      </c>
      <c r="GEE92" s="83"/>
      <c r="GET92" s="87" t="s">
        <v>618</v>
      </c>
      <c r="GEU92" s="83"/>
      <c r="GFJ92" s="87" t="s">
        <v>618</v>
      </c>
      <c r="GFK92" s="83"/>
      <c r="GFZ92" s="87" t="s">
        <v>618</v>
      </c>
      <c r="GGA92" s="83"/>
      <c r="GGP92" s="87" t="s">
        <v>618</v>
      </c>
      <c r="GGQ92" s="83"/>
      <c r="GHF92" s="87" t="s">
        <v>618</v>
      </c>
      <c r="GHG92" s="83"/>
      <c r="GHV92" s="87" t="s">
        <v>618</v>
      </c>
      <c r="GHW92" s="83"/>
      <c r="GIL92" s="87" t="s">
        <v>618</v>
      </c>
      <c r="GIM92" s="83"/>
      <c r="GJB92" s="87" t="s">
        <v>618</v>
      </c>
      <c r="GJC92" s="83"/>
      <c r="GJR92" s="87" t="s">
        <v>618</v>
      </c>
      <c r="GJS92" s="83"/>
      <c r="GKH92" s="87" t="s">
        <v>618</v>
      </c>
      <c r="GKI92" s="83"/>
      <c r="GKX92" s="87" t="s">
        <v>618</v>
      </c>
      <c r="GKY92" s="83"/>
      <c r="GLN92" s="87" t="s">
        <v>618</v>
      </c>
      <c r="GLO92" s="83"/>
      <c r="GMD92" s="87" t="s">
        <v>618</v>
      </c>
      <c r="GME92" s="83"/>
      <c r="GMT92" s="87" t="s">
        <v>618</v>
      </c>
      <c r="GMU92" s="83"/>
      <c r="GNJ92" s="87" t="s">
        <v>618</v>
      </c>
      <c r="GNK92" s="83"/>
      <c r="GNZ92" s="87" t="s">
        <v>618</v>
      </c>
      <c r="GOA92" s="83"/>
      <c r="GOP92" s="87" t="s">
        <v>618</v>
      </c>
      <c r="GOQ92" s="83"/>
      <c r="GPF92" s="87" t="s">
        <v>618</v>
      </c>
      <c r="GPG92" s="83"/>
      <c r="GPV92" s="87" t="s">
        <v>618</v>
      </c>
      <c r="GPW92" s="83"/>
      <c r="GQL92" s="87" t="s">
        <v>618</v>
      </c>
      <c r="GQM92" s="83"/>
      <c r="GRB92" s="87" t="s">
        <v>618</v>
      </c>
      <c r="GRC92" s="83"/>
      <c r="GRR92" s="87" t="s">
        <v>618</v>
      </c>
      <c r="GRS92" s="83"/>
      <c r="GSH92" s="87" t="s">
        <v>618</v>
      </c>
      <c r="GSI92" s="83"/>
      <c r="GSX92" s="87" t="s">
        <v>618</v>
      </c>
      <c r="GSY92" s="83"/>
      <c r="GTN92" s="87" t="s">
        <v>618</v>
      </c>
      <c r="GTO92" s="83"/>
      <c r="GUD92" s="87" t="s">
        <v>618</v>
      </c>
      <c r="GUE92" s="83"/>
      <c r="GUT92" s="87" t="s">
        <v>618</v>
      </c>
      <c r="GUU92" s="83"/>
      <c r="GVJ92" s="87" t="s">
        <v>618</v>
      </c>
      <c r="GVK92" s="83"/>
      <c r="GVZ92" s="87" t="s">
        <v>618</v>
      </c>
      <c r="GWA92" s="83"/>
      <c r="GWP92" s="87" t="s">
        <v>618</v>
      </c>
      <c r="GWQ92" s="83"/>
      <c r="GXF92" s="87" t="s">
        <v>618</v>
      </c>
      <c r="GXG92" s="83"/>
      <c r="GXV92" s="87" t="s">
        <v>618</v>
      </c>
      <c r="GXW92" s="83"/>
      <c r="GYL92" s="87" t="s">
        <v>618</v>
      </c>
      <c r="GYM92" s="83"/>
      <c r="GZB92" s="87" t="s">
        <v>618</v>
      </c>
      <c r="GZC92" s="83"/>
      <c r="GZR92" s="87" t="s">
        <v>618</v>
      </c>
      <c r="GZS92" s="83"/>
      <c r="HAH92" s="87" t="s">
        <v>618</v>
      </c>
      <c r="HAI92" s="83"/>
      <c r="HAX92" s="87" t="s">
        <v>618</v>
      </c>
      <c r="HAY92" s="83"/>
      <c r="HBN92" s="87" t="s">
        <v>618</v>
      </c>
      <c r="HBO92" s="83"/>
      <c r="HCD92" s="87" t="s">
        <v>618</v>
      </c>
      <c r="HCE92" s="83"/>
      <c r="HCT92" s="87" t="s">
        <v>618</v>
      </c>
      <c r="HCU92" s="83"/>
      <c r="HDJ92" s="87" t="s">
        <v>618</v>
      </c>
      <c r="HDK92" s="83"/>
      <c r="HDZ92" s="87" t="s">
        <v>618</v>
      </c>
      <c r="HEA92" s="83"/>
      <c r="HEP92" s="87" t="s">
        <v>618</v>
      </c>
      <c r="HEQ92" s="83"/>
      <c r="HFF92" s="87" t="s">
        <v>618</v>
      </c>
      <c r="HFG92" s="83"/>
      <c r="HFV92" s="87" t="s">
        <v>618</v>
      </c>
      <c r="HFW92" s="83"/>
      <c r="HGL92" s="87" t="s">
        <v>618</v>
      </c>
      <c r="HGM92" s="83"/>
      <c r="HHB92" s="87" t="s">
        <v>618</v>
      </c>
      <c r="HHC92" s="83"/>
      <c r="HHR92" s="87" t="s">
        <v>618</v>
      </c>
      <c r="HHS92" s="83"/>
      <c r="HIH92" s="87" t="s">
        <v>618</v>
      </c>
      <c r="HII92" s="83"/>
      <c r="HIX92" s="87" t="s">
        <v>618</v>
      </c>
      <c r="HIY92" s="83"/>
      <c r="HJN92" s="87" t="s">
        <v>618</v>
      </c>
      <c r="HJO92" s="83"/>
      <c r="HKD92" s="87" t="s">
        <v>618</v>
      </c>
      <c r="HKE92" s="83"/>
      <c r="HKT92" s="87" t="s">
        <v>618</v>
      </c>
      <c r="HKU92" s="83"/>
      <c r="HLJ92" s="87" t="s">
        <v>618</v>
      </c>
      <c r="HLK92" s="83"/>
      <c r="HLZ92" s="87" t="s">
        <v>618</v>
      </c>
      <c r="HMA92" s="83"/>
      <c r="HMP92" s="87" t="s">
        <v>618</v>
      </c>
      <c r="HMQ92" s="83"/>
      <c r="HNF92" s="87" t="s">
        <v>618</v>
      </c>
      <c r="HNG92" s="83"/>
      <c r="HNV92" s="87" t="s">
        <v>618</v>
      </c>
      <c r="HNW92" s="83"/>
      <c r="HOL92" s="87" t="s">
        <v>618</v>
      </c>
      <c r="HOM92" s="83"/>
      <c r="HPB92" s="87" t="s">
        <v>618</v>
      </c>
      <c r="HPC92" s="83"/>
      <c r="HPR92" s="87" t="s">
        <v>618</v>
      </c>
      <c r="HPS92" s="83"/>
      <c r="HQH92" s="87" t="s">
        <v>618</v>
      </c>
      <c r="HQI92" s="83"/>
      <c r="HQX92" s="87" t="s">
        <v>618</v>
      </c>
      <c r="HQY92" s="83"/>
      <c r="HRN92" s="87" t="s">
        <v>618</v>
      </c>
      <c r="HRO92" s="83"/>
      <c r="HSD92" s="87" t="s">
        <v>618</v>
      </c>
      <c r="HSE92" s="83"/>
      <c r="HST92" s="87" t="s">
        <v>618</v>
      </c>
      <c r="HSU92" s="83"/>
      <c r="HTJ92" s="87" t="s">
        <v>618</v>
      </c>
      <c r="HTK92" s="83"/>
      <c r="HTZ92" s="87" t="s">
        <v>618</v>
      </c>
      <c r="HUA92" s="83"/>
      <c r="HUP92" s="87" t="s">
        <v>618</v>
      </c>
      <c r="HUQ92" s="83"/>
      <c r="HVF92" s="87" t="s">
        <v>618</v>
      </c>
      <c r="HVG92" s="83"/>
      <c r="HVV92" s="87" t="s">
        <v>618</v>
      </c>
      <c r="HVW92" s="83"/>
      <c r="HWL92" s="87" t="s">
        <v>618</v>
      </c>
      <c r="HWM92" s="83"/>
      <c r="HXB92" s="87" t="s">
        <v>618</v>
      </c>
      <c r="HXC92" s="83"/>
      <c r="HXR92" s="87" t="s">
        <v>618</v>
      </c>
      <c r="HXS92" s="83"/>
      <c r="HYH92" s="87" t="s">
        <v>618</v>
      </c>
      <c r="HYI92" s="83"/>
      <c r="HYX92" s="87" t="s">
        <v>618</v>
      </c>
      <c r="HYY92" s="83"/>
      <c r="HZN92" s="87" t="s">
        <v>618</v>
      </c>
      <c r="HZO92" s="83"/>
      <c r="IAD92" s="87" t="s">
        <v>618</v>
      </c>
      <c r="IAE92" s="83"/>
      <c r="IAT92" s="87" t="s">
        <v>618</v>
      </c>
      <c r="IAU92" s="83"/>
      <c r="IBJ92" s="87" t="s">
        <v>618</v>
      </c>
      <c r="IBK92" s="83"/>
      <c r="IBZ92" s="87" t="s">
        <v>618</v>
      </c>
      <c r="ICA92" s="83"/>
      <c r="ICP92" s="87" t="s">
        <v>618</v>
      </c>
      <c r="ICQ92" s="83"/>
      <c r="IDF92" s="87" t="s">
        <v>618</v>
      </c>
      <c r="IDG92" s="83"/>
      <c r="IDV92" s="87" t="s">
        <v>618</v>
      </c>
      <c r="IDW92" s="83"/>
      <c r="IEL92" s="87" t="s">
        <v>618</v>
      </c>
      <c r="IEM92" s="83"/>
      <c r="IFB92" s="87" t="s">
        <v>618</v>
      </c>
      <c r="IFC92" s="83"/>
      <c r="IFR92" s="87" t="s">
        <v>618</v>
      </c>
      <c r="IFS92" s="83"/>
      <c r="IGH92" s="87" t="s">
        <v>618</v>
      </c>
      <c r="IGI92" s="83"/>
      <c r="IGX92" s="87" t="s">
        <v>618</v>
      </c>
      <c r="IGY92" s="83"/>
      <c r="IHN92" s="87" t="s">
        <v>618</v>
      </c>
      <c r="IHO92" s="83"/>
      <c r="IID92" s="87" t="s">
        <v>618</v>
      </c>
      <c r="IIE92" s="83"/>
      <c r="IIT92" s="87" t="s">
        <v>618</v>
      </c>
      <c r="IIU92" s="83"/>
      <c r="IJJ92" s="87" t="s">
        <v>618</v>
      </c>
      <c r="IJK92" s="83"/>
      <c r="IJZ92" s="87" t="s">
        <v>618</v>
      </c>
      <c r="IKA92" s="83"/>
      <c r="IKP92" s="87" t="s">
        <v>618</v>
      </c>
      <c r="IKQ92" s="83"/>
      <c r="ILF92" s="87" t="s">
        <v>618</v>
      </c>
      <c r="ILG92" s="83"/>
      <c r="ILV92" s="87" t="s">
        <v>618</v>
      </c>
      <c r="ILW92" s="83"/>
      <c r="IML92" s="87" t="s">
        <v>618</v>
      </c>
      <c r="IMM92" s="83"/>
      <c r="INB92" s="87" t="s">
        <v>618</v>
      </c>
      <c r="INC92" s="83"/>
      <c r="INR92" s="87" t="s">
        <v>618</v>
      </c>
      <c r="INS92" s="83"/>
      <c r="IOH92" s="87" t="s">
        <v>618</v>
      </c>
      <c r="IOI92" s="83"/>
      <c r="IOX92" s="87" t="s">
        <v>618</v>
      </c>
      <c r="IOY92" s="83"/>
      <c r="IPN92" s="87" t="s">
        <v>618</v>
      </c>
      <c r="IPO92" s="83"/>
      <c r="IQD92" s="87" t="s">
        <v>618</v>
      </c>
      <c r="IQE92" s="83"/>
      <c r="IQT92" s="87" t="s">
        <v>618</v>
      </c>
      <c r="IQU92" s="83"/>
      <c r="IRJ92" s="87" t="s">
        <v>618</v>
      </c>
      <c r="IRK92" s="83"/>
      <c r="IRZ92" s="87" t="s">
        <v>618</v>
      </c>
      <c r="ISA92" s="83"/>
      <c r="ISP92" s="87" t="s">
        <v>618</v>
      </c>
      <c r="ISQ92" s="83"/>
      <c r="ITF92" s="87" t="s">
        <v>618</v>
      </c>
      <c r="ITG92" s="83"/>
      <c r="ITV92" s="87" t="s">
        <v>618</v>
      </c>
      <c r="ITW92" s="83"/>
      <c r="IUL92" s="87" t="s">
        <v>618</v>
      </c>
      <c r="IUM92" s="83"/>
      <c r="IVB92" s="87" t="s">
        <v>618</v>
      </c>
      <c r="IVC92" s="83"/>
      <c r="IVR92" s="87" t="s">
        <v>618</v>
      </c>
      <c r="IVS92" s="83"/>
      <c r="IWH92" s="87" t="s">
        <v>618</v>
      </c>
      <c r="IWI92" s="83"/>
      <c r="IWX92" s="87" t="s">
        <v>618</v>
      </c>
      <c r="IWY92" s="83"/>
      <c r="IXN92" s="87" t="s">
        <v>618</v>
      </c>
      <c r="IXO92" s="83"/>
      <c r="IYD92" s="87" t="s">
        <v>618</v>
      </c>
      <c r="IYE92" s="83"/>
      <c r="IYT92" s="87" t="s">
        <v>618</v>
      </c>
      <c r="IYU92" s="83"/>
      <c r="IZJ92" s="87" t="s">
        <v>618</v>
      </c>
      <c r="IZK92" s="83"/>
      <c r="IZZ92" s="87" t="s">
        <v>618</v>
      </c>
      <c r="JAA92" s="83"/>
      <c r="JAP92" s="87" t="s">
        <v>618</v>
      </c>
      <c r="JAQ92" s="83"/>
      <c r="JBF92" s="87" t="s">
        <v>618</v>
      </c>
      <c r="JBG92" s="83"/>
      <c r="JBV92" s="87" t="s">
        <v>618</v>
      </c>
      <c r="JBW92" s="83"/>
      <c r="JCL92" s="87" t="s">
        <v>618</v>
      </c>
      <c r="JCM92" s="83"/>
      <c r="JDB92" s="87" t="s">
        <v>618</v>
      </c>
      <c r="JDC92" s="83"/>
      <c r="JDR92" s="87" t="s">
        <v>618</v>
      </c>
      <c r="JDS92" s="83"/>
      <c r="JEH92" s="87" t="s">
        <v>618</v>
      </c>
      <c r="JEI92" s="83"/>
      <c r="JEX92" s="87" t="s">
        <v>618</v>
      </c>
      <c r="JEY92" s="83"/>
      <c r="JFN92" s="87" t="s">
        <v>618</v>
      </c>
      <c r="JFO92" s="83"/>
      <c r="JGD92" s="87" t="s">
        <v>618</v>
      </c>
      <c r="JGE92" s="83"/>
      <c r="JGT92" s="87" t="s">
        <v>618</v>
      </c>
      <c r="JGU92" s="83"/>
      <c r="JHJ92" s="87" t="s">
        <v>618</v>
      </c>
      <c r="JHK92" s="83"/>
      <c r="JHZ92" s="87" t="s">
        <v>618</v>
      </c>
      <c r="JIA92" s="83"/>
      <c r="JIP92" s="87" t="s">
        <v>618</v>
      </c>
      <c r="JIQ92" s="83"/>
      <c r="JJF92" s="87" t="s">
        <v>618</v>
      </c>
      <c r="JJG92" s="83"/>
      <c r="JJV92" s="87" t="s">
        <v>618</v>
      </c>
      <c r="JJW92" s="83"/>
      <c r="JKL92" s="87" t="s">
        <v>618</v>
      </c>
      <c r="JKM92" s="83"/>
      <c r="JLB92" s="87" t="s">
        <v>618</v>
      </c>
      <c r="JLC92" s="83"/>
      <c r="JLR92" s="87" t="s">
        <v>618</v>
      </c>
      <c r="JLS92" s="83"/>
      <c r="JMH92" s="87" t="s">
        <v>618</v>
      </c>
      <c r="JMI92" s="83"/>
      <c r="JMX92" s="87" t="s">
        <v>618</v>
      </c>
      <c r="JMY92" s="83"/>
      <c r="JNN92" s="87" t="s">
        <v>618</v>
      </c>
      <c r="JNO92" s="83"/>
      <c r="JOD92" s="87" t="s">
        <v>618</v>
      </c>
      <c r="JOE92" s="83"/>
      <c r="JOT92" s="87" t="s">
        <v>618</v>
      </c>
      <c r="JOU92" s="83"/>
      <c r="JPJ92" s="87" t="s">
        <v>618</v>
      </c>
      <c r="JPK92" s="83"/>
      <c r="JPZ92" s="87" t="s">
        <v>618</v>
      </c>
      <c r="JQA92" s="83"/>
      <c r="JQP92" s="87" t="s">
        <v>618</v>
      </c>
      <c r="JQQ92" s="83"/>
      <c r="JRF92" s="87" t="s">
        <v>618</v>
      </c>
      <c r="JRG92" s="83"/>
      <c r="JRV92" s="87" t="s">
        <v>618</v>
      </c>
      <c r="JRW92" s="83"/>
      <c r="JSL92" s="87" t="s">
        <v>618</v>
      </c>
      <c r="JSM92" s="83"/>
      <c r="JTB92" s="87" t="s">
        <v>618</v>
      </c>
      <c r="JTC92" s="83"/>
      <c r="JTR92" s="87" t="s">
        <v>618</v>
      </c>
      <c r="JTS92" s="83"/>
      <c r="JUH92" s="87" t="s">
        <v>618</v>
      </c>
      <c r="JUI92" s="83"/>
      <c r="JUX92" s="87" t="s">
        <v>618</v>
      </c>
      <c r="JUY92" s="83"/>
      <c r="JVN92" s="87" t="s">
        <v>618</v>
      </c>
      <c r="JVO92" s="83"/>
      <c r="JWD92" s="87" t="s">
        <v>618</v>
      </c>
      <c r="JWE92" s="83"/>
      <c r="JWT92" s="87" t="s">
        <v>618</v>
      </c>
      <c r="JWU92" s="83"/>
      <c r="JXJ92" s="87" t="s">
        <v>618</v>
      </c>
      <c r="JXK92" s="83"/>
      <c r="JXZ92" s="87" t="s">
        <v>618</v>
      </c>
      <c r="JYA92" s="83"/>
      <c r="JYP92" s="87" t="s">
        <v>618</v>
      </c>
      <c r="JYQ92" s="83"/>
      <c r="JZF92" s="87" t="s">
        <v>618</v>
      </c>
      <c r="JZG92" s="83"/>
      <c r="JZV92" s="87" t="s">
        <v>618</v>
      </c>
      <c r="JZW92" s="83"/>
      <c r="KAL92" s="87" t="s">
        <v>618</v>
      </c>
      <c r="KAM92" s="83"/>
      <c r="KBB92" s="87" t="s">
        <v>618</v>
      </c>
      <c r="KBC92" s="83"/>
      <c r="KBR92" s="87" t="s">
        <v>618</v>
      </c>
      <c r="KBS92" s="83"/>
      <c r="KCH92" s="87" t="s">
        <v>618</v>
      </c>
      <c r="KCI92" s="83"/>
      <c r="KCX92" s="87" t="s">
        <v>618</v>
      </c>
      <c r="KCY92" s="83"/>
      <c r="KDN92" s="87" t="s">
        <v>618</v>
      </c>
      <c r="KDO92" s="83"/>
      <c r="KED92" s="87" t="s">
        <v>618</v>
      </c>
      <c r="KEE92" s="83"/>
      <c r="KET92" s="87" t="s">
        <v>618</v>
      </c>
      <c r="KEU92" s="83"/>
      <c r="KFJ92" s="87" t="s">
        <v>618</v>
      </c>
      <c r="KFK92" s="83"/>
      <c r="KFZ92" s="87" t="s">
        <v>618</v>
      </c>
      <c r="KGA92" s="83"/>
      <c r="KGP92" s="87" t="s">
        <v>618</v>
      </c>
      <c r="KGQ92" s="83"/>
      <c r="KHF92" s="87" t="s">
        <v>618</v>
      </c>
      <c r="KHG92" s="83"/>
      <c r="KHV92" s="87" t="s">
        <v>618</v>
      </c>
      <c r="KHW92" s="83"/>
      <c r="KIL92" s="87" t="s">
        <v>618</v>
      </c>
      <c r="KIM92" s="83"/>
      <c r="KJB92" s="87" t="s">
        <v>618</v>
      </c>
      <c r="KJC92" s="83"/>
      <c r="KJR92" s="87" t="s">
        <v>618</v>
      </c>
      <c r="KJS92" s="83"/>
      <c r="KKH92" s="87" t="s">
        <v>618</v>
      </c>
      <c r="KKI92" s="83"/>
      <c r="KKX92" s="87" t="s">
        <v>618</v>
      </c>
      <c r="KKY92" s="83"/>
      <c r="KLN92" s="87" t="s">
        <v>618</v>
      </c>
      <c r="KLO92" s="83"/>
      <c r="KMD92" s="87" t="s">
        <v>618</v>
      </c>
      <c r="KME92" s="83"/>
      <c r="KMT92" s="87" t="s">
        <v>618</v>
      </c>
      <c r="KMU92" s="83"/>
      <c r="KNJ92" s="87" t="s">
        <v>618</v>
      </c>
      <c r="KNK92" s="83"/>
      <c r="KNZ92" s="87" t="s">
        <v>618</v>
      </c>
      <c r="KOA92" s="83"/>
      <c r="KOP92" s="87" t="s">
        <v>618</v>
      </c>
      <c r="KOQ92" s="83"/>
      <c r="KPF92" s="87" t="s">
        <v>618</v>
      </c>
      <c r="KPG92" s="83"/>
      <c r="KPV92" s="87" t="s">
        <v>618</v>
      </c>
      <c r="KPW92" s="83"/>
      <c r="KQL92" s="87" t="s">
        <v>618</v>
      </c>
      <c r="KQM92" s="83"/>
      <c r="KRB92" s="87" t="s">
        <v>618</v>
      </c>
      <c r="KRC92" s="83"/>
      <c r="KRR92" s="87" t="s">
        <v>618</v>
      </c>
      <c r="KRS92" s="83"/>
      <c r="KSH92" s="87" t="s">
        <v>618</v>
      </c>
      <c r="KSI92" s="83"/>
      <c r="KSX92" s="87" t="s">
        <v>618</v>
      </c>
      <c r="KSY92" s="83"/>
      <c r="KTN92" s="87" t="s">
        <v>618</v>
      </c>
      <c r="KTO92" s="83"/>
      <c r="KUD92" s="87" t="s">
        <v>618</v>
      </c>
      <c r="KUE92" s="83"/>
      <c r="KUT92" s="87" t="s">
        <v>618</v>
      </c>
      <c r="KUU92" s="83"/>
      <c r="KVJ92" s="87" t="s">
        <v>618</v>
      </c>
      <c r="KVK92" s="83"/>
      <c r="KVZ92" s="87" t="s">
        <v>618</v>
      </c>
      <c r="KWA92" s="83"/>
      <c r="KWP92" s="87" t="s">
        <v>618</v>
      </c>
      <c r="KWQ92" s="83"/>
      <c r="KXF92" s="87" t="s">
        <v>618</v>
      </c>
      <c r="KXG92" s="83"/>
      <c r="KXV92" s="87" t="s">
        <v>618</v>
      </c>
      <c r="KXW92" s="83"/>
      <c r="KYL92" s="87" t="s">
        <v>618</v>
      </c>
      <c r="KYM92" s="83"/>
      <c r="KZB92" s="87" t="s">
        <v>618</v>
      </c>
      <c r="KZC92" s="83"/>
      <c r="KZR92" s="87" t="s">
        <v>618</v>
      </c>
      <c r="KZS92" s="83"/>
      <c r="LAH92" s="87" t="s">
        <v>618</v>
      </c>
      <c r="LAI92" s="83"/>
      <c r="LAX92" s="87" t="s">
        <v>618</v>
      </c>
      <c r="LAY92" s="83"/>
      <c r="LBN92" s="87" t="s">
        <v>618</v>
      </c>
      <c r="LBO92" s="83"/>
      <c r="LCD92" s="87" t="s">
        <v>618</v>
      </c>
      <c r="LCE92" s="83"/>
      <c r="LCT92" s="87" t="s">
        <v>618</v>
      </c>
      <c r="LCU92" s="83"/>
      <c r="LDJ92" s="87" t="s">
        <v>618</v>
      </c>
      <c r="LDK92" s="83"/>
      <c r="LDZ92" s="87" t="s">
        <v>618</v>
      </c>
      <c r="LEA92" s="83"/>
      <c r="LEP92" s="87" t="s">
        <v>618</v>
      </c>
      <c r="LEQ92" s="83"/>
      <c r="LFF92" s="87" t="s">
        <v>618</v>
      </c>
      <c r="LFG92" s="83"/>
      <c r="LFV92" s="87" t="s">
        <v>618</v>
      </c>
      <c r="LFW92" s="83"/>
      <c r="LGL92" s="87" t="s">
        <v>618</v>
      </c>
      <c r="LGM92" s="83"/>
      <c r="LHB92" s="87" t="s">
        <v>618</v>
      </c>
      <c r="LHC92" s="83"/>
      <c r="LHR92" s="87" t="s">
        <v>618</v>
      </c>
      <c r="LHS92" s="83"/>
      <c r="LIH92" s="87" t="s">
        <v>618</v>
      </c>
      <c r="LII92" s="83"/>
      <c r="LIX92" s="87" t="s">
        <v>618</v>
      </c>
      <c r="LIY92" s="83"/>
      <c r="LJN92" s="87" t="s">
        <v>618</v>
      </c>
      <c r="LJO92" s="83"/>
      <c r="LKD92" s="87" t="s">
        <v>618</v>
      </c>
      <c r="LKE92" s="83"/>
      <c r="LKT92" s="87" t="s">
        <v>618</v>
      </c>
      <c r="LKU92" s="83"/>
      <c r="LLJ92" s="87" t="s">
        <v>618</v>
      </c>
      <c r="LLK92" s="83"/>
      <c r="LLZ92" s="87" t="s">
        <v>618</v>
      </c>
      <c r="LMA92" s="83"/>
      <c r="LMP92" s="87" t="s">
        <v>618</v>
      </c>
      <c r="LMQ92" s="83"/>
      <c r="LNF92" s="87" t="s">
        <v>618</v>
      </c>
      <c r="LNG92" s="83"/>
      <c r="LNV92" s="87" t="s">
        <v>618</v>
      </c>
      <c r="LNW92" s="83"/>
      <c r="LOL92" s="87" t="s">
        <v>618</v>
      </c>
      <c r="LOM92" s="83"/>
      <c r="LPB92" s="87" t="s">
        <v>618</v>
      </c>
      <c r="LPC92" s="83"/>
      <c r="LPR92" s="87" t="s">
        <v>618</v>
      </c>
      <c r="LPS92" s="83"/>
      <c r="LQH92" s="87" t="s">
        <v>618</v>
      </c>
      <c r="LQI92" s="83"/>
      <c r="LQX92" s="87" t="s">
        <v>618</v>
      </c>
      <c r="LQY92" s="83"/>
      <c r="LRN92" s="87" t="s">
        <v>618</v>
      </c>
      <c r="LRO92" s="83"/>
      <c r="LSD92" s="87" t="s">
        <v>618</v>
      </c>
      <c r="LSE92" s="83"/>
      <c r="LST92" s="87" t="s">
        <v>618</v>
      </c>
      <c r="LSU92" s="83"/>
      <c r="LTJ92" s="87" t="s">
        <v>618</v>
      </c>
      <c r="LTK92" s="83"/>
      <c r="LTZ92" s="87" t="s">
        <v>618</v>
      </c>
      <c r="LUA92" s="83"/>
      <c r="LUP92" s="87" t="s">
        <v>618</v>
      </c>
      <c r="LUQ92" s="83"/>
      <c r="LVF92" s="87" t="s">
        <v>618</v>
      </c>
      <c r="LVG92" s="83"/>
      <c r="LVV92" s="87" t="s">
        <v>618</v>
      </c>
      <c r="LVW92" s="83"/>
      <c r="LWL92" s="87" t="s">
        <v>618</v>
      </c>
      <c r="LWM92" s="83"/>
      <c r="LXB92" s="87" t="s">
        <v>618</v>
      </c>
      <c r="LXC92" s="83"/>
      <c r="LXR92" s="87" t="s">
        <v>618</v>
      </c>
      <c r="LXS92" s="83"/>
      <c r="LYH92" s="87" t="s">
        <v>618</v>
      </c>
      <c r="LYI92" s="83"/>
      <c r="LYX92" s="87" t="s">
        <v>618</v>
      </c>
      <c r="LYY92" s="83"/>
      <c r="LZN92" s="87" t="s">
        <v>618</v>
      </c>
      <c r="LZO92" s="83"/>
      <c r="MAD92" s="87" t="s">
        <v>618</v>
      </c>
      <c r="MAE92" s="83"/>
      <c r="MAT92" s="87" t="s">
        <v>618</v>
      </c>
      <c r="MAU92" s="83"/>
      <c r="MBJ92" s="87" t="s">
        <v>618</v>
      </c>
      <c r="MBK92" s="83"/>
      <c r="MBZ92" s="87" t="s">
        <v>618</v>
      </c>
      <c r="MCA92" s="83"/>
      <c r="MCP92" s="87" t="s">
        <v>618</v>
      </c>
      <c r="MCQ92" s="83"/>
      <c r="MDF92" s="87" t="s">
        <v>618</v>
      </c>
      <c r="MDG92" s="83"/>
      <c r="MDV92" s="87" t="s">
        <v>618</v>
      </c>
      <c r="MDW92" s="83"/>
      <c r="MEL92" s="87" t="s">
        <v>618</v>
      </c>
      <c r="MEM92" s="83"/>
      <c r="MFB92" s="87" t="s">
        <v>618</v>
      </c>
      <c r="MFC92" s="83"/>
      <c r="MFR92" s="87" t="s">
        <v>618</v>
      </c>
      <c r="MFS92" s="83"/>
      <c r="MGH92" s="87" t="s">
        <v>618</v>
      </c>
      <c r="MGI92" s="83"/>
      <c r="MGX92" s="87" t="s">
        <v>618</v>
      </c>
      <c r="MGY92" s="83"/>
      <c r="MHN92" s="87" t="s">
        <v>618</v>
      </c>
      <c r="MHO92" s="83"/>
      <c r="MID92" s="87" t="s">
        <v>618</v>
      </c>
      <c r="MIE92" s="83"/>
      <c r="MIT92" s="87" t="s">
        <v>618</v>
      </c>
      <c r="MIU92" s="83"/>
      <c r="MJJ92" s="87" t="s">
        <v>618</v>
      </c>
      <c r="MJK92" s="83"/>
      <c r="MJZ92" s="87" t="s">
        <v>618</v>
      </c>
      <c r="MKA92" s="83"/>
      <c r="MKP92" s="87" t="s">
        <v>618</v>
      </c>
      <c r="MKQ92" s="83"/>
      <c r="MLF92" s="87" t="s">
        <v>618</v>
      </c>
      <c r="MLG92" s="83"/>
      <c r="MLV92" s="87" t="s">
        <v>618</v>
      </c>
      <c r="MLW92" s="83"/>
      <c r="MML92" s="87" t="s">
        <v>618</v>
      </c>
      <c r="MMM92" s="83"/>
      <c r="MNB92" s="87" t="s">
        <v>618</v>
      </c>
      <c r="MNC92" s="83"/>
      <c r="MNR92" s="87" t="s">
        <v>618</v>
      </c>
      <c r="MNS92" s="83"/>
      <c r="MOH92" s="87" t="s">
        <v>618</v>
      </c>
      <c r="MOI92" s="83"/>
      <c r="MOX92" s="87" t="s">
        <v>618</v>
      </c>
      <c r="MOY92" s="83"/>
      <c r="MPN92" s="87" t="s">
        <v>618</v>
      </c>
      <c r="MPO92" s="83"/>
      <c r="MQD92" s="87" t="s">
        <v>618</v>
      </c>
      <c r="MQE92" s="83"/>
      <c r="MQT92" s="87" t="s">
        <v>618</v>
      </c>
      <c r="MQU92" s="83"/>
      <c r="MRJ92" s="87" t="s">
        <v>618</v>
      </c>
      <c r="MRK92" s="83"/>
      <c r="MRZ92" s="87" t="s">
        <v>618</v>
      </c>
      <c r="MSA92" s="83"/>
      <c r="MSP92" s="87" t="s">
        <v>618</v>
      </c>
      <c r="MSQ92" s="83"/>
      <c r="MTF92" s="87" t="s">
        <v>618</v>
      </c>
      <c r="MTG92" s="83"/>
      <c r="MTV92" s="87" t="s">
        <v>618</v>
      </c>
      <c r="MTW92" s="83"/>
      <c r="MUL92" s="87" t="s">
        <v>618</v>
      </c>
      <c r="MUM92" s="83"/>
      <c r="MVB92" s="87" t="s">
        <v>618</v>
      </c>
      <c r="MVC92" s="83"/>
      <c r="MVR92" s="87" t="s">
        <v>618</v>
      </c>
      <c r="MVS92" s="83"/>
      <c r="MWH92" s="87" t="s">
        <v>618</v>
      </c>
      <c r="MWI92" s="83"/>
      <c r="MWX92" s="87" t="s">
        <v>618</v>
      </c>
      <c r="MWY92" s="83"/>
      <c r="MXN92" s="87" t="s">
        <v>618</v>
      </c>
      <c r="MXO92" s="83"/>
      <c r="MYD92" s="87" t="s">
        <v>618</v>
      </c>
      <c r="MYE92" s="83"/>
      <c r="MYT92" s="87" t="s">
        <v>618</v>
      </c>
      <c r="MYU92" s="83"/>
      <c r="MZJ92" s="87" t="s">
        <v>618</v>
      </c>
      <c r="MZK92" s="83"/>
      <c r="MZZ92" s="87" t="s">
        <v>618</v>
      </c>
      <c r="NAA92" s="83"/>
      <c r="NAP92" s="87" t="s">
        <v>618</v>
      </c>
      <c r="NAQ92" s="83"/>
      <c r="NBF92" s="87" t="s">
        <v>618</v>
      </c>
      <c r="NBG92" s="83"/>
      <c r="NBV92" s="87" t="s">
        <v>618</v>
      </c>
      <c r="NBW92" s="83"/>
      <c r="NCL92" s="87" t="s">
        <v>618</v>
      </c>
      <c r="NCM92" s="83"/>
      <c r="NDB92" s="87" t="s">
        <v>618</v>
      </c>
      <c r="NDC92" s="83"/>
      <c r="NDR92" s="87" t="s">
        <v>618</v>
      </c>
      <c r="NDS92" s="83"/>
      <c r="NEH92" s="87" t="s">
        <v>618</v>
      </c>
      <c r="NEI92" s="83"/>
      <c r="NEX92" s="87" t="s">
        <v>618</v>
      </c>
      <c r="NEY92" s="83"/>
      <c r="NFN92" s="87" t="s">
        <v>618</v>
      </c>
      <c r="NFO92" s="83"/>
      <c r="NGD92" s="87" t="s">
        <v>618</v>
      </c>
      <c r="NGE92" s="83"/>
      <c r="NGT92" s="87" t="s">
        <v>618</v>
      </c>
      <c r="NGU92" s="83"/>
      <c r="NHJ92" s="87" t="s">
        <v>618</v>
      </c>
      <c r="NHK92" s="83"/>
      <c r="NHZ92" s="87" t="s">
        <v>618</v>
      </c>
      <c r="NIA92" s="83"/>
      <c r="NIP92" s="87" t="s">
        <v>618</v>
      </c>
      <c r="NIQ92" s="83"/>
      <c r="NJF92" s="87" t="s">
        <v>618</v>
      </c>
      <c r="NJG92" s="83"/>
      <c r="NJV92" s="87" t="s">
        <v>618</v>
      </c>
      <c r="NJW92" s="83"/>
      <c r="NKL92" s="87" t="s">
        <v>618</v>
      </c>
      <c r="NKM92" s="83"/>
      <c r="NLB92" s="87" t="s">
        <v>618</v>
      </c>
      <c r="NLC92" s="83"/>
      <c r="NLR92" s="87" t="s">
        <v>618</v>
      </c>
      <c r="NLS92" s="83"/>
      <c r="NMH92" s="87" t="s">
        <v>618</v>
      </c>
      <c r="NMI92" s="83"/>
      <c r="NMX92" s="87" t="s">
        <v>618</v>
      </c>
      <c r="NMY92" s="83"/>
      <c r="NNN92" s="87" t="s">
        <v>618</v>
      </c>
      <c r="NNO92" s="83"/>
      <c r="NOD92" s="87" t="s">
        <v>618</v>
      </c>
      <c r="NOE92" s="83"/>
      <c r="NOT92" s="87" t="s">
        <v>618</v>
      </c>
      <c r="NOU92" s="83"/>
      <c r="NPJ92" s="87" t="s">
        <v>618</v>
      </c>
      <c r="NPK92" s="83"/>
      <c r="NPZ92" s="87" t="s">
        <v>618</v>
      </c>
      <c r="NQA92" s="83"/>
      <c r="NQP92" s="87" t="s">
        <v>618</v>
      </c>
      <c r="NQQ92" s="83"/>
      <c r="NRF92" s="87" t="s">
        <v>618</v>
      </c>
      <c r="NRG92" s="83"/>
      <c r="NRV92" s="87" t="s">
        <v>618</v>
      </c>
      <c r="NRW92" s="83"/>
      <c r="NSL92" s="87" t="s">
        <v>618</v>
      </c>
      <c r="NSM92" s="83"/>
      <c r="NTB92" s="87" t="s">
        <v>618</v>
      </c>
      <c r="NTC92" s="83"/>
      <c r="NTR92" s="87" t="s">
        <v>618</v>
      </c>
      <c r="NTS92" s="83"/>
      <c r="NUH92" s="87" t="s">
        <v>618</v>
      </c>
      <c r="NUI92" s="83"/>
      <c r="NUX92" s="87" t="s">
        <v>618</v>
      </c>
      <c r="NUY92" s="83"/>
      <c r="NVN92" s="87" t="s">
        <v>618</v>
      </c>
      <c r="NVO92" s="83"/>
      <c r="NWD92" s="87" t="s">
        <v>618</v>
      </c>
      <c r="NWE92" s="83"/>
      <c r="NWT92" s="87" t="s">
        <v>618</v>
      </c>
      <c r="NWU92" s="83"/>
      <c r="NXJ92" s="87" t="s">
        <v>618</v>
      </c>
      <c r="NXK92" s="83"/>
      <c r="NXZ92" s="87" t="s">
        <v>618</v>
      </c>
      <c r="NYA92" s="83"/>
      <c r="NYP92" s="87" t="s">
        <v>618</v>
      </c>
      <c r="NYQ92" s="83"/>
      <c r="NZF92" s="87" t="s">
        <v>618</v>
      </c>
      <c r="NZG92" s="83"/>
      <c r="NZV92" s="87" t="s">
        <v>618</v>
      </c>
      <c r="NZW92" s="83"/>
      <c r="OAL92" s="87" t="s">
        <v>618</v>
      </c>
      <c r="OAM92" s="83"/>
      <c r="OBB92" s="87" t="s">
        <v>618</v>
      </c>
      <c r="OBC92" s="83"/>
      <c r="OBR92" s="87" t="s">
        <v>618</v>
      </c>
      <c r="OBS92" s="83"/>
      <c r="OCH92" s="87" t="s">
        <v>618</v>
      </c>
      <c r="OCI92" s="83"/>
      <c r="OCX92" s="87" t="s">
        <v>618</v>
      </c>
      <c r="OCY92" s="83"/>
      <c r="ODN92" s="87" t="s">
        <v>618</v>
      </c>
      <c r="ODO92" s="83"/>
      <c r="OED92" s="87" t="s">
        <v>618</v>
      </c>
      <c r="OEE92" s="83"/>
      <c r="OET92" s="87" t="s">
        <v>618</v>
      </c>
      <c r="OEU92" s="83"/>
      <c r="OFJ92" s="87" t="s">
        <v>618</v>
      </c>
      <c r="OFK92" s="83"/>
      <c r="OFZ92" s="87" t="s">
        <v>618</v>
      </c>
      <c r="OGA92" s="83"/>
      <c r="OGP92" s="87" t="s">
        <v>618</v>
      </c>
      <c r="OGQ92" s="83"/>
      <c r="OHF92" s="87" t="s">
        <v>618</v>
      </c>
      <c r="OHG92" s="83"/>
      <c r="OHV92" s="87" t="s">
        <v>618</v>
      </c>
      <c r="OHW92" s="83"/>
      <c r="OIL92" s="87" t="s">
        <v>618</v>
      </c>
      <c r="OIM92" s="83"/>
      <c r="OJB92" s="87" t="s">
        <v>618</v>
      </c>
      <c r="OJC92" s="83"/>
      <c r="OJR92" s="87" t="s">
        <v>618</v>
      </c>
      <c r="OJS92" s="83"/>
      <c r="OKH92" s="87" t="s">
        <v>618</v>
      </c>
      <c r="OKI92" s="83"/>
      <c r="OKX92" s="87" t="s">
        <v>618</v>
      </c>
      <c r="OKY92" s="83"/>
      <c r="OLN92" s="87" t="s">
        <v>618</v>
      </c>
      <c r="OLO92" s="83"/>
      <c r="OMD92" s="87" t="s">
        <v>618</v>
      </c>
      <c r="OME92" s="83"/>
      <c r="OMT92" s="87" t="s">
        <v>618</v>
      </c>
      <c r="OMU92" s="83"/>
      <c r="ONJ92" s="87" t="s">
        <v>618</v>
      </c>
      <c r="ONK92" s="83"/>
      <c r="ONZ92" s="87" t="s">
        <v>618</v>
      </c>
      <c r="OOA92" s="83"/>
      <c r="OOP92" s="87" t="s">
        <v>618</v>
      </c>
      <c r="OOQ92" s="83"/>
      <c r="OPF92" s="87" t="s">
        <v>618</v>
      </c>
      <c r="OPG92" s="83"/>
      <c r="OPV92" s="87" t="s">
        <v>618</v>
      </c>
      <c r="OPW92" s="83"/>
      <c r="OQL92" s="87" t="s">
        <v>618</v>
      </c>
      <c r="OQM92" s="83"/>
      <c r="ORB92" s="87" t="s">
        <v>618</v>
      </c>
      <c r="ORC92" s="83"/>
      <c r="ORR92" s="87" t="s">
        <v>618</v>
      </c>
      <c r="ORS92" s="83"/>
      <c r="OSH92" s="87" t="s">
        <v>618</v>
      </c>
      <c r="OSI92" s="83"/>
      <c r="OSX92" s="87" t="s">
        <v>618</v>
      </c>
      <c r="OSY92" s="83"/>
      <c r="OTN92" s="87" t="s">
        <v>618</v>
      </c>
      <c r="OTO92" s="83"/>
      <c r="OUD92" s="87" t="s">
        <v>618</v>
      </c>
      <c r="OUE92" s="83"/>
      <c r="OUT92" s="87" t="s">
        <v>618</v>
      </c>
      <c r="OUU92" s="83"/>
      <c r="OVJ92" s="87" t="s">
        <v>618</v>
      </c>
      <c r="OVK92" s="83"/>
      <c r="OVZ92" s="87" t="s">
        <v>618</v>
      </c>
      <c r="OWA92" s="83"/>
      <c r="OWP92" s="87" t="s">
        <v>618</v>
      </c>
      <c r="OWQ92" s="83"/>
      <c r="OXF92" s="87" t="s">
        <v>618</v>
      </c>
      <c r="OXG92" s="83"/>
      <c r="OXV92" s="87" t="s">
        <v>618</v>
      </c>
      <c r="OXW92" s="83"/>
      <c r="OYL92" s="87" t="s">
        <v>618</v>
      </c>
      <c r="OYM92" s="83"/>
      <c r="OZB92" s="87" t="s">
        <v>618</v>
      </c>
      <c r="OZC92" s="83"/>
      <c r="OZR92" s="87" t="s">
        <v>618</v>
      </c>
      <c r="OZS92" s="83"/>
      <c r="PAH92" s="87" t="s">
        <v>618</v>
      </c>
      <c r="PAI92" s="83"/>
      <c r="PAX92" s="87" t="s">
        <v>618</v>
      </c>
      <c r="PAY92" s="83"/>
      <c r="PBN92" s="87" t="s">
        <v>618</v>
      </c>
      <c r="PBO92" s="83"/>
      <c r="PCD92" s="87" t="s">
        <v>618</v>
      </c>
      <c r="PCE92" s="83"/>
      <c r="PCT92" s="87" t="s">
        <v>618</v>
      </c>
      <c r="PCU92" s="83"/>
      <c r="PDJ92" s="87" t="s">
        <v>618</v>
      </c>
      <c r="PDK92" s="83"/>
      <c r="PDZ92" s="87" t="s">
        <v>618</v>
      </c>
      <c r="PEA92" s="83"/>
      <c r="PEP92" s="87" t="s">
        <v>618</v>
      </c>
      <c r="PEQ92" s="83"/>
      <c r="PFF92" s="87" t="s">
        <v>618</v>
      </c>
      <c r="PFG92" s="83"/>
      <c r="PFV92" s="87" t="s">
        <v>618</v>
      </c>
      <c r="PFW92" s="83"/>
      <c r="PGL92" s="87" t="s">
        <v>618</v>
      </c>
      <c r="PGM92" s="83"/>
      <c r="PHB92" s="87" t="s">
        <v>618</v>
      </c>
      <c r="PHC92" s="83"/>
      <c r="PHR92" s="87" t="s">
        <v>618</v>
      </c>
      <c r="PHS92" s="83"/>
      <c r="PIH92" s="87" t="s">
        <v>618</v>
      </c>
      <c r="PII92" s="83"/>
      <c r="PIX92" s="87" t="s">
        <v>618</v>
      </c>
      <c r="PIY92" s="83"/>
      <c r="PJN92" s="87" t="s">
        <v>618</v>
      </c>
      <c r="PJO92" s="83"/>
      <c r="PKD92" s="87" t="s">
        <v>618</v>
      </c>
      <c r="PKE92" s="83"/>
      <c r="PKT92" s="87" t="s">
        <v>618</v>
      </c>
      <c r="PKU92" s="83"/>
      <c r="PLJ92" s="87" t="s">
        <v>618</v>
      </c>
      <c r="PLK92" s="83"/>
      <c r="PLZ92" s="87" t="s">
        <v>618</v>
      </c>
      <c r="PMA92" s="83"/>
      <c r="PMP92" s="87" t="s">
        <v>618</v>
      </c>
      <c r="PMQ92" s="83"/>
      <c r="PNF92" s="87" t="s">
        <v>618</v>
      </c>
      <c r="PNG92" s="83"/>
      <c r="PNV92" s="87" t="s">
        <v>618</v>
      </c>
      <c r="PNW92" s="83"/>
      <c r="POL92" s="87" t="s">
        <v>618</v>
      </c>
      <c r="POM92" s="83"/>
      <c r="PPB92" s="87" t="s">
        <v>618</v>
      </c>
      <c r="PPC92" s="83"/>
      <c r="PPR92" s="87" t="s">
        <v>618</v>
      </c>
      <c r="PPS92" s="83"/>
      <c r="PQH92" s="87" t="s">
        <v>618</v>
      </c>
      <c r="PQI92" s="83"/>
      <c r="PQX92" s="87" t="s">
        <v>618</v>
      </c>
      <c r="PQY92" s="83"/>
      <c r="PRN92" s="87" t="s">
        <v>618</v>
      </c>
      <c r="PRO92" s="83"/>
      <c r="PSD92" s="87" t="s">
        <v>618</v>
      </c>
      <c r="PSE92" s="83"/>
      <c r="PST92" s="87" t="s">
        <v>618</v>
      </c>
      <c r="PSU92" s="83"/>
      <c r="PTJ92" s="87" t="s">
        <v>618</v>
      </c>
      <c r="PTK92" s="83"/>
      <c r="PTZ92" s="87" t="s">
        <v>618</v>
      </c>
      <c r="PUA92" s="83"/>
      <c r="PUP92" s="87" t="s">
        <v>618</v>
      </c>
      <c r="PUQ92" s="83"/>
      <c r="PVF92" s="87" t="s">
        <v>618</v>
      </c>
      <c r="PVG92" s="83"/>
      <c r="PVV92" s="87" t="s">
        <v>618</v>
      </c>
      <c r="PVW92" s="83"/>
      <c r="PWL92" s="87" t="s">
        <v>618</v>
      </c>
      <c r="PWM92" s="83"/>
      <c r="PXB92" s="87" t="s">
        <v>618</v>
      </c>
      <c r="PXC92" s="83"/>
      <c r="PXR92" s="87" t="s">
        <v>618</v>
      </c>
      <c r="PXS92" s="83"/>
      <c r="PYH92" s="87" t="s">
        <v>618</v>
      </c>
      <c r="PYI92" s="83"/>
      <c r="PYX92" s="87" t="s">
        <v>618</v>
      </c>
      <c r="PYY92" s="83"/>
      <c r="PZN92" s="87" t="s">
        <v>618</v>
      </c>
      <c r="PZO92" s="83"/>
      <c r="QAD92" s="87" t="s">
        <v>618</v>
      </c>
      <c r="QAE92" s="83"/>
      <c r="QAT92" s="87" t="s">
        <v>618</v>
      </c>
      <c r="QAU92" s="83"/>
      <c r="QBJ92" s="87" t="s">
        <v>618</v>
      </c>
      <c r="QBK92" s="83"/>
      <c r="QBZ92" s="87" t="s">
        <v>618</v>
      </c>
      <c r="QCA92" s="83"/>
      <c r="QCP92" s="87" t="s">
        <v>618</v>
      </c>
      <c r="QCQ92" s="83"/>
      <c r="QDF92" s="87" t="s">
        <v>618</v>
      </c>
      <c r="QDG92" s="83"/>
      <c r="QDV92" s="87" t="s">
        <v>618</v>
      </c>
      <c r="QDW92" s="83"/>
      <c r="QEL92" s="87" t="s">
        <v>618</v>
      </c>
      <c r="QEM92" s="83"/>
      <c r="QFB92" s="87" t="s">
        <v>618</v>
      </c>
      <c r="QFC92" s="83"/>
      <c r="QFR92" s="87" t="s">
        <v>618</v>
      </c>
      <c r="QFS92" s="83"/>
      <c r="QGH92" s="87" t="s">
        <v>618</v>
      </c>
      <c r="QGI92" s="83"/>
      <c r="QGX92" s="87" t="s">
        <v>618</v>
      </c>
      <c r="QGY92" s="83"/>
      <c r="QHN92" s="87" t="s">
        <v>618</v>
      </c>
      <c r="QHO92" s="83"/>
      <c r="QID92" s="87" t="s">
        <v>618</v>
      </c>
      <c r="QIE92" s="83"/>
      <c r="QIT92" s="87" t="s">
        <v>618</v>
      </c>
      <c r="QIU92" s="83"/>
      <c r="QJJ92" s="87" t="s">
        <v>618</v>
      </c>
      <c r="QJK92" s="83"/>
      <c r="QJZ92" s="87" t="s">
        <v>618</v>
      </c>
      <c r="QKA92" s="83"/>
      <c r="QKP92" s="87" t="s">
        <v>618</v>
      </c>
      <c r="QKQ92" s="83"/>
      <c r="QLF92" s="87" t="s">
        <v>618</v>
      </c>
      <c r="QLG92" s="83"/>
      <c r="QLV92" s="87" t="s">
        <v>618</v>
      </c>
      <c r="QLW92" s="83"/>
      <c r="QML92" s="87" t="s">
        <v>618</v>
      </c>
      <c r="QMM92" s="83"/>
      <c r="QNB92" s="87" t="s">
        <v>618</v>
      </c>
      <c r="QNC92" s="83"/>
      <c r="QNR92" s="87" t="s">
        <v>618</v>
      </c>
      <c r="QNS92" s="83"/>
      <c r="QOH92" s="87" t="s">
        <v>618</v>
      </c>
      <c r="QOI92" s="83"/>
      <c r="QOX92" s="87" t="s">
        <v>618</v>
      </c>
      <c r="QOY92" s="83"/>
      <c r="QPN92" s="87" t="s">
        <v>618</v>
      </c>
      <c r="QPO92" s="83"/>
      <c r="QQD92" s="87" t="s">
        <v>618</v>
      </c>
      <c r="QQE92" s="83"/>
      <c r="QQT92" s="87" t="s">
        <v>618</v>
      </c>
      <c r="QQU92" s="83"/>
      <c r="QRJ92" s="87" t="s">
        <v>618</v>
      </c>
      <c r="QRK92" s="83"/>
      <c r="QRZ92" s="87" t="s">
        <v>618</v>
      </c>
      <c r="QSA92" s="83"/>
      <c r="QSP92" s="87" t="s">
        <v>618</v>
      </c>
      <c r="QSQ92" s="83"/>
      <c r="QTF92" s="87" t="s">
        <v>618</v>
      </c>
      <c r="QTG92" s="83"/>
      <c r="QTV92" s="87" t="s">
        <v>618</v>
      </c>
      <c r="QTW92" s="83"/>
      <c r="QUL92" s="87" t="s">
        <v>618</v>
      </c>
      <c r="QUM92" s="83"/>
      <c r="QVB92" s="87" t="s">
        <v>618</v>
      </c>
      <c r="QVC92" s="83"/>
      <c r="QVR92" s="87" t="s">
        <v>618</v>
      </c>
      <c r="QVS92" s="83"/>
      <c r="QWH92" s="87" t="s">
        <v>618</v>
      </c>
      <c r="QWI92" s="83"/>
      <c r="QWX92" s="87" t="s">
        <v>618</v>
      </c>
      <c r="QWY92" s="83"/>
      <c r="QXN92" s="87" t="s">
        <v>618</v>
      </c>
      <c r="QXO92" s="83"/>
      <c r="QYD92" s="87" t="s">
        <v>618</v>
      </c>
      <c r="QYE92" s="83"/>
      <c r="QYT92" s="87" t="s">
        <v>618</v>
      </c>
      <c r="QYU92" s="83"/>
      <c r="QZJ92" s="87" t="s">
        <v>618</v>
      </c>
      <c r="QZK92" s="83"/>
      <c r="QZZ92" s="87" t="s">
        <v>618</v>
      </c>
      <c r="RAA92" s="83"/>
      <c r="RAP92" s="87" t="s">
        <v>618</v>
      </c>
      <c r="RAQ92" s="83"/>
      <c r="RBF92" s="87" t="s">
        <v>618</v>
      </c>
      <c r="RBG92" s="83"/>
      <c r="RBV92" s="87" t="s">
        <v>618</v>
      </c>
      <c r="RBW92" s="83"/>
      <c r="RCL92" s="87" t="s">
        <v>618</v>
      </c>
      <c r="RCM92" s="83"/>
      <c r="RDB92" s="87" t="s">
        <v>618</v>
      </c>
      <c r="RDC92" s="83"/>
      <c r="RDR92" s="87" t="s">
        <v>618</v>
      </c>
      <c r="RDS92" s="83"/>
      <c r="REH92" s="87" t="s">
        <v>618</v>
      </c>
      <c r="REI92" s="83"/>
      <c r="REX92" s="87" t="s">
        <v>618</v>
      </c>
      <c r="REY92" s="83"/>
      <c r="RFN92" s="87" t="s">
        <v>618</v>
      </c>
      <c r="RFO92" s="83"/>
      <c r="RGD92" s="87" t="s">
        <v>618</v>
      </c>
      <c r="RGE92" s="83"/>
      <c r="RGT92" s="87" t="s">
        <v>618</v>
      </c>
      <c r="RGU92" s="83"/>
      <c r="RHJ92" s="87" t="s">
        <v>618</v>
      </c>
      <c r="RHK92" s="83"/>
      <c r="RHZ92" s="87" t="s">
        <v>618</v>
      </c>
      <c r="RIA92" s="83"/>
      <c r="RIP92" s="87" t="s">
        <v>618</v>
      </c>
      <c r="RIQ92" s="83"/>
      <c r="RJF92" s="87" t="s">
        <v>618</v>
      </c>
      <c r="RJG92" s="83"/>
      <c r="RJV92" s="87" t="s">
        <v>618</v>
      </c>
      <c r="RJW92" s="83"/>
      <c r="RKL92" s="87" t="s">
        <v>618</v>
      </c>
      <c r="RKM92" s="83"/>
      <c r="RLB92" s="87" t="s">
        <v>618</v>
      </c>
      <c r="RLC92" s="83"/>
      <c r="RLR92" s="87" t="s">
        <v>618</v>
      </c>
      <c r="RLS92" s="83"/>
      <c r="RMH92" s="87" t="s">
        <v>618</v>
      </c>
      <c r="RMI92" s="83"/>
      <c r="RMX92" s="87" t="s">
        <v>618</v>
      </c>
      <c r="RMY92" s="83"/>
      <c r="RNN92" s="87" t="s">
        <v>618</v>
      </c>
      <c r="RNO92" s="83"/>
      <c r="ROD92" s="87" t="s">
        <v>618</v>
      </c>
      <c r="ROE92" s="83"/>
      <c r="ROT92" s="87" t="s">
        <v>618</v>
      </c>
      <c r="ROU92" s="83"/>
      <c r="RPJ92" s="87" t="s">
        <v>618</v>
      </c>
      <c r="RPK92" s="83"/>
      <c r="RPZ92" s="87" t="s">
        <v>618</v>
      </c>
      <c r="RQA92" s="83"/>
      <c r="RQP92" s="87" t="s">
        <v>618</v>
      </c>
      <c r="RQQ92" s="83"/>
      <c r="RRF92" s="87" t="s">
        <v>618</v>
      </c>
      <c r="RRG92" s="83"/>
      <c r="RRV92" s="87" t="s">
        <v>618</v>
      </c>
      <c r="RRW92" s="83"/>
      <c r="RSL92" s="87" t="s">
        <v>618</v>
      </c>
      <c r="RSM92" s="83"/>
      <c r="RTB92" s="87" t="s">
        <v>618</v>
      </c>
      <c r="RTC92" s="83"/>
      <c r="RTR92" s="87" t="s">
        <v>618</v>
      </c>
      <c r="RTS92" s="83"/>
      <c r="RUH92" s="87" t="s">
        <v>618</v>
      </c>
      <c r="RUI92" s="83"/>
      <c r="RUX92" s="87" t="s">
        <v>618</v>
      </c>
      <c r="RUY92" s="83"/>
      <c r="RVN92" s="87" t="s">
        <v>618</v>
      </c>
      <c r="RVO92" s="83"/>
      <c r="RWD92" s="87" t="s">
        <v>618</v>
      </c>
      <c r="RWE92" s="83"/>
      <c r="RWT92" s="87" t="s">
        <v>618</v>
      </c>
      <c r="RWU92" s="83"/>
      <c r="RXJ92" s="87" t="s">
        <v>618</v>
      </c>
      <c r="RXK92" s="83"/>
      <c r="RXZ92" s="87" t="s">
        <v>618</v>
      </c>
      <c r="RYA92" s="83"/>
      <c r="RYP92" s="87" t="s">
        <v>618</v>
      </c>
      <c r="RYQ92" s="83"/>
      <c r="RZF92" s="87" t="s">
        <v>618</v>
      </c>
      <c r="RZG92" s="83"/>
      <c r="RZV92" s="87" t="s">
        <v>618</v>
      </c>
      <c r="RZW92" s="83"/>
      <c r="SAL92" s="87" t="s">
        <v>618</v>
      </c>
      <c r="SAM92" s="83"/>
      <c r="SBB92" s="87" t="s">
        <v>618</v>
      </c>
      <c r="SBC92" s="83"/>
      <c r="SBR92" s="87" t="s">
        <v>618</v>
      </c>
      <c r="SBS92" s="83"/>
      <c r="SCH92" s="87" t="s">
        <v>618</v>
      </c>
      <c r="SCI92" s="83"/>
      <c r="SCX92" s="87" t="s">
        <v>618</v>
      </c>
      <c r="SCY92" s="83"/>
      <c r="SDN92" s="87" t="s">
        <v>618</v>
      </c>
      <c r="SDO92" s="83"/>
      <c r="SED92" s="87" t="s">
        <v>618</v>
      </c>
      <c r="SEE92" s="83"/>
      <c r="SET92" s="87" t="s">
        <v>618</v>
      </c>
      <c r="SEU92" s="83"/>
      <c r="SFJ92" s="87" t="s">
        <v>618</v>
      </c>
      <c r="SFK92" s="83"/>
      <c r="SFZ92" s="87" t="s">
        <v>618</v>
      </c>
      <c r="SGA92" s="83"/>
      <c r="SGP92" s="87" t="s">
        <v>618</v>
      </c>
      <c r="SGQ92" s="83"/>
      <c r="SHF92" s="87" t="s">
        <v>618</v>
      </c>
      <c r="SHG92" s="83"/>
      <c r="SHV92" s="87" t="s">
        <v>618</v>
      </c>
      <c r="SHW92" s="83"/>
      <c r="SIL92" s="87" t="s">
        <v>618</v>
      </c>
      <c r="SIM92" s="83"/>
      <c r="SJB92" s="87" t="s">
        <v>618</v>
      </c>
      <c r="SJC92" s="83"/>
      <c r="SJR92" s="87" t="s">
        <v>618</v>
      </c>
      <c r="SJS92" s="83"/>
      <c r="SKH92" s="87" t="s">
        <v>618</v>
      </c>
      <c r="SKI92" s="83"/>
      <c r="SKX92" s="87" t="s">
        <v>618</v>
      </c>
      <c r="SKY92" s="83"/>
      <c r="SLN92" s="87" t="s">
        <v>618</v>
      </c>
      <c r="SLO92" s="83"/>
      <c r="SMD92" s="87" t="s">
        <v>618</v>
      </c>
      <c r="SME92" s="83"/>
      <c r="SMT92" s="87" t="s">
        <v>618</v>
      </c>
      <c r="SMU92" s="83"/>
      <c r="SNJ92" s="87" t="s">
        <v>618</v>
      </c>
      <c r="SNK92" s="83"/>
      <c r="SNZ92" s="87" t="s">
        <v>618</v>
      </c>
      <c r="SOA92" s="83"/>
      <c r="SOP92" s="87" t="s">
        <v>618</v>
      </c>
      <c r="SOQ92" s="83"/>
      <c r="SPF92" s="87" t="s">
        <v>618</v>
      </c>
      <c r="SPG92" s="83"/>
      <c r="SPV92" s="87" t="s">
        <v>618</v>
      </c>
      <c r="SPW92" s="83"/>
      <c r="SQL92" s="87" t="s">
        <v>618</v>
      </c>
      <c r="SQM92" s="83"/>
      <c r="SRB92" s="87" t="s">
        <v>618</v>
      </c>
      <c r="SRC92" s="83"/>
      <c r="SRR92" s="87" t="s">
        <v>618</v>
      </c>
      <c r="SRS92" s="83"/>
      <c r="SSH92" s="87" t="s">
        <v>618</v>
      </c>
      <c r="SSI92" s="83"/>
      <c r="SSX92" s="87" t="s">
        <v>618</v>
      </c>
      <c r="SSY92" s="83"/>
      <c r="STN92" s="87" t="s">
        <v>618</v>
      </c>
      <c r="STO92" s="83"/>
      <c r="SUD92" s="87" t="s">
        <v>618</v>
      </c>
      <c r="SUE92" s="83"/>
      <c r="SUT92" s="87" t="s">
        <v>618</v>
      </c>
      <c r="SUU92" s="83"/>
      <c r="SVJ92" s="87" t="s">
        <v>618</v>
      </c>
      <c r="SVK92" s="83"/>
      <c r="SVZ92" s="87" t="s">
        <v>618</v>
      </c>
      <c r="SWA92" s="83"/>
      <c r="SWP92" s="87" t="s">
        <v>618</v>
      </c>
      <c r="SWQ92" s="83"/>
      <c r="SXF92" s="87" t="s">
        <v>618</v>
      </c>
      <c r="SXG92" s="83"/>
      <c r="SXV92" s="87" t="s">
        <v>618</v>
      </c>
      <c r="SXW92" s="83"/>
      <c r="SYL92" s="87" t="s">
        <v>618</v>
      </c>
      <c r="SYM92" s="83"/>
      <c r="SZB92" s="87" t="s">
        <v>618</v>
      </c>
      <c r="SZC92" s="83"/>
      <c r="SZR92" s="87" t="s">
        <v>618</v>
      </c>
      <c r="SZS92" s="83"/>
      <c r="TAH92" s="87" t="s">
        <v>618</v>
      </c>
      <c r="TAI92" s="83"/>
      <c r="TAX92" s="87" t="s">
        <v>618</v>
      </c>
      <c r="TAY92" s="83"/>
      <c r="TBN92" s="87" t="s">
        <v>618</v>
      </c>
      <c r="TBO92" s="83"/>
      <c r="TCD92" s="87" t="s">
        <v>618</v>
      </c>
      <c r="TCE92" s="83"/>
      <c r="TCT92" s="87" t="s">
        <v>618</v>
      </c>
      <c r="TCU92" s="83"/>
      <c r="TDJ92" s="87" t="s">
        <v>618</v>
      </c>
      <c r="TDK92" s="83"/>
      <c r="TDZ92" s="87" t="s">
        <v>618</v>
      </c>
      <c r="TEA92" s="83"/>
      <c r="TEP92" s="87" t="s">
        <v>618</v>
      </c>
      <c r="TEQ92" s="83"/>
      <c r="TFF92" s="87" t="s">
        <v>618</v>
      </c>
      <c r="TFG92" s="83"/>
      <c r="TFV92" s="87" t="s">
        <v>618</v>
      </c>
      <c r="TFW92" s="83"/>
      <c r="TGL92" s="87" t="s">
        <v>618</v>
      </c>
      <c r="TGM92" s="83"/>
      <c r="THB92" s="87" t="s">
        <v>618</v>
      </c>
      <c r="THC92" s="83"/>
      <c r="THR92" s="87" t="s">
        <v>618</v>
      </c>
      <c r="THS92" s="83"/>
      <c r="TIH92" s="87" t="s">
        <v>618</v>
      </c>
      <c r="TII92" s="83"/>
      <c r="TIX92" s="87" t="s">
        <v>618</v>
      </c>
      <c r="TIY92" s="83"/>
      <c r="TJN92" s="87" t="s">
        <v>618</v>
      </c>
      <c r="TJO92" s="83"/>
      <c r="TKD92" s="87" t="s">
        <v>618</v>
      </c>
      <c r="TKE92" s="83"/>
      <c r="TKT92" s="87" t="s">
        <v>618</v>
      </c>
      <c r="TKU92" s="83"/>
      <c r="TLJ92" s="87" t="s">
        <v>618</v>
      </c>
      <c r="TLK92" s="83"/>
      <c r="TLZ92" s="87" t="s">
        <v>618</v>
      </c>
      <c r="TMA92" s="83"/>
      <c r="TMP92" s="87" t="s">
        <v>618</v>
      </c>
      <c r="TMQ92" s="83"/>
      <c r="TNF92" s="87" t="s">
        <v>618</v>
      </c>
      <c r="TNG92" s="83"/>
      <c r="TNV92" s="87" t="s">
        <v>618</v>
      </c>
      <c r="TNW92" s="83"/>
      <c r="TOL92" s="87" t="s">
        <v>618</v>
      </c>
      <c r="TOM92" s="83"/>
      <c r="TPB92" s="87" t="s">
        <v>618</v>
      </c>
      <c r="TPC92" s="83"/>
      <c r="TPR92" s="87" t="s">
        <v>618</v>
      </c>
      <c r="TPS92" s="83"/>
      <c r="TQH92" s="87" t="s">
        <v>618</v>
      </c>
      <c r="TQI92" s="83"/>
      <c r="TQX92" s="87" t="s">
        <v>618</v>
      </c>
      <c r="TQY92" s="83"/>
      <c r="TRN92" s="87" t="s">
        <v>618</v>
      </c>
      <c r="TRO92" s="83"/>
      <c r="TSD92" s="87" t="s">
        <v>618</v>
      </c>
      <c r="TSE92" s="83"/>
      <c r="TST92" s="87" t="s">
        <v>618</v>
      </c>
      <c r="TSU92" s="83"/>
      <c r="TTJ92" s="87" t="s">
        <v>618</v>
      </c>
      <c r="TTK92" s="83"/>
      <c r="TTZ92" s="87" t="s">
        <v>618</v>
      </c>
      <c r="TUA92" s="83"/>
      <c r="TUP92" s="87" t="s">
        <v>618</v>
      </c>
      <c r="TUQ92" s="83"/>
      <c r="TVF92" s="87" t="s">
        <v>618</v>
      </c>
      <c r="TVG92" s="83"/>
      <c r="TVV92" s="87" t="s">
        <v>618</v>
      </c>
      <c r="TVW92" s="83"/>
      <c r="TWL92" s="87" t="s">
        <v>618</v>
      </c>
      <c r="TWM92" s="83"/>
      <c r="TXB92" s="87" t="s">
        <v>618</v>
      </c>
      <c r="TXC92" s="83"/>
      <c r="TXR92" s="87" t="s">
        <v>618</v>
      </c>
      <c r="TXS92" s="83"/>
      <c r="TYH92" s="87" t="s">
        <v>618</v>
      </c>
      <c r="TYI92" s="83"/>
      <c r="TYX92" s="87" t="s">
        <v>618</v>
      </c>
      <c r="TYY92" s="83"/>
      <c r="TZN92" s="87" t="s">
        <v>618</v>
      </c>
      <c r="TZO92" s="83"/>
      <c r="UAD92" s="87" t="s">
        <v>618</v>
      </c>
      <c r="UAE92" s="83"/>
      <c r="UAT92" s="87" t="s">
        <v>618</v>
      </c>
      <c r="UAU92" s="83"/>
      <c r="UBJ92" s="87" t="s">
        <v>618</v>
      </c>
      <c r="UBK92" s="83"/>
      <c r="UBZ92" s="87" t="s">
        <v>618</v>
      </c>
      <c r="UCA92" s="83"/>
      <c r="UCP92" s="87" t="s">
        <v>618</v>
      </c>
      <c r="UCQ92" s="83"/>
      <c r="UDF92" s="87" t="s">
        <v>618</v>
      </c>
      <c r="UDG92" s="83"/>
      <c r="UDV92" s="87" t="s">
        <v>618</v>
      </c>
      <c r="UDW92" s="83"/>
      <c r="UEL92" s="87" t="s">
        <v>618</v>
      </c>
      <c r="UEM92" s="83"/>
      <c r="UFB92" s="87" t="s">
        <v>618</v>
      </c>
      <c r="UFC92" s="83"/>
      <c r="UFR92" s="87" t="s">
        <v>618</v>
      </c>
      <c r="UFS92" s="83"/>
      <c r="UGH92" s="87" t="s">
        <v>618</v>
      </c>
      <c r="UGI92" s="83"/>
      <c r="UGX92" s="87" t="s">
        <v>618</v>
      </c>
      <c r="UGY92" s="83"/>
      <c r="UHN92" s="87" t="s">
        <v>618</v>
      </c>
      <c r="UHO92" s="83"/>
      <c r="UID92" s="87" t="s">
        <v>618</v>
      </c>
      <c r="UIE92" s="83"/>
      <c r="UIT92" s="87" t="s">
        <v>618</v>
      </c>
      <c r="UIU92" s="83"/>
      <c r="UJJ92" s="87" t="s">
        <v>618</v>
      </c>
      <c r="UJK92" s="83"/>
      <c r="UJZ92" s="87" t="s">
        <v>618</v>
      </c>
      <c r="UKA92" s="83"/>
      <c r="UKP92" s="87" t="s">
        <v>618</v>
      </c>
      <c r="UKQ92" s="83"/>
      <c r="ULF92" s="87" t="s">
        <v>618</v>
      </c>
      <c r="ULG92" s="83"/>
      <c r="ULV92" s="87" t="s">
        <v>618</v>
      </c>
      <c r="ULW92" s="83"/>
      <c r="UML92" s="87" t="s">
        <v>618</v>
      </c>
      <c r="UMM92" s="83"/>
      <c r="UNB92" s="87" t="s">
        <v>618</v>
      </c>
      <c r="UNC92" s="83"/>
      <c r="UNR92" s="87" t="s">
        <v>618</v>
      </c>
      <c r="UNS92" s="83"/>
      <c r="UOH92" s="87" t="s">
        <v>618</v>
      </c>
      <c r="UOI92" s="83"/>
      <c r="UOX92" s="87" t="s">
        <v>618</v>
      </c>
      <c r="UOY92" s="83"/>
      <c r="UPN92" s="87" t="s">
        <v>618</v>
      </c>
      <c r="UPO92" s="83"/>
      <c r="UQD92" s="87" t="s">
        <v>618</v>
      </c>
      <c r="UQE92" s="83"/>
      <c r="UQT92" s="87" t="s">
        <v>618</v>
      </c>
      <c r="UQU92" s="83"/>
      <c r="URJ92" s="87" t="s">
        <v>618</v>
      </c>
      <c r="URK92" s="83"/>
      <c r="URZ92" s="87" t="s">
        <v>618</v>
      </c>
      <c r="USA92" s="83"/>
      <c r="USP92" s="87" t="s">
        <v>618</v>
      </c>
      <c r="USQ92" s="83"/>
      <c r="UTF92" s="87" t="s">
        <v>618</v>
      </c>
      <c r="UTG92" s="83"/>
      <c r="UTV92" s="87" t="s">
        <v>618</v>
      </c>
      <c r="UTW92" s="83"/>
      <c r="UUL92" s="87" t="s">
        <v>618</v>
      </c>
      <c r="UUM92" s="83"/>
      <c r="UVB92" s="87" t="s">
        <v>618</v>
      </c>
      <c r="UVC92" s="83"/>
      <c r="UVR92" s="87" t="s">
        <v>618</v>
      </c>
      <c r="UVS92" s="83"/>
      <c r="UWH92" s="87" t="s">
        <v>618</v>
      </c>
      <c r="UWI92" s="83"/>
      <c r="UWX92" s="87" t="s">
        <v>618</v>
      </c>
      <c r="UWY92" s="83"/>
      <c r="UXN92" s="87" t="s">
        <v>618</v>
      </c>
      <c r="UXO92" s="83"/>
      <c r="UYD92" s="87" t="s">
        <v>618</v>
      </c>
      <c r="UYE92" s="83"/>
      <c r="UYT92" s="87" t="s">
        <v>618</v>
      </c>
      <c r="UYU92" s="83"/>
      <c r="UZJ92" s="87" t="s">
        <v>618</v>
      </c>
      <c r="UZK92" s="83"/>
      <c r="UZZ92" s="87" t="s">
        <v>618</v>
      </c>
      <c r="VAA92" s="83"/>
      <c r="VAP92" s="87" t="s">
        <v>618</v>
      </c>
      <c r="VAQ92" s="83"/>
      <c r="VBF92" s="87" t="s">
        <v>618</v>
      </c>
      <c r="VBG92" s="83"/>
      <c r="VBV92" s="87" t="s">
        <v>618</v>
      </c>
      <c r="VBW92" s="83"/>
      <c r="VCL92" s="87" t="s">
        <v>618</v>
      </c>
      <c r="VCM92" s="83"/>
      <c r="VDB92" s="87" t="s">
        <v>618</v>
      </c>
      <c r="VDC92" s="83"/>
      <c r="VDR92" s="87" t="s">
        <v>618</v>
      </c>
      <c r="VDS92" s="83"/>
      <c r="VEH92" s="87" t="s">
        <v>618</v>
      </c>
      <c r="VEI92" s="83"/>
      <c r="VEX92" s="87" t="s">
        <v>618</v>
      </c>
      <c r="VEY92" s="83"/>
      <c r="VFN92" s="87" t="s">
        <v>618</v>
      </c>
      <c r="VFO92" s="83"/>
      <c r="VGD92" s="87" t="s">
        <v>618</v>
      </c>
      <c r="VGE92" s="83"/>
      <c r="VGT92" s="87" t="s">
        <v>618</v>
      </c>
      <c r="VGU92" s="83"/>
      <c r="VHJ92" s="87" t="s">
        <v>618</v>
      </c>
      <c r="VHK92" s="83"/>
      <c r="VHZ92" s="87" t="s">
        <v>618</v>
      </c>
      <c r="VIA92" s="83"/>
      <c r="VIP92" s="87" t="s">
        <v>618</v>
      </c>
      <c r="VIQ92" s="83"/>
      <c r="VJF92" s="87" t="s">
        <v>618</v>
      </c>
      <c r="VJG92" s="83"/>
      <c r="VJV92" s="87" t="s">
        <v>618</v>
      </c>
      <c r="VJW92" s="83"/>
      <c r="VKL92" s="87" t="s">
        <v>618</v>
      </c>
      <c r="VKM92" s="83"/>
      <c r="VLB92" s="87" t="s">
        <v>618</v>
      </c>
      <c r="VLC92" s="83"/>
      <c r="VLR92" s="87" t="s">
        <v>618</v>
      </c>
      <c r="VLS92" s="83"/>
      <c r="VMH92" s="87" t="s">
        <v>618</v>
      </c>
      <c r="VMI92" s="83"/>
      <c r="VMX92" s="87" t="s">
        <v>618</v>
      </c>
      <c r="VMY92" s="83"/>
      <c r="VNN92" s="87" t="s">
        <v>618</v>
      </c>
      <c r="VNO92" s="83"/>
      <c r="VOD92" s="87" t="s">
        <v>618</v>
      </c>
      <c r="VOE92" s="83"/>
      <c r="VOT92" s="87" t="s">
        <v>618</v>
      </c>
      <c r="VOU92" s="83"/>
      <c r="VPJ92" s="87" t="s">
        <v>618</v>
      </c>
      <c r="VPK92" s="83"/>
      <c r="VPZ92" s="87" t="s">
        <v>618</v>
      </c>
      <c r="VQA92" s="83"/>
      <c r="VQP92" s="87" t="s">
        <v>618</v>
      </c>
      <c r="VQQ92" s="83"/>
      <c r="VRF92" s="87" t="s">
        <v>618</v>
      </c>
      <c r="VRG92" s="83"/>
      <c r="VRV92" s="87" t="s">
        <v>618</v>
      </c>
      <c r="VRW92" s="83"/>
      <c r="VSL92" s="87" t="s">
        <v>618</v>
      </c>
      <c r="VSM92" s="83"/>
      <c r="VTB92" s="87" t="s">
        <v>618</v>
      </c>
      <c r="VTC92" s="83"/>
      <c r="VTR92" s="87" t="s">
        <v>618</v>
      </c>
      <c r="VTS92" s="83"/>
      <c r="VUH92" s="87" t="s">
        <v>618</v>
      </c>
      <c r="VUI92" s="83"/>
      <c r="VUX92" s="87" t="s">
        <v>618</v>
      </c>
      <c r="VUY92" s="83"/>
      <c r="VVN92" s="87" t="s">
        <v>618</v>
      </c>
      <c r="VVO92" s="83"/>
      <c r="VWD92" s="87" t="s">
        <v>618</v>
      </c>
      <c r="VWE92" s="83"/>
      <c r="VWT92" s="87" t="s">
        <v>618</v>
      </c>
      <c r="VWU92" s="83"/>
      <c r="VXJ92" s="87" t="s">
        <v>618</v>
      </c>
      <c r="VXK92" s="83"/>
      <c r="VXZ92" s="87" t="s">
        <v>618</v>
      </c>
      <c r="VYA92" s="83"/>
      <c r="VYP92" s="87" t="s">
        <v>618</v>
      </c>
      <c r="VYQ92" s="83"/>
      <c r="VZF92" s="87" t="s">
        <v>618</v>
      </c>
      <c r="VZG92" s="83"/>
      <c r="VZV92" s="87" t="s">
        <v>618</v>
      </c>
      <c r="VZW92" s="83"/>
      <c r="WAL92" s="87" t="s">
        <v>618</v>
      </c>
      <c r="WAM92" s="83"/>
      <c r="WBB92" s="87" t="s">
        <v>618</v>
      </c>
      <c r="WBC92" s="83"/>
      <c r="WBR92" s="87" t="s">
        <v>618</v>
      </c>
      <c r="WBS92" s="83"/>
      <c r="WCH92" s="87" t="s">
        <v>618</v>
      </c>
      <c r="WCI92" s="83"/>
      <c r="WCX92" s="87" t="s">
        <v>618</v>
      </c>
      <c r="WCY92" s="83"/>
      <c r="WDN92" s="87" t="s">
        <v>618</v>
      </c>
      <c r="WDO92" s="83"/>
      <c r="WED92" s="87" t="s">
        <v>618</v>
      </c>
      <c r="WEE92" s="83"/>
      <c r="WET92" s="87" t="s">
        <v>618</v>
      </c>
      <c r="WEU92" s="83"/>
      <c r="WFJ92" s="87" t="s">
        <v>618</v>
      </c>
      <c r="WFK92" s="83"/>
      <c r="WFZ92" s="87" t="s">
        <v>618</v>
      </c>
      <c r="WGA92" s="83"/>
      <c r="WGP92" s="87" t="s">
        <v>618</v>
      </c>
      <c r="WGQ92" s="83"/>
      <c r="WHF92" s="87" t="s">
        <v>618</v>
      </c>
      <c r="WHG92" s="83"/>
      <c r="WHV92" s="87" t="s">
        <v>618</v>
      </c>
      <c r="WHW92" s="83"/>
      <c r="WIL92" s="87" t="s">
        <v>618</v>
      </c>
      <c r="WIM92" s="83"/>
      <c r="WJB92" s="87" t="s">
        <v>618</v>
      </c>
      <c r="WJC92" s="83"/>
      <c r="WJR92" s="87" t="s">
        <v>618</v>
      </c>
      <c r="WJS92" s="83"/>
      <c r="WKH92" s="87" t="s">
        <v>618</v>
      </c>
      <c r="WKI92" s="83"/>
      <c r="WKX92" s="87" t="s">
        <v>618</v>
      </c>
      <c r="WKY92" s="83"/>
      <c r="WLN92" s="87" t="s">
        <v>618</v>
      </c>
      <c r="WLO92" s="83"/>
      <c r="WMD92" s="87" t="s">
        <v>618</v>
      </c>
      <c r="WME92" s="83"/>
      <c r="WMT92" s="87" t="s">
        <v>618</v>
      </c>
      <c r="WMU92" s="83"/>
      <c r="WNJ92" s="87" t="s">
        <v>618</v>
      </c>
      <c r="WNK92" s="83"/>
      <c r="WNZ92" s="87" t="s">
        <v>618</v>
      </c>
      <c r="WOA92" s="83"/>
      <c r="WOP92" s="87" t="s">
        <v>618</v>
      </c>
      <c r="WOQ92" s="83"/>
      <c r="WPF92" s="87" t="s">
        <v>618</v>
      </c>
      <c r="WPG92" s="83"/>
      <c r="WPV92" s="87" t="s">
        <v>618</v>
      </c>
      <c r="WPW92" s="83"/>
      <c r="WQL92" s="87" t="s">
        <v>618</v>
      </c>
      <c r="WQM92" s="83"/>
      <c r="WRB92" s="87" t="s">
        <v>618</v>
      </c>
      <c r="WRC92" s="83"/>
      <c r="WRR92" s="87" t="s">
        <v>618</v>
      </c>
      <c r="WRS92" s="83"/>
      <c r="WSH92" s="87" t="s">
        <v>618</v>
      </c>
      <c r="WSI92" s="83"/>
      <c r="WSX92" s="87" t="s">
        <v>618</v>
      </c>
      <c r="WSY92" s="83"/>
      <c r="WTN92" s="87" t="s">
        <v>618</v>
      </c>
      <c r="WTO92" s="83"/>
      <c r="WUD92" s="87" t="s">
        <v>618</v>
      </c>
      <c r="WUE92" s="83"/>
      <c r="WUT92" s="87" t="s">
        <v>618</v>
      </c>
      <c r="WUU92" s="83"/>
      <c r="WVJ92" s="87" t="s">
        <v>618</v>
      </c>
      <c r="WVK92" s="83"/>
      <c r="WVZ92" s="87" t="s">
        <v>618</v>
      </c>
      <c r="WWA92" s="83"/>
      <c r="WWP92" s="87" t="s">
        <v>618</v>
      </c>
      <c r="WWQ92" s="83"/>
      <c r="WXF92" s="87" t="s">
        <v>618</v>
      </c>
      <c r="WXG92" s="83"/>
      <c r="WXV92" s="87" t="s">
        <v>618</v>
      </c>
      <c r="WXW92" s="83"/>
      <c r="WYL92" s="87" t="s">
        <v>618</v>
      </c>
      <c r="WYM92" s="83"/>
      <c r="WZB92" s="87" t="s">
        <v>618</v>
      </c>
      <c r="WZC92" s="83"/>
      <c r="WZR92" s="87" t="s">
        <v>618</v>
      </c>
      <c r="WZS92" s="83"/>
      <c r="XAH92" s="87" t="s">
        <v>618</v>
      </c>
      <c r="XAI92" s="83"/>
      <c r="XAX92" s="87" t="s">
        <v>618</v>
      </c>
      <c r="XAY92" s="83"/>
      <c r="XBN92" s="87" t="s">
        <v>618</v>
      </c>
      <c r="XBO92" s="83"/>
      <c r="XCD92" s="87" t="s">
        <v>618</v>
      </c>
      <c r="XCE92" s="83"/>
      <c r="XCT92" s="87" t="s">
        <v>618</v>
      </c>
      <c r="XCU92" s="83"/>
      <c r="XDJ92" s="87" t="s">
        <v>618</v>
      </c>
      <c r="XDK92" s="83"/>
      <c r="XDZ92" s="87" t="s">
        <v>618</v>
      </c>
      <c r="XEA92" s="83"/>
      <c r="XEP92" s="87" t="s">
        <v>618</v>
      </c>
      <c r="XEQ92" s="83"/>
    </row>
    <row r="93" spans="2:1011 1026:2035 2050:3059 3074:4083 4098:5107 5122:6131 6146:7155 7170:8179 8194:9203 9218:10227 10242:11251 11266:12275 12290:13299 13314:14323 14338:15347 15362:16371" ht="13.5" x14ac:dyDescent="0.35">
      <c r="R93" s="87" t="s">
        <v>566</v>
      </c>
      <c r="S93" s="83"/>
      <c r="AH93" s="87" t="s">
        <v>566</v>
      </c>
      <c r="AI93" s="83"/>
      <c r="AX93" s="87" t="s">
        <v>566</v>
      </c>
      <c r="AY93" s="83"/>
      <c r="BN93" s="87" t="s">
        <v>566</v>
      </c>
      <c r="BO93" s="83"/>
      <c r="CD93" s="87" t="s">
        <v>566</v>
      </c>
      <c r="CE93" s="83"/>
      <c r="CT93" s="87" t="s">
        <v>566</v>
      </c>
      <c r="CU93" s="83"/>
      <c r="DJ93" s="87" t="s">
        <v>566</v>
      </c>
      <c r="DK93" s="83"/>
      <c r="DZ93" s="87" t="s">
        <v>566</v>
      </c>
      <c r="EA93" s="83"/>
      <c r="EP93" s="87" t="s">
        <v>566</v>
      </c>
      <c r="EQ93" s="83"/>
      <c r="FF93" s="87" t="s">
        <v>566</v>
      </c>
      <c r="FG93" s="83"/>
      <c r="FV93" s="87" t="s">
        <v>566</v>
      </c>
      <c r="FW93" s="83"/>
      <c r="GL93" s="87" t="s">
        <v>566</v>
      </c>
      <c r="GM93" s="83"/>
      <c r="HB93" s="87" t="s">
        <v>566</v>
      </c>
      <c r="HC93" s="83"/>
      <c r="HR93" s="87" t="s">
        <v>566</v>
      </c>
      <c r="HS93" s="83"/>
      <c r="IH93" s="87" t="s">
        <v>566</v>
      </c>
      <c r="II93" s="83"/>
      <c r="IX93" s="87" t="s">
        <v>566</v>
      </c>
      <c r="IY93" s="83"/>
      <c r="JN93" s="87" t="s">
        <v>566</v>
      </c>
      <c r="JO93" s="83"/>
      <c r="KD93" s="87" t="s">
        <v>566</v>
      </c>
      <c r="KE93" s="83"/>
      <c r="KT93" s="87" t="s">
        <v>566</v>
      </c>
      <c r="KU93" s="83"/>
      <c r="LJ93" s="87" t="s">
        <v>566</v>
      </c>
      <c r="LK93" s="83"/>
      <c r="LZ93" s="87" t="s">
        <v>566</v>
      </c>
      <c r="MA93" s="83"/>
      <c r="MP93" s="87" t="s">
        <v>566</v>
      </c>
      <c r="MQ93" s="83"/>
      <c r="NF93" s="87" t="s">
        <v>566</v>
      </c>
      <c r="NG93" s="83"/>
      <c r="NV93" s="87" t="s">
        <v>566</v>
      </c>
      <c r="NW93" s="83"/>
      <c r="OL93" s="87" t="s">
        <v>566</v>
      </c>
      <c r="OM93" s="83"/>
      <c r="PB93" s="87" t="s">
        <v>566</v>
      </c>
      <c r="PC93" s="83"/>
      <c r="PR93" s="87" t="s">
        <v>566</v>
      </c>
      <c r="PS93" s="83"/>
      <c r="QH93" s="87" t="s">
        <v>566</v>
      </c>
      <c r="QI93" s="83"/>
      <c r="QX93" s="87" t="s">
        <v>566</v>
      </c>
      <c r="QY93" s="83"/>
      <c r="RN93" s="87" t="s">
        <v>566</v>
      </c>
      <c r="RO93" s="83"/>
      <c r="SD93" s="87" t="s">
        <v>566</v>
      </c>
      <c r="SE93" s="83"/>
      <c r="ST93" s="87" t="s">
        <v>566</v>
      </c>
      <c r="SU93" s="83"/>
      <c r="TJ93" s="87" t="s">
        <v>566</v>
      </c>
      <c r="TK93" s="83"/>
      <c r="TZ93" s="87" t="s">
        <v>566</v>
      </c>
      <c r="UA93" s="83"/>
      <c r="UP93" s="87" t="s">
        <v>566</v>
      </c>
      <c r="UQ93" s="83"/>
      <c r="VF93" s="87" t="s">
        <v>566</v>
      </c>
      <c r="VG93" s="83"/>
      <c r="VV93" s="87" t="s">
        <v>566</v>
      </c>
      <c r="VW93" s="83"/>
      <c r="WL93" s="87" t="s">
        <v>566</v>
      </c>
      <c r="WM93" s="83"/>
      <c r="XB93" s="87" t="s">
        <v>566</v>
      </c>
      <c r="XC93" s="83"/>
      <c r="XR93" s="87" t="s">
        <v>566</v>
      </c>
      <c r="XS93" s="83"/>
      <c r="YH93" s="87" t="s">
        <v>566</v>
      </c>
      <c r="YI93" s="83"/>
      <c r="YX93" s="87" t="s">
        <v>566</v>
      </c>
      <c r="YY93" s="83"/>
      <c r="ZN93" s="87" t="s">
        <v>566</v>
      </c>
      <c r="ZO93" s="83"/>
      <c r="AAD93" s="87" t="s">
        <v>566</v>
      </c>
      <c r="AAE93" s="83"/>
      <c r="AAT93" s="87" t="s">
        <v>566</v>
      </c>
      <c r="AAU93" s="83"/>
      <c r="ABJ93" s="87" t="s">
        <v>566</v>
      </c>
      <c r="ABK93" s="83"/>
      <c r="ABZ93" s="87" t="s">
        <v>566</v>
      </c>
      <c r="ACA93" s="83"/>
      <c r="ACP93" s="87" t="s">
        <v>566</v>
      </c>
      <c r="ACQ93" s="83"/>
      <c r="ADF93" s="87" t="s">
        <v>566</v>
      </c>
      <c r="ADG93" s="83"/>
      <c r="ADV93" s="87" t="s">
        <v>566</v>
      </c>
      <c r="ADW93" s="83"/>
      <c r="AEL93" s="87" t="s">
        <v>566</v>
      </c>
      <c r="AEM93" s="83"/>
      <c r="AFB93" s="87" t="s">
        <v>566</v>
      </c>
      <c r="AFC93" s="83"/>
      <c r="AFR93" s="87" t="s">
        <v>566</v>
      </c>
      <c r="AFS93" s="83"/>
      <c r="AGH93" s="87" t="s">
        <v>566</v>
      </c>
      <c r="AGI93" s="83"/>
      <c r="AGX93" s="87" t="s">
        <v>566</v>
      </c>
      <c r="AGY93" s="83"/>
      <c r="AHN93" s="87" t="s">
        <v>566</v>
      </c>
      <c r="AHO93" s="83"/>
      <c r="AID93" s="87" t="s">
        <v>566</v>
      </c>
      <c r="AIE93" s="83"/>
      <c r="AIT93" s="87" t="s">
        <v>566</v>
      </c>
      <c r="AIU93" s="83"/>
      <c r="AJJ93" s="87" t="s">
        <v>566</v>
      </c>
      <c r="AJK93" s="83"/>
      <c r="AJZ93" s="87" t="s">
        <v>566</v>
      </c>
      <c r="AKA93" s="83"/>
      <c r="AKP93" s="87" t="s">
        <v>566</v>
      </c>
      <c r="AKQ93" s="83"/>
      <c r="ALF93" s="87" t="s">
        <v>566</v>
      </c>
      <c r="ALG93" s="83"/>
      <c r="ALV93" s="87" t="s">
        <v>566</v>
      </c>
      <c r="ALW93" s="83"/>
      <c r="AML93" s="87" t="s">
        <v>566</v>
      </c>
      <c r="AMM93" s="83"/>
      <c r="ANB93" s="87" t="s">
        <v>566</v>
      </c>
      <c r="ANC93" s="83"/>
      <c r="ANR93" s="87" t="s">
        <v>566</v>
      </c>
      <c r="ANS93" s="83"/>
      <c r="AOH93" s="87" t="s">
        <v>566</v>
      </c>
      <c r="AOI93" s="83"/>
      <c r="AOX93" s="87" t="s">
        <v>566</v>
      </c>
      <c r="AOY93" s="83"/>
      <c r="APN93" s="87" t="s">
        <v>566</v>
      </c>
      <c r="APO93" s="83"/>
      <c r="AQD93" s="87" t="s">
        <v>566</v>
      </c>
      <c r="AQE93" s="83"/>
      <c r="AQT93" s="87" t="s">
        <v>566</v>
      </c>
      <c r="AQU93" s="83"/>
      <c r="ARJ93" s="87" t="s">
        <v>566</v>
      </c>
      <c r="ARK93" s="83"/>
      <c r="ARZ93" s="87" t="s">
        <v>566</v>
      </c>
      <c r="ASA93" s="83"/>
      <c r="ASP93" s="87" t="s">
        <v>566</v>
      </c>
      <c r="ASQ93" s="83"/>
      <c r="ATF93" s="87" t="s">
        <v>566</v>
      </c>
      <c r="ATG93" s="83"/>
      <c r="ATV93" s="87" t="s">
        <v>566</v>
      </c>
      <c r="ATW93" s="83"/>
      <c r="AUL93" s="87" t="s">
        <v>566</v>
      </c>
      <c r="AUM93" s="83"/>
      <c r="AVB93" s="87" t="s">
        <v>566</v>
      </c>
      <c r="AVC93" s="83"/>
      <c r="AVR93" s="87" t="s">
        <v>566</v>
      </c>
      <c r="AVS93" s="83"/>
      <c r="AWH93" s="87" t="s">
        <v>566</v>
      </c>
      <c r="AWI93" s="83"/>
      <c r="AWX93" s="87" t="s">
        <v>566</v>
      </c>
      <c r="AWY93" s="83"/>
      <c r="AXN93" s="87" t="s">
        <v>566</v>
      </c>
      <c r="AXO93" s="83"/>
      <c r="AYD93" s="87" t="s">
        <v>566</v>
      </c>
      <c r="AYE93" s="83"/>
      <c r="AYT93" s="87" t="s">
        <v>566</v>
      </c>
      <c r="AYU93" s="83"/>
      <c r="AZJ93" s="87" t="s">
        <v>566</v>
      </c>
      <c r="AZK93" s="83"/>
      <c r="AZZ93" s="87" t="s">
        <v>566</v>
      </c>
      <c r="BAA93" s="83"/>
      <c r="BAP93" s="87" t="s">
        <v>566</v>
      </c>
      <c r="BAQ93" s="83"/>
      <c r="BBF93" s="87" t="s">
        <v>566</v>
      </c>
      <c r="BBG93" s="83"/>
      <c r="BBV93" s="87" t="s">
        <v>566</v>
      </c>
      <c r="BBW93" s="83"/>
      <c r="BCL93" s="87" t="s">
        <v>566</v>
      </c>
      <c r="BCM93" s="83"/>
      <c r="BDB93" s="87" t="s">
        <v>566</v>
      </c>
      <c r="BDC93" s="83"/>
      <c r="BDR93" s="87" t="s">
        <v>566</v>
      </c>
      <c r="BDS93" s="83"/>
      <c r="BEH93" s="87" t="s">
        <v>566</v>
      </c>
      <c r="BEI93" s="83"/>
      <c r="BEX93" s="87" t="s">
        <v>566</v>
      </c>
      <c r="BEY93" s="83"/>
      <c r="BFN93" s="87" t="s">
        <v>566</v>
      </c>
      <c r="BFO93" s="83"/>
      <c r="BGD93" s="87" t="s">
        <v>566</v>
      </c>
      <c r="BGE93" s="83"/>
      <c r="BGT93" s="87" t="s">
        <v>566</v>
      </c>
      <c r="BGU93" s="83"/>
      <c r="BHJ93" s="87" t="s">
        <v>566</v>
      </c>
      <c r="BHK93" s="83"/>
      <c r="BHZ93" s="87" t="s">
        <v>566</v>
      </c>
      <c r="BIA93" s="83"/>
      <c r="BIP93" s="87" t="s">
        <v>566</v>
      </c>
      <c r="BIQ93" s="83"/>
      <c r="BJF93" s="87" t="s">
        <v>566</v>
      </c>
      <c r="BJG93" s="83"/>
      <c r="BJV93" s="87" t="s">
        <v>566</v>
      </c>
      <c r="BJW93" s="83"/>
      <c r="BKL93" s="87" t="s">
        <v>566</v>
      </c>
      <c r="BKM93" s="83"/>
      <c r="BLB93" s="87" t="s">
        <v>566</v>
      </c>
      <c r="BLC93" s="83"/>
      <c r="BLR93" s="87" t="s">
        <v>566</v>
      </c>
      <c r="BLS93" s="83"/>
      <c r="BMH93" s="87" t="s">
        <v>566</v>
      </c>
      <c r="BMI93" s="83"/>
      <c r="BMX93" s="87" t="s">
        <v>566</v>
      </c>
      <c r="BMY93" s="83"/>
      <c r="BNN93" s="87" t="s">
        <v>566</v>
      </c>
      <c r="BNO93" s="83"/>
      <c r="BOD93" s="87" t="s">
        <v>566</v>
      </c>
      <c r="BOE93" s="83"/>
      <c r="BOT93" s="87" t="s">
        <v>566</v>
      </c>
      <c r="BOU93" s="83"/>
      <c r="BPJ93" s="87" t="s">
        <v>566</v>
      </c>
      <c r="BPK93" s="83"/>
      <c r="BPZ93" s="87" t="s">
        <v>566</v>
      </c>
      <c r="BQA93" s="83"/>
      <c r="BQP93" s="87" t="s">
        <v>566</v>
      </c>
      <c r="BQQ93" s="83"/>
      <c r="BRF93" s="87" t="s">
        <v>566</v>
      </c>
      <c r="BRG93" s="83"/>
      <c r="BRV93" s="87" t="s">
        <v>566</v>
      </c>
      <c r="BRW93" s="83"/>
      <c r="BSL93" s="87" t="s">
        <v>566</v>
      </c>
      <c r="BSM93" s="83"/>
      <c r="BTB93" s="87" t="s">
        <v>566</v>
      </c>
      <c r="BTC93" s="83"/>
      <c r="BTR93" s="87" t="s">
        <v>566</v>
      </c>
      <c r="BTS93" s="83"/>
      <c r="BUH93" s="87" t="s">
        <v>566</v>
      </c>
      <c r="BUI93" s="83"/>
      <c r="BUX93" s="87" t="s">
        <v>566</v>
      </c>
      <c r="BUY93" s="83"/>
      <c r="BVN93" s="87" t="s">
        <v>566</v>
      </c>
      <c r="BVO93" s="83"/>
      <c r="BWD93" s="87" t="s">
        <v>566</v>
      </c>
      <c r="BWE93" s="83"/>
      <c r="BWT93" s="87" t="s">
        <v>566</v>
      </c>
      <c r="BWU93" s="83"/>
      <c r="BXJ93" s="87" t="s">
        <v>566</v>
      </c>
      <c r="BXK93" s="83"/>
      <c r="BXZ93" s="87" t="s">
        <v>566</v>
      </c>
      <c r="BYA93" s="83"/>
      <c r="BYP93" s="87" t="s">
        <v>566</v>
      </c>
      <c r="BYQ93" s="83"/>
      <c r="BZF93" s="87" t="s">
        <v>566</v>
      </c>
      <c r="BZG93" s="83"/>
      <c r="BZV93" s="87" t="s">
        <v>566</v>
      </c>
      <c r="BZW93" s="83"/>
      <c r="CAL93" s="87" t="s">
        <v>566</v>
      </c>
      <c r="CAM93" s="83"/>
      <c r="CBB93" s="87" t="s">
        <v>566</v>
      </c>
      <c r="CBC93" s="83"/>
      <c r="CBR93" s="87" t="s">
        <v>566</v>
      </c>
      <c r="CBS93" s="83"/>
      <c r="CCH93" s="87" t="s">
        <v>566</v>
      </c>
      <c r="CCI93" s="83"/>
      <c r="CCX93" s="87" t="s">
        <v>566</v>
      </c>
      <c r="CCY93" s="83"/>
      <c r="CDN93" s="87" t="s">
        <v>566</v>
      </c>
      <c r="CDO93" s="83"/>
      <c r="CED93" s="87" t="s">
        <v>566</v>
      </c>
      <c r="CEE93" s="83"/>
      <c r="CET93" s="87" t="s">
        <v>566</v>
      </c>
      <c r="CEU93" s="83"/>
      <c r="CFJ93" s="87" t="s">
        <v>566</v>
      </c>
      <c r="CFK93" s="83"/>
      <c r="CFZ93" s="87" t="s">
        <v>566</v>
      </c>
      <c r="CGA93" s="83"/>
      <c r="CGP93" s="87" t="s">
        <v>566</v>
      </c>
      <c r="CGQ93" s="83"/>
      <c r="CHF93" s="87" t="s">
        <v>566</v>
      </c>
      <c r="CHG93" s="83"/>
      <c r="CHV93" s="87" t="s">
        <v>566</v>
      </c>
      <c r="CHW93" s="83"/>
      <c r="CIL93" s="87" t="s">
        <v>566</v>
      </c>
      <c r="CIM93" s="83"/>
      <c r="CJB93" s="87" t="s">
        <v>566</v>
      </c>
      <c r="CJC93" s="83"/>
      <c r="CJR93" s="87" t="s">
        <v>566</v>
      </c>
      <c r="CJS93" s="83"/>
      <c r="CKH93" s="87" t="s">
        <v>566</v>
      </c>
      <c r="CKI93" s="83"/>
      <c r="CKX93" s="87" t="s">
        <v>566</v>
      </c>
      <c r="CKY93" s="83"/>
      <c r="CLN93" s="87" t="s">
        <v>566</v>
      </c>
      <c r="CLO93" s="83"/>
      <c r="CMD93" s="87" t="s">
        <v>566</v>
      </c>
      <c r="CME93" s="83"/>
      <c r="CMT93" s="87" t="s">
        <v>566</v>
      </c>
      <c r="CMU93" s="83"/>
      <c r="CNJ93" s="87" t="s">
        <v>566</v>
      </c>
      <c r="CNK93" s="83"/>
      <c r="CNZ93" s="87" t="s">
        <v>566</v>
      </c>
      <c r="COA93" s="83"/>
      <c r="COP93" s="87" t="s">
        <v>566</v>
      </c>
      <c r="COQ93" s="83"/>
      <c r="CPF93" s="87" t="s">
        <v>566</v>
      </c>
      <c r="CPG93" s="83"/>
      <c r="CPV93" s="87" t="s">
        <v>566</v>
      </c>
      <c r="CPW93" s="83"/>
      <c r="CQL93" s="87" t="s">
        <v>566</v>
      </c>
      <c r="CQM93" s="83"/>
      <c r="CRB93" s="87" t="s">
        <v>566</v>
      </c>
      <c r="CRC93" s="83"/>
      <c r="CRR93" s="87" t="s">
        <v>566</v>
      </c>
      <c r="CRS93" s="83"/>
      <c r="CSH93" s="87" t="s">
        <v>566</v>
      </c>
      <c r="CSI93" s="83"/>
      <c r="CSX93" s="87" t="s">
        <v>566</v>
      </c>
      <c r="CSY93" s="83"/>
      <c r="CTN93" s="87" t="s">
        <v>566</v>
      </c>
      <c r="CTO93" s="83"/>
      <c r="CUD93" s="87" t="s">
        <v>566</v>
      </c>
      <c r="CUE93" s="83"/>
      <c r="CUT93" s="87" t="s">
        <v>566</v>
      </c>
      <c r="CUU93" s="83"/>
      <c r="CVJ93" s="87" t="s">
        <v>566</v>
      </c>
      <c r="CVK93" s="83"/>
      <c r="CVZ93" s="87" t="s">
        <v>566</v>
      </c>
      <c r="CWA93" s="83"/>
      <c r="CWP93" s="87" t="s">
        <v>566</v>
      </c>
      <c r="CWQ93" s="83"/>
      <c r="CXF93" s="87" t="s">
        <v>566</v>
      </c>
      <c r="CXG93" s="83"/>
      <c r="CXV93" s="87" t="s">
        <v>566</v>
      </c>
      <c r="CXW93" s="83"/>
      <c r="CYL93" s="87" t="s">
        <v>566</v>
      </c>
      <c r="CYM93" s="83"/>
      <c r="CZB93" s="87" t="s">
        <v>566</v>
      </c>
      <c r="CZC93" s="83"/>
      <c r="CZR93" s="87" t="s">
        <v>566</v>
      </c>
      <c r="CZS93" s="83"/>
      <c r="DAH93" s="87" t="s">
        <v>566</v>
      </c>
      <c r="DAI93" s="83"/>
      <c r="DAX93" s="87" t="s">
        <v>566</v>
      </c>
      <c r="DAY93" s="83"/>
      <c r="DBN93" s="87" t="s">
        <v>566</v>
      </c>
      <c r="DBO93" s="83"/>
      <c r="DCD93" s="87" t="s">
        <v>566</v>
      </c>
      <c r="DCE93" s="83"/>
      <c r="DCT93" s="87" t="s">
        <v>566</v>
      </c>
      <c r="DCU93" s="83"/>
      <c r="DDJ93" s="87" t="s">
        <v>566</v>
      </c>
      <c r="DDK93" s="83"/>
      <c r="DDZ93" s="87" t="s">
        <v>566</v>
      </c>
      <c r="DEA93" s="83"/>
      <c r="DEP93" s="87" t="s">
        <v>566</v>
      </c>
      <c r="DEQ93" s="83"/>
      <c r="DFF93" s="87" t="s">
        <v>566</v>
      </c>
      <c r="DFG93" s="83"/>
      <c r="DFV93" s="87" t="s">
        <v>566</v>
      </c>
      <c r="DFW93" s="83"/>
      <c r="DGL93" s="87" t="s">
        <v>566</v>
      </c>
      <c r="DGM93" s="83"/>
      <c r="DHB93" s="87" t="s">
        <v>566</v>
      </c>
      <c r="DHC93" s="83"/>
      <c r="DHR93" s="87" t="s">
        <v>566</v>
      </c>
      <c r="DHS93" s="83"/>
      <c r="DIH93" s="87" t="s">
        <v>566</v>
      </c>
      <c r="DII93" s="83"/>
      <c r="DIX93" s="87" t="s">
        <v>566</v>
      </c>
      <c r="DIY93" s="83"/>
      <c r="DJN93" s="87" t="s">
        <v>566</v>
      </c>
      <c r="DJO93" s="83"/>
      <c r="DKD93" s="87" t="s">
        <v>566</v>
      </c>
      <c r="DKE93" s="83"/>
      <c r="DKT93" s="87" t="s">
        <v>566</v>
      </c>
      <c r="DKU93" s="83"/>
      <c r="DLJ93" s="87" t="s">
        <v>566</v>
      </c>
      <c r="DLK93" s="83"/>
      <c r="DLZ93" s="87" t="s">
        <v>566</v>
      </c>
      <c r="DMA93" s="83"/>
      <c r="DMP93" s="87" t="s">
        <v>566</v>
      </c>
      <c r="DMQ93" s="83"/>
      <c r="DNF93" s="87" t="s">
        <v>566</v>
      </c>
      <c r="DNG93" s="83"/>
      <c r="DNV93" s="87" t="s">
        <v>566</v>
      </c>
      <c r="DNW93" s="83"/>
      <c r="DOL93" s="87" t="s">
        <v>566</v>
      </c>
      <c r="DOM93" s="83"/>
      <c r="DPB93" s="87" t="s">
        <v>566</v>
      </c>
      <c r="DPC93" s="83"/>
      <c r="DPR93" s="87" t="s">
        <v>566</v>
      </c>
      <c r="DPS93" s="83"/>
      <c r="DQH93" s="87" t="s">
        <v>566</v>
      </c>
      <c r="DQI93" s="83"/>
      <c r="DQX93" s="87" t="s">
        <v>566</v>
      </c>
      <c r="DQY93" s="83"/>
      <c r="DRN93" s="87" t="s">
        <v>566</v>
      </c>
      <c r="DRO93" s="83"/>
      <c r="DSD93" s="87" t="s">
        <v>566</v>
      </c>
      <c r="DSE93" s="83"/>
      <c r="DST93" s="87" t="s">
        <v>566</v>
      </c>
      <c r="DSU93" s="83"/>
      <c r="DTJ93" s="87" t="s">
        <v>566</v>
      </c>
      <c r="DTK93" s="83"/>
      <c r="DTZ93" s="87" t="s">
        <v>566</v>
      </c>
      <c r="DUA93" s="83"/>
      <c r="DUP93" s="87" t="s">
        <v>566</v>
      </c>
      <c r="DUQ93" s="83"/>
      <c r="DVF93" s="87" t="s">
        <v>566</v>
      </c>
      <c r="DVG93" s="83"/>
      <c r="DVV93" s="87" t="s">
        <v>566</v>
      </c>
      <c r="DVW93" s="83"/>
      <c r="DWL93" s="87" t="s">
        <v>566</v>
      </c>
      <c r="DWM93" s="83"/>
      <c r="DXB93" s="87" t="s">
        <v>566</v>
      </c>
      <c r="DXC93" s="83"/>
      <c r="DXR93" s="87" t="s">
        <v>566</v>
      </c>
      <c r="DXS93" s="83"/>
      <c r="DYH93" s="87" t="s">
        <v>566</v>
      </c>
      <c r="DYI93" s="83"/>
      <c r="DYX93" s="87" t="s">
        <v>566</v>
      </c>
      <c r="DYY93" s="83"/>
      <c r="DZN93" s="87" t="s">
        <v>566</v>
      </c>
      <c r="DZO93" s="83"/>
      <c r="EAD93" s="87" t="s">
        <v>566</v>
      </c>
      <c r="EAE93" s="83"/>
      <c r="EAT93" s="87" t="s">
        <v>566</v>
      </c>
      <c r="EAU93" s="83"/>
      <c r="EBJ93" s="87" t="s">
        <v>566</v>
      </c>
      <c r="EBK93" s="83"/>
      <c r="EBZ93" s="87" t="s">
        <v>566</v>
      </c>
      <c r="ECA93" s="83"/>
      <c r="ECP93" s="87" t="s">
        <v>566</v>
      </c>
      <c r="ECQ93" s="83"/>
      <c r="EDF93" s="87" t="s">
        <v>566</v>
      </c>
      <c r="EDG93" s="83"/>
      <c r="EDV93" s="87" t="s">
        <v>566</v>
      </c>
      <c r="EDW93" s="83"/>
      <c r="EEL93" s="87" t="s">
        <v>566</v>
      </c>
      <c r="EEM93" s="83"/>
      <c r="EFB93" s="87" t="s">
        <v>566</v>
      </c>
      <c r="EFC93" s="83"/>
      <c r="EFR93" s="87" t="s">
        <v>566</v>
      </c>
      <c r="EFS93" s="83"/>
      <c r="EGH93" s="87" t="s">
        <v>566</v>
      </c>
      <c r="EGI93" s="83"/>
      <c r="EGX93" s="87" t="s">
        <v>566</v>
      </c>
      <c r="EGY93" s="83"/>
      <c r="EHN93" s="87" t="s">
        <v>566</v>
      </c>
      <c r="EHO93" s="83"/>
      <c r="EID93" s="87" t="s">
        <v>566</v>
      </c>
      <c r="EIE93" s="83"/>
      <c r="EIT93" s="87" t="s">
        <v>566</v>
      </c>
      <c r="EIU93" s="83"/>
      <c r="EJJ93" s="87" t="s">
        <v>566</v>
      </c>
      <c r="EJK93" s="83"/>
      <c r="EJZ93" s="87" t="s">
        <v>566</v>
      </c>
      <c r="EKA93" s="83"/>
      <c r="EKP93" s="87" t="s">
        <v>566</v>
      </c>
      <c r="EKQ93" s="83"/>
      <c r="ELF93" s="87" t="s">
        <v>566</v>
      </c>
      <c r="ELG93" s="83"/>
      <c r="ELV93" s="87" t="s">
        <v>566</v>
      </c>
      <c r="ELW93" s="83"/>
      <c r="EML93" s="87" t="s">
        <v>566</v>
      </c>
      <c r="EMM93" s="83"/>
      <c r="ENB93" s="87" t="s">
        <v>566</v>
      </c>
      <c r="ENC93" s="83"/>
      <c r="ENR93" s="87" t="s">
        <v>566</v>
      </c>
      <c r="ENS93" s="83"/>
      <c r="EOH93" s="87" t="s">
        <v>566</v>
      </c>
      <c r="EOI93" s="83"/>
      <c r="EOX93" s="87" t="s">
        <v>566</v>
      </c>
      <c r="EOY93" s="83"/>
      <c r="EPN93" s="87" t="s">
        <v>566</v>
      </c>
      <c r="EPO93" s="83"/>
      <c r="EQD93" s="87" t="s">
        <v>566</v>
      </c>
      <c r="EQE93" s="83"/>
      <c r="EQT93" s="87" t="s">
        <v>566</v>
      </c>
      <c r="EQU93" s="83"/>
      <c r="ERJ93" s="87" t="s">
        <v>566</v>
      </c>
      <c r="ERK93" s="83"/>
      <c r="ERZ93" s="87" t="s">
        <v>566</v>
      </c>
      <c r="ESA93" s="83"/>
      <c r="ESP93" s="87" t="s">
        <v>566</v>
      </c>
      <c r="ESQ93" s="83"/>
      <c r="ETF93" s="87" t="s">
        <v>566</v>
      </c>
      <c r="ETG93" s="83"/>
      <c r="ETV93" s="87" t="s">
        <v>566</v>
      </c>
      <c r="ETW93" s="83"/>
      <c r="EUL93" s="87" t="s">
        <v>566</v>
      </c>
      <c r="EUM93" s="83"/>
      <c r="EVB93" s="87" t="s">
        <v>566</v>
      </c>
      <c r="EVC93" s="83"/>
      <c r="EVR93" s="87" t="s">
        <v>566</v>
      </c>
      <c r="EVS93" s="83"/>
      <c r="EWH93" s="87" t="s">
        <v>566</v>
      </c>
      <c r="EWI93" s="83"/>
      <c r="EWX93" s="87" t="s">
        <v>566</v>
      </c>
      <c r="EWY93" s="83"/>
      <c r="EXN93" s="87" t="s">
        <v>566</v>
      </c>
      <c r="EXO93" s="83"/>
      <c r="EYD93" s="87" t="s">
        <v>566</v>
      </c>
      <c r="EYE93" s="83"/>
      <c r="EYT93" s="87" t="s">
        <v>566</v>
      </c>
      <c r="EYU93" s="83"/>
      <c r="EZJ93" s="87" t="s">
        <v>566</v>
      </c>
      <c r="EZK93" s="83"/>
      <c r="EZZ93" s="87" t="s">
        <v>566</v>
      </c>
      <c r="FAA93" s="83"/>
      <c r="FAP93" s="87" t="s">
        <v>566</v>
      </c>
      <c r="FAQ93" s="83"/>
      <c r="FBF93" s="87" t="s">
        <v>566</v>
      </c>
      <c r="FBG93" s="83"/>
      <c r="FBV93" s="87" t="s">
        <v>566</v>
      </c>
      <c r="FBW93" s="83"/>
      <c r="FCL93" s="87" t="s">
        <v>566</v>
      </c>
      <c r="FCM93" s="83"/>
      <c r="FDB93" s="87" t="s">
        <v>566</v>
      </c>
      <c r="FDC93" s="83"/>
      <c r="FDR93" s="87" t="s">
        <v>566</v>
      </c>
      <c r="FDS93" s="83"/>
      <c r="FEH93" s="87" t="s">
        <v>566</v>
      </c>
      <c r="FEI93" s="83"/>
      <c r="FEX93" s="87" t="s">
        <v>566</v>
      </c>
      <c r="FEY93" s="83"/>
      <c r="FFN93" s="87" t="s">
        <v>566</v>
      </c>
      <c r="FFO93" s="83"/>
      <c r="FGD93" s="87" t="s">
        <v>566</v>
      </c>
      <c r="FGE93" s="83"/>
      <c r="FGT93" s="87" t="s">
        <v>566</v>
      </c>
      <c r="FGU93" s="83"/>
      <c r="FHJ93" s="87" t="s">
        <v>566</v>
      </c>
      <c r="FHK93" s="83"/>
      <c r="FHZ93" s="87" t="s">
        <v>566</v>
      </c>
      <c r="FIA93" s="83"/>
      <c r="FIP93" s="87" t="s">
        <v>566</v>
      </c>
      <c r="FIQ93" s="83"/>
      <c r="FJF93" s="87" t="s">
        <v>566</v>
      </c>
      <c r="FJG93" s="83"/>
      <c r="FJV93" s="87" t="s">
        <v>566</v>
      </c>
      <c r="FJW93" s="83"/>
      <c r="FKL93" s="87" t="s">
        <v>566</v>
      </c>
      <c r="FKM93" s="83"/>
      <c r="FLB93" s="87" t="s">
        <v>566</v>
      </c>
      <c r="FLC93" s="83"/>
      <c r="FLR93" s="87" t="s">
        <v>566</v>
      </c>
      <c r="FLS93" s="83"/>
      <c r="FMH93" s="87" t="s">
        <v>566</v>
      </c>
      <c r="FMI93" s="83"/>
      <c r="FMX93" s="87" t="s">
        <v>566</v>
      </c>
      <c r="FMY93" s="83"/>
      <c r="FNN93" s="87" t="s">
        <v>566</v>
      </c>
      <c r="FNO93" s="83"/>
      <c r="FOD93" s="87" t="s">
        <v>566</v>
      </c>
      <c r="FOE93" s="83"/>
      <c r="FOT93" s="87" t="s">
        <v>566</v>
      </c>
      <c r="FOU93" s="83"/>
      <c r="FPJ93" s="87" t="s">
        <v>566</v>
      </c>
      <c r="FPK93" s="83"/>
      <c r="FPZ93" s="87" t="s">
        <v>566</v>
      </c>
      <c r="FQA93" s="83"/>
      <c r="FQP93" s="87" t="s">
        <v>566</v>
      </c>
      <c r="FQQ93" s="83"/>
      <c r="FRF93" s="87" t="s">
        <v>566</v>
      </c>
      <c r="FRG93" s="83"/>
      <c r="FRV93" s="87" t="s">
        <v>566</v>
      </c>
      <c r="FRW93" s="83"/>
      <c r="FSL93" s="87" t="s">
        <v>566</v>
      </c>
      <c r="FSM93" s="83"/>
      <c r="FTB93" s="87" t="s">
        <v>566</v>
      </c>
      <c r="FTC93" s="83"/>
      <c r="FTR93" s="87" t="s">
        <v>566</v>
      </c>
      <c r="FTS93" s="83"/>
      <c r="FUH93" s="87" t="s">
        <v>566</v>
      </c>
      <c r="FUI93" s="83"/>
      <c r="FUX93" s="87" t="s">
        <v>566</v>
      </c>
      <c r="FUY93" s="83"/>
      <c r="FVN93" s="87" t="s">
        <v>566</v>
      </c>
      <c r="FVO93" s="83"/>
      <c r="FWD93" s="87" t="s">
        <v>566</v>
      </c>
      <c r="FWE93" s="83"/>
      <c r="FWT93" s="87" t="s">
        <v>566</v>
      </c>
      <c r="FWU93" s="83"/>
      <c r="FXJ93" s="87" t="s">
        <v>566</v>
      </c>
      <c r="FXK93" s="83"/>
      <c r="FXZ93" s="87" t="s">
        <v>566</v>
      </c>
      <c r="FYA93" s="83"/>
      <c r="FYP93" s="87" t="s">
        <v>566</v>
      </c>
      <c r="FYQ93" s="83"/>
      <c r="FZF93" s="87" t="s">
        <v>566</v>
      </c>
      <c r="FZG93" s="83"/>
      <c r="FZV93" s="87" t="s">
        <v>566</v>
      </c>
      <c r="FZW93" s="83"/>
      <c r="GAL93" s="87" t="s">
        <v>566</v>
      </c>
      <c r="GAM93" s="83"/>
      <c r="GBB93" s="87" t="s">
        <v>566</v>
      </c>
      <c r="GBC93" s="83"/>
      <c r="GBR93" s="87" t="s">
        <v>566</v>
      </c>
      <c r="GBS93" s="83"/>
      <c r="GCH93" s="87" t="s">
        <v>566</v>
      </c>
      <c r="GCI93" s="83"/>
      <c r="GCX93" s="87" t="s">
        <v>566</v>
      </c>
      <c r="GCY93" s="83"/>
      <c r="GDN93" s="87" t="s">
        <v>566</v>
      </c>
      <c r="GDO93" s="83"/>
      <c r="GED93" s="87" t="s">
        <v>566</v>
      </c>
      <c r="GEE93" s="83"/>
      <c r="GET93" s="87" t="s">
        <v>566</v>
      </c>
      <c r="GEU93" s="83"/>
      <c r="GFJ93" s="87" t="s">
        <v>566</v>
      </c>
      <c r="GFK93" s="83"/>
      <c r="GFZ93" s="87" t="s">
        <v>566</v>
      </c>
      <c r="GGA93" s="83"/>
      <c r="GGP93" s="87" t="s">
        <v>566</v>
      </c>
      <c r="GGQ93" s="83"/>
      <c r="GHF93" s="87" t="s">
        <v>566</v>
      </c>
      <c r="GHG93" s="83"/>
      <c r="GHV93" s="87" t="s">
        <v>566</v>
      </c>
      <c r="GHW93" s="83"/>
      <c r="GIL93" s="87" t="s">
        <v>566</v>
      </c>
      <c r="GIM93" s="83"/>
      <c r="GJB93" s="87" t="s">
        <v>566</v>
      </c>
      <c r="GJC93" s="83"/>
      <c r="GJR93" s="87" t="s">
        <v>566</v>
      </c>
      <c r="GJS93" s="83"/>
      <c r="GKH93" s="87" t="s">
        <v>566</v>
      </c>
      <c r="GKI93" s="83"/>
      <c r="GKX93" s="87" t="s">
        <v>566</v>
      </c>
      <c r="GKY93" s="83"/>
      <c r="GLN93" s="87" t="s">
        <v>566</v>
      </c>
      <c r="GLO93" s="83"/>
      <c r="GMD93" s="87" t="s">
        <v>566</v>
      </c>
      <c r="GME93" s="83"/>
      <c r="GMT93" s="87" t="s">
        <v>566</v>
      </c>
      <c r="GMU93" s="83"/>
      <c r="GNJ93" s="87" t="s">
        <v>566</v>
      </c>
      <c r="GNK93" s="83"/>
      <c r="GNZ93" s="87" t="s">
        <v>566</v>
      </c>
      <c r="GOA93" s="83"/>
      <c r="GOP93" s="87" t="s">
        <v>566</v>
      </c>
      <c r="GOQ93" s="83"/>
      <c r="GPF93" s="87" t="s">
        <v>566</v>
      </c>
      <c r="GPG93" s="83"/>
      <c r="GPV93" s="87" t="s">
        <v>566</v>
      </c>
      <c r="GPW93" s="83"/>
      <c r="GQL93" s="87" t="s">
        <v>566</v>
      </c>
      <c r="GQM93" s="83"/>
      <c r="GRB93" s="87" t="s">
        <v>566</v>
      </c>
      <c r="GRC93" s="83"/>
      <c r="GRR93" s="87" t="s">
        <v>566</v>
      </c>
      <c r="GRS93" s="83"/>
      <c r="GSH93" s="87" t="s">
        <v>566</v>
      </c>
      <c r="GSI93" s="83"/>
      <c r="GSX93" s="87" t="s">
        <v>566</v>
      </c>
      <c r="GSY93" s="83"/>
      <c r="GTN93" s="87" t="s">
        <v>566</v>
      </c>
      <c r="GTO93" s="83"/>
      <c r="GUD93" s="87" t="s">
        <v>566</v>
      </c>
      <c r="GUE93" s="83"/>
      <c r="GUT93" s="87" t="s">
        <v>566</v>
      </c>
      <c r="GUU93" s="83"/>
      <c r="GVJ93" s="87" t="s">
        <v>566</v>
      </c>
      <c r="GVK93" s="83"/>
      <c r="GVZ93" s="87" t="s">
        <v>566</v>
      </c>
      <c r="GWA93" s="83"/>
      <c r="GWP93" s="87" t="s">
        <v>566</v>
      </c>
      <c r="GWQ93" s="83"/>
      <c r="GXF93" s="87" t="s">
        <v>566</v>
      </c>
      <c r="GXG93" s="83"/>
      <c r="GXV93" s="87" t="s">
        <v>566</v>
      </c>
      <c r="GXW93" s="83"/>
      <c r="GYL93" s="87" t="s">
        <v>566</v>
      </c>
      <c r="GYM93" s="83"/>
      <c r="GZB93" s="87" t="s">
        <v>566</v>
      </c>
      <c r="GZC93" s="83"/>
      <c r="GZR93" s="87" t="s">
        <v>566</v>
      </c>
      <c r="GZS93" s="83"/>
      <c r="HAH93" s="87" t="s">
        <v>566</v>
      </c>
      <c r="HAI93" s="83"/>
      <c r="HAX93" s="87" t="s">
        <v>566</v>
      </c>
      <c r="HAY93" s="83"/>
      <c r="HBN93" s="87" t="s">
        <v>566</v>
      </c>
      <c r="HBO93" s="83"/>
      <c r="HCD93" s="87" t="s">
        <v>566</v>
      </c>
      <c r="HCE93" s="83"/>
      <c r="HCT93" s="87" t="s">
        <v>566</v>
      </c>
      <c r="HCU93" s="83"/>
      <c r="HDJ93" s="87" t="s">
        <v>566</v>
      </c>
      <c r="HDK93" s="83"/>
      <c r="HDZ93" s="87" t="s">
        <v>566</v>
      </c>
      <c r="HEA93" s="83"/>
      <c r="HEP93" s="87" t="s">
        <v>566</v>
      </c>
      <c r="HEQ93" s="83"/>
      <c r="HFF93" s="87" t="s">
        <v>566</v>
      </c>
      <c r="HFG93" s="83"/>
      <c r="HFV93" s="87" t="s">
        <v>566</v>
      </c>
      <c r="HFW93" s="83"/>
      <c r="HGL93" s="87" t="s">
        <v>566</v>
      </c>
      <c r="HGM93" s="83"/>
      <c r="HHB93" s="87" t="s">
        <v>566</v>
      </c>
      <c r="HHC93" s="83"/>
      <c r="HHR93" s="87" t="s">
        <v>566</v>
      </c>
      <c r="HHS93" s="83"/>
      <c r="HIH93" s="87" t="s">
        <v>566</v>
      </c>
      <c r="HII93" s="83"/>
      <c r="HIX93" s="87" t="s">
        <v>566</v>
      </c>
      <c r="HIY93" s="83"/>
      <c r="HJN93" s="87" t="s">
        <v>566</v>
      </c>
      <c r="HJO93" s="83"/>
      <c r="HKD93" s="87" t="s">
        <v>566</v>
      </c>
      <c r="HKE93" s="83"/>
      <c r="HKT93" s="87" t="s">
        <v>566</v>
      </c>
      <c r="HKU93" s="83"/>
      <c r="HLJ93" s="87" t="s">
        <v>566</v>
      </c>
      <c r="HLK93" s="83"/>
      <c r="HLZ93" s="87" t="s">
        <v>566</v>
      </c>
      <c r="HMA93" s="83"/>
      <c r="HMP93" s="87" t="s">
        <v>566</v>
      </c>
      <c r="HMQ93" s="83"/>
      <c r="HNF93" s="87" t="s">
        <v>566</v>
      </c>
      <c r="HNG93" s="83"/>
      <c r="HNV93" s="87" t="s">
        <v>566</v>
      </c>
      <c r="HNW93" s="83"/>
      <c r="HOL93" s="87" t="s">
        <v>566</v>
      </c>
      <c r="HOM93" s="83"/>
      <c r="HPB93" s="87" t="s">
        <v>566</v>
      </c>
      <c r="HPC93" s="83"/>
      <c r="HPR93" s="87" t="s">
        <v>566</v>
      </c>
      <c r="HPS93" s="83"/>
      <c r="HQH93" s="87" t="s">
        <v>566</v>
      </c>
      <c r="HQI93" s="83"/>
      <c r="HQX93" s="87" t="s">
        <v>566</v>
      </c>
      <c r="HQY93" s="83"/>
      <c r="HRN93" s="87" t="s">
        <v>566</v>
      </c>
      <c r="HRO93" s="83"/>
      <c r="HSD93" s="87" t="s">
        <v>566</v>
      </c>
      <c r="HSE93" s="83"/>
      <c r="HST93" s="87" t="s">
        <v>566</v>
      </c>
      <c r="HSU93" s="83"/>
      <c r="HTJ93" s="87" t="s">
        <v>566</v>
      </c>
      <c r="HTK93" s="83"/>
      <c r="HTZ93" s="87" t="s">
        <v>566</v>
      </c>
      <c r="HUA93" s="83"/>
      <c r="HUP93" s="87" t="s">
        <v>566</v>
      </c>
      <c r="HUQ93" s="83"/>
      <c r="HVF93" s="87" t="s">
        <v>566</v>
      </c>
      <c r="HVG93" s="83"/>
      <c r="HVV93" s="87" t="s">
        <v>566</v>
      </c>
      <c r="HVW93" s="83"/>
      <c r="HWL93" s="87" t="s">
        <v>566</v>
      </c>
      <c r="HWM93" s="83"/>
      <c r="HXB93" s="87" t="s">
        <v>566</v>
      </c>
      <c r="HXC93" s="83"/>
      <c r="HXR93" s="87" t="s">
        <v>566</v>
      </c>
      <c r="HXS93" s="83"/>
      <c r="HYH93" s="87" t="s">
        <v>566</v>
      </c>
      <c r="HYI93" s="83"/>
      <c r="HYX93" s="87" t="s">
        <v>566</v>
      </c>
      <c r="HYY93" s="83"/>
      <c r="HZN93" s="87" t="s">
        <v>566</v>
      </c>
      <c r="HZO93" s="83"/>
      <c r="IAD93" s="87" t="s">
        <v>566</v>
      </c>
      <c r="IAE93" s="83"/>
      <c r="IAT93" s="87" t="s">
        <v>566</v>
      </c>
      <c r="IAU93" s="83"/>
      <c r="IBJ93" s="87" t="s">
        <v>566</v>
      </c>
      <c r="IBK93" s="83"/>
      <c r="IBZ93" s="87" t="s">
        <v>566</v>
      </c>
      <c r="ICA93" s="83"/>
      <c r="ICP93" s="87" t="s">
        <v>566</v>
      </c>
      <c r="ICQ93" s="83"/>
      <c r="IDF93" s="87" t="s">
        <v>566</v>
      </c>
      <c r="IDG93" s="83"/>
      <c r="IDV93" s="87" t="s">
        <v>566</v>
      </c>
      <c r="IDW93" s="83"/>
      <c r="IEL93" s="87" t="s">
        <v>566</v>
      </c>
      <c r="IEM93" s="83"/>
      <c r="IFB93" s="87" t="s">
        <v>566</v>
      </c>
      <c r="IFC93" s="83"/>
      <c r="IFR93" s="87" t="s">
        <v>566</v>
      </c>
      <c r="IFS93" s="83"/>
      <c r="IGH93" s="87" t="s">
        <v>566</v>
      </c>
      <c r="IGI93" s="83"/>
      <c r="IGX93" s="87" t="s">
        <v>566</v>
      </c>
      <c r="IGY93" s="83"/>
      <c r="IHN93" s="87" t="s">
        <v>566</v>
      </c>
      <c r="IHO93" s="83"/>
      <c r="IID93" s="87" t="s">
        <v>566</v>
      </c>
      <c r="IIE93" s="83"/>
      <c r="IIT93" s="87" t="s">
        <v>566</v>
      </c>
      <c r="IIU93" s="83"/>
      <c r="IJJ93" s="87" t="s">
        <v>566</v>
      </c>
      <c r="IJK93" s="83"/>
      <c r="IJZ93" s="87" t="s">
        <v>566</v>
      </c>
      <c r="IKA93" s="83"/>
      <c r="IKP93" s="87" t="s">
        <v>566</v>
      </c>
      <c r="IKQ93" s="83"/>
      <c r="ILF93" s="87" t="s">
        <v>566</v>
      </c>
      <c r="ILG93" s="83"/>
      <c r="ILV93" s="87" t="s">
        <v>566</v>
      </c>
      <c r="ILW93" s="83"/>
      <c r="IML93" s="87" t="s">
        <v>566</v>
      </c>
      <c r="IMM93" s="83"/>
      <c r="INB93" s="87" t="s">
        <v>566</v>
      </c>
      <c r="INC93" s="83"/>
      <c r="INR93" s="87" t="s">
        <v>566</v>
      </c>
      <c r="INS93" s="83"/>
      <c r="IOH93" s="87" t="s">
        <v>566</v>
      </c>
      <c r="IOI93" s="83"/>
      <c r="IOX93" s="87" t="s">
        <v>566</v>
      </c>
      <c r="IOY93" s="83"/>
      <c r="IPN93" s="87" t="s">
        <v>566</v>
      </c>
      <c r="IPO93" s="83"/>
      <c r="IQD93" s="87" t="s">
        <v>566</v>
      </c>
      <c r="IQE93" s="83"/>
      <c r="IQT93" s="87" t="s">
        <v>566</v>
      </c>
      <c r="IQU93" s="83"/>
      <c r="IRJ93" s="87" t="s">
        <v>566</v>
      </c>
      <c r="IRK93" s="83"/>
      <c r="IRZ93" s="87" t="s">
        <v>566</v>
      </c>
      <c r="ISA93" s="83"/>
      <c r="ISP93" s="87" t="s">
        <v>566</v>
      </c>
      <c r="ISQ93" s="83"/>
      <c r="ITF93" s="87" t="s">
        <v>566</v>
      </c>
      <c r="ITG93" s="83"/>
      <c r="ITV93" s="87" t="s">
        <v>566</v>
      </c>
      <c r="ITW93" s="83"/>
      <c r="IUL93" s="87" t="s">
        <v>566</v>
      </c>
      <c r="IUM93" s="83"/>
      <c r="IVB93" s="87" t="s">
        <v>566</v>
      </c>
      <c r="IVC93" s="83"/>
      <c r="IVR93" s="87" t="s">
        <v>566</v>
      </c>
      <c r="IVS93" s="83"/>
      <c r="IWH93" s="87" t="s">
        <v>566</v>
      </c>
      <c r="IWI93" s="83"/>
      <c r="IWX93" s="87" t="s">
        <v>566</v>
      </c>
      <c r="IWY93" s="83"/>
      <c r="IXN93" s="87" t="s">
        <v>566</v>
      </c>
      <c r="IXO93" s="83"/>
      <c r="IYD93" s="87" t="s">
        <v>566</v>
      </c>
      <c r="IYE93" s="83"/>
      <c r="IYT93" s="87" t="s">
        <v>566</v>
      </c>
      <c r="IYU93" s="83"/>
      <c r="IZJ93" s="87" t="s">
        <v>566</v>
      </c>
      <c r="IZK93" s="83"/>
      <c r="IZZ93" s="87" t="s">
        <v>566</v>
      </c>
      <c r="JAA93" s="83"/>
      <c r="JAP93" s="87" t="s">
        <v>566</v>
      </c>
      <c r="JAQ93" s="83"/>
      <c r="JBF93" s="87" t="s">
        <v>566</v>
      </c>
      <c r="JBG93" s="83"/>
      <c r="JBV93" s="87" t="s">
        <v>566</v>
      </c>
      <c r="JBW93" s="83"/>
      <c r="JCL93" s="87" t="s">
        <v>566</v>
      </c>
      <c r="JCM93" s="83"/>
      <c r="JDB93" s="87" t="s">
        <v>566</v>
      </c>
      <c r="JDC93" s="83"/>
      <c r="JDR93" s="87" t="s">
        <v>566</v>
      </c>
      <c r="JDS93" s="83"/>
      <c r="JEH93" s="87" t="s">
        <v>566</v>
      </c>
      <c r="JEI93" s="83"/>
      <c r="JEX93" s="87" t="s">
        <v>566</v>
      </c>
      <c r="JEY93" s="83"/>
      <c r="JFN93" s="87" t="s">
        <v>566</v>
      </c>
      <c r="JFO93" s="83"/>
      <c r="JGD93" s="87" t="s">
        <v>566</v>
      </c>
      <c r="JGE93" s="83"/>
      <c r="JGT93" s="87" t="s">
        <v>566</v>
      </c>
      <c r="JGU93" s="83"/>
      <c r="JHJ93" s="87" t="s">
        <v>566</v>
      </c>
      <c r="JHK93" s="83"/>
      <c r="JHZ93" s="87" t="s">
        <v>566</v>
      </c>
      <c r="JIA93" s="83"/>
      <c r="JIP93" s="87" t="s">
        <v>566</v>
      </c>
      <c r="JIQ93" s="83"/>
      <c r="JJF93" s="87" t="s">
        <v>566</v>
      </c>
      <c r="JJG93" s="83"/>
      <c r="JJV93" s="87" t="s">
        <v>566</v>
      </c>
      <c r="JJW93" s="83"/>
      <c r="JKL93" s="87" t="s">
        <v>566</v>
      </c>
      <c r="JKM93" s="83"/>
      <c r="JLB93" s="87" t="s">
        <v>566</v>
      </c>
      <c r="JLC93" s="83"/>
      <c r="JLR93" s="87" t="s">
        <v>566</v>
      </c>
      <c r="JLS93" s="83"/>
      <c r="JMH93" s="87" t="s">
        <v>566</v>
      </c>
      <c r="JMI93" s="83"/>
      <c r="JMX93" s="87" t="s">
        <v>566</v>
      </c>
      <c r="JMY93" s="83"/>
      <c r="JNN93" s="87" t="s">
        <v>566</v>
      </c>
      <c r="JNO93" s="83"/>
      <c r="JOD93" s="87" t="s">
        <v>566</v>
      </c>
      <c r="JOE93" s="83"/>
      <c r="JOT93" s="87" t="s">
        <v>566</v>
      </c>
      <c r="JOU93" s="83"/>
      <c r="JPJ93" s="87" t="s">
        <v>566</v>
      </c>
      <c r="JPK93" s="83"/>
      <c r="JPZ93" s="87" t="s">
        <v>566</v>
      </c>
      <c r="JQA93" s="83"/>
      <c r="JQP93" s="87" t="s">
        <v>566</v>
      </c>
      <c r="JQQ93" s="83"/>
      <c r="JRF93" s="87" t="s">
        <v>566</v>
      </c>
      <c r="JRG93" s="83"/>
      <c r="JRV93" s="87" t="s">
        <v>566</v>
      </c>
      <c r="JRW93" s="83"/>
      <c r="JSL93" s="87" t="s">
        <v>566</v>
      </c>
      <c r="JSM93" s="83"/>
      <c r="JTB93" s="87" t="s">
        <v>566</v>
      </c>
      <c r="JTC93" s="83"/>
      <c r="JTR93" s="87" t="s">
        <v>566</v>
      </c>
      <c r="JTS93" s="83"/>
      <c r="JUH93" s="87" t="s">
        <v>566</v>
      </c>
      <c r="JUI93" s="83"/>
      <c r="JUX93" s="87" t="s">
        <v>566</v>
      </c>
      <c r="JUY93" s="83"/>
      <c r="JVN93" s="87" t="s">
        <v>566</v>
      </c>
      <c r="JVO93" s="83"/>
      <c r="JWD93" s="87" t="s">
        <v>566</v>
      </c>
      <c r="JWE93" s="83"/>
      <c r="JWT93" s="87" t="s">
        <v>566</v>
      </c>
      <c r="JWU93" s="83"/>
      <c r="JXJ93" s="87" t="s">
        <v>566</v>
      </c>
      <c r="JXK93" s="83"/>
      <c r="JXZ93" s="87" t="s">
        <v>566</v>
      </c>
      <c r="JYA93" s="83"/>
      <c r="JYP93" s="87" t="s">
        <v>566</v>
      </c>
      <c r="JYQ93" s="83"/>
      <c r="JZF93" s="87" t="s">
        <v>566</v>
      </c>
      <c r="JZG93" s="83"/>
      <c r="JZV93" s="87" t="s">
        <v>566</v>
      </c>
      <c r="JZW93" s="83"/>
      <c r="KAL93" s="87" t="s">
        <v>566</v>
      </c>
      <c r="KAM93" s="83"/>
      <c r="KBB93" s="87" t="s">
        <v>566</v>
      </c>
      <c r="KBC93" s="83"/>
      <c r="KBR93" s="87" t="s">
        <v>566</v>
      </c>
      <c r="KBS93" s="83"/>
      <c r="KCH93" s="87" t="s">
        <v>566</v>
      </c>
      <c r="KCI93" s="83"/>
      <c r="KCX93" s="87" t="s">
        <v>566</v>
      </c>
      <c r="KCY93" s="83"/>
      <c r="KDN93" s="87" t="s">
        <v>566</v>
      </c>
      <c r="KDO93" s="83"/>
      <c r="KED93" s="87" t="s">
        <v>566</v>
      </c>
      <c r="KEE93" s="83"/>
      <c r="KET93" s="87" t="s">
        <v>566</v>
      </c>
      <c r="KEU93" s="83"/>
      <c r="KFJ93" s="87" t="s">
        <v>566</v>
      </c>
      <c r="KFK93" s="83"/>
      <c r="KFZ93" s="87" t="s">
        <v>566</v>
      </c>
      <c r="KGA93" s="83"/>
      <c r="KGP93" s="87" t="s">
        <v>566</v>
      </c>
      <c r="KGQ93" s="83"/>
      <c r="KHF93" s="87" t="s">
        <v>566</v>
      </c>
      <c r="KHG93" s="83"/>
      <c r="KHV93" s="87" t="s">
        <v>566</v>
      </c>
      <c r="KHW93" s="83"/>
      <c r="KIL93" s="87" t="s">
        <v>566</v>
      </c>
      <c r="KIM93" s="83"/>
      <c r="KJB93" s="87" t="s">
        <v>566</v>
      </c>
      <c r="KJC93" s="83"/>
      <c r="KJR93" s="87" t="s">
        <v>566</v>
      </c>
      <c r="KJS93" s="83"/>
      <c r="KKH93" s="87" t="s">
        <v>566</v>
      </c>
      <c r="KKI93" s="83"/>
      <c r="KKX93" s="87" t="s">
        <v>566</v>
      </c>
      <c r="KKY93" s="83"/>
      <c r="KLN93" s="87" t="s">
        <v>566</v>
      </c>
      <c r="KLO93" s="83"/>
      <c r="KMD93" s="87" t="s">
        <v>566</v>
      </c>
      <c r="KME93" s="83"/>
      <c r="KMT93" s="87" t="s">
        <v>566</v>
      </c>
      <c r="KMU93" s="83"/>
      <c r="KNJ93" s="87" t="s">
        <v>566</v>
      </c>
      <c r="KNK93" s="83"/>
      <c r="KNZ93" s="87" t="s">
        <v>566</v>
      </c>
      <c r="KOA93" s="83"/>
      <c r="KOP93" s="87" t="s">
        <v>566</v>
      </c>
      <c r="KOQ93" s="83"/>
      <c r="KPF93" s="87" t="s">
        <v>566</v>
      </c>
      <c r="KPG93" s="83"/>
      <c r="KPV93" s="87" t="s">
        <v>566</v>
      </c>
      <c r="KPW93" s="83"/>
      <c r="KQL93" s="87" t="s">
        <v>566</v>
      </c>
      <c r="KQM93" s="83"/>
      <c r="KRB93" s="87" t="s">
        <v>566</v>
      </c>
      <c r="KRC93" s="83"/>
      <c r="KRR93" s="87" t="s">
        <v>566</v>
      </c>
      <c r="KRS93" s="83"/>
      <c r="KSH93" s="87" t="s">
        <v>566</v>
      </c>
      <c r="KSI93" s="83"/>
      <c r="KSX93" s="87" t="s">
        <v>566</v>
      </c>
      <c r="KSY93" s="83"/>
      <c r="KTN93" s="87" t="s">
        <v>566</v>
      </c>
      <c r="KTO93" s="83"/>
      <c r="KUD93" s="87" t="s">
        <v>566</v>
      </c>
      <c r="KUE93" s="83"/>
      <c r="KUT93" s="87" t="s">
        <v>566</v>
      </c>
      <c r="KUU93" s="83"/>
      <c r="KVJ93" s="87" t="s">
        <v>566</v>
      </c>
      <c r="KVK93" s="83"/>
      <c r="KVZ93" s="87" t="s">
        <v>566</v>
      </c>
      <c r="KWA93" s="83"/>
      <c r="KWP93" s="87" t="s">
        <v>566</v>
      </c>
      <c r="KWQ93" s="83"/>
      <c r="KXF93" s="87" t="s">
        <v>566</v>
      </c>
      <c r="KXG93" s="83"/>
      <c r="KXV93" s="87" t="s">
        <v>566</v>
      </c>
      <c r="KXW93" s="83"/>
      <c r="KYL93" s="87" t="s">
        <v>566</v>
      </c>
      <c r="KYM93" s="83"/>
      <c r="KZB93" s="87" t="s">
        <v>566</v>
      </c>
      <c r="KZC93" s="83"/>
      <c r="KZR93" s="87" t="s">
        <v>566</v>
      </c>
      <c r="KZS93" s="83"/>
      <c r="LAH93" s="87" t="s">
        <v>566</v>
      </c>
      <c r="LAI93" s="83"/>
      <c r="LAX93" s="87" t="s">
        <v>566</v>
      </c>
      <c r="LAY93" s="83"/>
      <c r="LBN93" s="87" t="s">
        <v>566</v>
      </c>
      <c r="LBO93" s="83"/>
      <c r="LCD93" s="87" t="s">
        <v>566</v>
      </c>
      <c r="LCE93" s="83"/>
      <c r="LCT93" s="87" t="s">
        <v>566</v>
      </c>
      <c r="LCU93" s="83"/>
      <c r="LDJ93" s="87" t="s">
        <v>566</v>
      </c>
      <c r="LDK93" s="83"/>
      <c r="LDZ93" s="87" t="s">
        <v>566</v>
      </c>
      <c r="LEA93" s="83"/>
      <c r="LEP93" s="87" t="s">
        <v>566</v>
      </c>
      <c r="LEQ93" s="83"/>
      <c r="LFF93" s="87" t="s">
        <v>566</v>
      </c>
      <c r="LFG93" s="83"/>
      <c r="LFV93" s="87" t="s">
        <v>566</v>
      </c>
      <c r="LFW93" s="83"/>
      <c r="LGL93" s="87" t="s">
        <v>566</v>
      </c>
      <c r="LGM93" s="83"/>
      <c r="LHB93" s="87" t="s">
        <v>566</v>
      </c>
      <c r="LHC93" s="83"/>
      <c r="LHR93" s="87" t="s">
        <v>566</v>
      </c>
      <c r="LHS93" s="83"/>
      <c r="LIH93" s="87" t="s">
        <v>566</v>
      </c>
      <c r="LII93" s="83"/>
      <c r="LIX93" s="87" t="s">
        <v>566</v>
      </c>
      <c r="LIY93" s="83"/>
      <c r="LJN93" s="87" t="s">
        <v>566</v>
      </c>
      <c r="LJO93" s="83"/>
      <c r="LKD93" s="87" t="s">
        <v>566</v>
      </c>
      <c r="LKE93" s="83"/>
      <c r="LKT93" s="87" t="s">
        <v>566</v>
      </c>
      <c r="LKU93" s="83"/>
      <c r="LLJ93" s="87" t="s">
        <v>566</v>
      </c>
      <c r="LLK93" s="83"/>
      <c r="LLZ93" s="87" t="s">
        <v>566</v>
      </c>
      <c r="LMA93" s="83"/>
      <c r="LMP93" s="87" t="s">
        <v>566</v>
      </c>
      <c r="LMQ93" s="83"/>
      <c r="LNF93" s="87" t="s">
        <v>566</v>
      </c>
      <c r="LNG93" s="83"/>
      <c r="LNV93" s="87" t="s">
        <v>566</v>
      </c>
      <c r="LNW93" s="83"/>
      <c r="LOL93" s="87" t="s">
        <v>566</v>
      </c>
      <c r="LOM93" s="83"/>
      <c r="LPB93" s="87" t="s">
        <v>566</v>
      </c>
      <c r="LPC93" s="83"/>
      <c r="LPR93" s="87" t="s">
        <v>566</v>
      </c>
      <c r="LPS93" s="83"/>
      <c r="LQH93" s="87" t="s">
        <v>566</v>
      </c>
      <c r="LQI93" s="83"/>
      <c r="LQX93" s="87" t="s">
        <v>566</v>
      </c>
      <c r="LQY93" s="83"/>
      <c r="LRN93" s="87" t="s">
        <v>566</v>
      </c>
      <c r="LRO93" s="83"/>
      <c r="LSD93" s="87" t="s">
        <v>566</v>
      </c>
      <c r="LSE93" s="83"/>
      <c r="LST93" s="87" t="s">
        <v>566</v>
      </c>
      <c r="LSU93" s="83"/>
      <c r="LTJ93" s="87" t="s">
        <v>566</v>
      </c>
      <c r="LTK93" s="83"/>
      <c r="LTZ93" s="87" t="s">
        <v>566</v>
      </c>
      <c r="LUA93" s="83"/>
      <c r="LUP93" s="87" t="s">
        <v>566</v>
      </c>
      <c r="LUQ93" s="83"/>
      <c r="LVF93" s="87" t="s">
        <v>566</v>
      </c>
      <c r="LVG93" s="83"/>
      <c r="LVV93" s="87" t="s">
        <v>566</v>
      </c>
      <c r="LVW93" s="83"/>
      <c r="LWL93" s="87" t="s">
        <v>566</v>
      </c>
      <c r="LWM93" s="83"/>
      <c r="LXB93" s="87" t="s">
        <v>566</v>
      </c>
      <c r="LXC93" s="83"/>
      <c r="LXR93" s="87" t="s">
        <v>566</v>
      </c>
      <c r="LXS93" s="83"/>
      <c r="LYH93" s="87" t="s">
        <v>566</v>
      </c>
      <c r="LYI93" s="83"/>
      <c r="LYX93" s="87" t="s">
        <v>566</v>
      </c>
      <c r="LYY93" s="83"/>
      <c r="LZN93" s="87" t="s">
        <v>566</v>
      </c>
      <c r="LZO93" s="83"/>
      <c r="MAD93" s="87" t="s">
        <v>566</v>
      </c>
      <c r="MAE93" s="83"/>
      <c r="MAT93" s="87" t="s">
        <v>566</v>
      </c>
      <c r="MAU93" s="83"/>
      <c r="MBJ93" s="87" t="s">
        <v>566</v>
      </c>
      <c r="MBK93" s="83"/>
      <c r="MBZ93" s="87" t="s">
        <v>566</v>
      </c>
      <c r="MCA93" s="83"/>
      <c r="MCP93" s="87" t="s">
        <v>566</v>
      </c>
      <c r="MCQ93" s="83"/>
      <c r="MDF93" s="87" t="s">
        <v>566</v>
      </c>
      <c r="MDG93" s="83"/>
      <c r="MDV93" s="87" t="s">
        <v>566</v>
      </c>
      <c r="MDW93" s="83"/>
      <c r="MEL93" s="87" t="s">
        <v>566</v>
      </c>
      <c r="MEM93" s="83"/>
      <c r="MFB93" s="87" t="s">
        <v>566</v>
      </c>
      <c r="MFC93" s="83"/>
      <c r="MFR93" s="87" t="s">
        <v>566</v>
      </c>
      <c r="MFS93" s="83"/>
      <c r="MGH93" s="87" t="s">
        <v>566</v>
      </c>
      <c r="MGI93" s="83"/>
      <c r="MGX93" s="87" t="s">
        <v>566</v>
      </c>
      <c r="MGY93" s="83"/>
      <c r="MHN93" s="87" t="s">
        <v>566</v>
      </c>
      <c r="MHO93" s="83"/>
      <c r="MID93" s="87" t="s">
        <v>566</v>
      </c>
      <c r="MIE93" s="83"/>
      <c r="MIT93" s="87" t="s">
        <v>566</v>
      </c>
      <c r="MIU93" s="83"/>
      <c r="MJJ93" s="87" t="s">
        <v>566</v>
      </c>
      <c r="MJK93" s="83"/>
      <c r="MJZ93" s="87" t="s">
        <v>566</v>
      </c>
      <c r="MKA93" s="83"/>
      <c r="MKP93" s="87" t="s">
        <v>566</v>
      </c>
      <c r="MKQ93" s="83"/>
      <c r="MLF93" s="87" t="s">
        <v>566</v>
      </c>
      <c r="MLG93" s="83"/>
      <c r="MLV93" s="87" t="s">
        <v>566</v>
      </c>
      <c r="MLW93" s="83"/>
      <c r="MML93" s="87" t="s">
        <v>566</v>
      </c>
      <c r="MMM93" s="83"/>
      <c r="MNB93" s="87" t="s">
        <v>566</v>
      </c>
      <c r="MNC93" s="83"/>
      <c r="MNR93" s="87" t="s">
        <v>566</v>
      </c>
      <c r="MNS93" s="83"/>
      <c r="MOH93" s="87" t="s">
        <v>566</v>
      </c>
      <c r="MOI93" s="83"/>
      <c r="MOX93" s="87" t="s">
        <v>566</v>
      </c>
      <c r="MOY93" s="83"/>
      <c r="MPN93" s="87" t="s">
        <v>566</v>
      </c>
      <c r="MPO93" s="83"/>
      <c r="MQD93" s="87" t="s">
        <v>566</v>
      </c>
      <c r="MQE93" s="83"/>
      <c r="MQT93" s="87" t="s">
        <v>566</v>
      </c>
      <c r="MQU93" s="83"/>
      <c r="MRJ93" s="87" t="s">
        <v>566</v>
      </c>
      <c r="MRK93" s="83"/>
      <c r="MRZ93" s="87" t="s">
        <v>566</v>
      </c>
      <c r="MSA93" s="83"/>
      <c r="MSP93" s="87" t="s">
        <v>566</v>
      </c>
      <c r="MSQ93" s="83"/>
      <c r="MTF93" s="87" t="s">
        <v>566</v>
      </c>
      <c r="MTG93" s="83"/>
      <c r="MTV93" s="87" t="s">
        <v>566</v>
      </c>
      <c r="MTW93" s="83"/>
      <c r="MUL93" s="87" t="s">
        <v>566</v>
      </c>
      <c r="MUM93" s="83"/>
      <c r="MVB93" s="87" t="s">
        <v>566</v>
      </c>
      <c r="MVC93" s="83"/>
      <c r="MVR93" s="87" t="s">
        <v>566</v>
      </c>
      <c r="MVS93" s="83"/>
      <c r="MWH93" s="87" t="s">
        <v>566</v>
      </c>
      <c r="MWI93" s="83"/>
      <c r="MWX93" s="87" t="s">
        <v>566</v>
      </c>
      <c r="MWY93" s="83"/>
      <c r="MXN93" s="87" t="s">
        <v>566</v>
      </c>
      <c r="MXO93" s="83"/>
      <c r="MYD93" s="87" t="s">
        <v>566</v>
      </c>
      <c r="MYE93" s="83"/>
      <c r="MYT93" s="87" t="s">
        <v>566</v>
      </c>
      <c r="MYU93" s="83"/>
      <c r="MZJ93" s="87" t="s">
        <v>566</v>
      </c>
      <c r="MZK93" s="83"/>
      <c r="MZZ93" s="87" t="s">
        <v>566</v>
      </c>
      <c r="NAA93" s="83"/>
      <c r="NAP93" s="87" t="s">
        <v>566</v>
      </c>
      <c r="NAQ93" s="83"/>
      <c r="NBF93" s="87" t="s">
        <v>566</v>
      </c>
      <c r="NBG93" s="83"/>
      <c r="NBV93" s="87" t="s">
        <v>566</v>
      </c>
      <c r="NBW93" s="83"/>
      <c r="NCL93" s="87" t="s">
        <v>566</v>
      </c>
      <c r="NCM93" s="83"/>
      <c r="NDB93" s="87" t="s">
        <v>566</v>
      </c>
      <c r="NDC93" s="83"/>
      <c r="NDR93" s="87" t="s">
        <v>566</v>
      </c>
      <c r="NDS93" s="83"/>
      <c r="NEH93" s="87" t="s">
        <v>566</v>
      </c>
      <c r="NEI93" s="83"/>
      <c r="NEX93" s="87" t="s">
        <v>566</v>
      </c>
      <c r="NEY93" s="83"/>
      <c r="NFN93" s="87" t="s">
        <v>566</v>
      </c>
      <c r="NFO93" s="83"/>
      <c r="NGD93" s="87" t="s">
        <v>566</v>
      </c>
      <c r="NGE93" s="83"/>
      <c r="NGT93" s="87" t="s">
        <v>566</v>
      </c>
      <c r="NGU93" s="83"/>
      <c r="NHJ93" s="87" t="s">
        <v>566</v>
      </c>
      <c r="NHK93" s="83"/>
      <c r="NHZ93" s="87" t="s">
        <v>566</v>
      </c>
      <c r="NIA93" s="83"/>
      <c r="NIP93" s="87" t="s">
        <v>566</v>
      </c>
      <c r="NIQ93" s="83"/>
      <c r="NJF93" s="87" t="s">
        <v>566</v>
      </c>
      <c r="NJG93" s="83"/>
      <c r="NJV93" s="87" t="s">
        <v>566</v>
      </c>
      <c r="NJW93" s="83"/>
      <c r="NKL93" s="87" t="s">
        <v>566</v>
      </c>
      <c r="NKM93" s="83"/>
      <c r="NLB93" s="87" t="s">
        <v>566</v>
      </c>
      <c r="NLC93" s="83"/>
      <c r="NLR93" s="87" t="s">
        <v>566</v>
      </c>
      <c r="NLS93" s="83"/>
      <c r="NMH93" s="87" t="s">
        <v>566</v>
      </c>
      <c r="NMI93" s="83"/>
      <c r="NMX93" s="87" t="s">
        <v>566</v>
      </c>
      <c r="NMY93" s="83"/>
      <c r="NNN93" s="87" t="s">
        <v>566</v>
      </c>
      <c r="NNO93" s="83"/>
      <c r="NOD93" s="87" t="s">
        <v>566</v>
      </c>
      <c r="NOE93" s="83"/>
      <c r="NOT93" s="87" t="s">
        <v>566</v>
      </c>
      <c r="NOU93" s="83"/>
      <c r="NPJ93" s="87" t="s">
        <v>566</v>
      </c>
      <c r="NPK93" s="83"/>
      <c r="NPZ93" s="87" t="s">
        <v>566</v>
      </c>
      <c r="NQA93" s="83"/>
      <c r="NQP93" s="87" t="s">
        <v>566</v>
      </c>
      <c r="NQQ93" s="83"/>
      <c r="NRF93" s="87" t="s">
        <v>566</v>
      </c>
      <c r="NRG93" s="83"/>
      <c r="NRV93" s="87" t="s">
        <v>566</v>
      </c>
      <c r="NRW93" s="83"/>
      <c r="NSL93" s="87" t="s">
        <v>566</v>
      </c>
      <c r="NSM93" s="83"/>
      <c r="NTB93" s="87" t="s">
        <v>566</v>
      </c>
      <c r="NTC93" s="83"/>
      <c r="NTR93" s="87" t="s">
        <v>566</v>
      </c>
      <c r="NTS93" s="83"/>
      <c r="NUH93" s="87" t="s">
        <v>566</v>
      </c>
      <c r="NUI93" s="83"/>
      <c r="NUX93" s="87" t="s">
        <v>566</v>
      </c>
      <c r="NUY93" s="83"/>
      <c r="NVN93" s="87" t="s">
        <v>566</v>
      </c>
      <c r="NVO93" s="83"/>
      <c r="NWD93" s="87" t="s">
        <v>566</v>
      </c>
      <c r="NWE93" s="83"/>
      <c r="NWT93" s="87" t="s">
        <v>566</v>
      </c>
      <c r="NWU93" s="83"/>
      <c r="NXJ93" s="87" t="s">
        <v>566</v>
      </c>
      <c r="NXK93" s="83"/>
      <c r="NXZ93" s="87" t="s">
        <v>566</v>
      </c>
      <c r="NYA93" s="83"/>
      <c r="NYP93" s="87" t="s">
        <v>566</v>
      </c>
      <c r="NYQ93" s="83"/>
      <c r="NZF93" s="87" t="s">
        <v>566</v>
      </c>
      <c r="NZG93" s="83"/>
      <c r="NZV93" s="87" t="s">
        <v>566</v>
      </c>
      <c r="NZW93" s="83"/>
      <c r="OAL93" s="87" t="s">
        <v>566</v>
      </c>
      <c r="OAM93" s="83"/>
      <c r="OBB93" s="87" t="s">
        <v>566</v>
      </c>
      <c r="OBC93" s="83"/>
      <c r="OBR93" s="87" t="s">
        <v>566</v>
      </c>
      <c r="OBS93" s="83"/>
      <c r="OCH93" s="87" t="s">
        <v>566</v>
      </c>
      <c r="OCI93" s="83"/>
      <c r="OCX93" s="87" t="s">
        <v>566</v>
      </c>
      <c r="OCY93" s="83"/>
      <c r="ODN93" s="87" t="s">
        <v>566</v>
      </c>
      <c r="ODO93" s="83"/>
      <c r="OED93" s="87" t="s">
        <v>566</v>
      </c>
      <c r="OEE93" s="83"/>
      <c r="OET93" s="87" t="s">
        <v>566</v>
      </c>
      <c r="OEU93" s="83"/>
      <c r="OFJ93" s="87" t="s">
        <v>566</v>
      </c>
      <c r="OFK93" s="83"/>
      <c r="OFZ93" s="87" t="s">
        <v>566</v>
      </c>
      <c r="OGA93" s="83"/>
      <c r="OGP93" s="87" t="s">
        <v>566</v>
      </c>
      <c r="OGQ93" s="83"/>
      <c r="OHF93" s="87" t="s">
        <v>566</v>
      </c>
      <c r="OHG93" s="83"/>
      <c r="OHV93" s="87" t="s">
        <v>566</v>
      </c>
      <c r="OHW93" s="83"/>
      <c r="OIL93" s="87" t="s">
        <v>566</v>
      </c>
      <c r="OIM93" s="83"/>
      <c r="OJB93" s="87" t="s">
        <v>566</v>
      </c>
      <c r="OJC93" s="83"/>
      <c r="OJR93" s="87" t="s">
        <v>566</v>
      </c>
      <c r="OJS93" s="83"/>
      <c r="OKH93" s="87" t="s">
        <v>566</v>
      </c>
      <c r="OKI93" s="83"/>
      <c r="OKX93" s="87" t="s">
        <v>566</v>
      </c>
      <c r="OKY93" s="83"/>
      <c r="OLN93" s="87" t="s">
        <v>566</v>
      </c>
      <c r="OLO93" s="83"/>
      <c r="OMD93" s="87" t="s">
        <v>566</v>
      </c>
      <c r="OME93" s="83"/>
      <c r="OMT93" s="87" t="s">
        <v>566</v>
      </c>
      <c r="OMU93" s="83"/>
      <c r="ONJ93" s="87" t="s">
        <v>566</v>
      </c>
      <c r="ONK93" s="83"/>
      <c r="ONZ93" s="87" t="s">
        <v>566</v>
      </c>
      <c r="OOA93" s="83"/>
      <c r="OOP93" s="87" t="s">
        <v>566</v>
      </c>
      <c r="OOQ93" s="83"/>
      <c r="OPF93" s="87" t="s">
        <v>566</v>
      </c>
      <c r="OPG93" s="83"/>
      <c r="OPV93" s="87" t="s">
        <v>566</v>
      </c>
      <c r="OPW93" s="83"/>
      <c r="OQL93" s="87" t="s">
        <v>566</v>
      </c>
      <c r="OQM93" s="83"/>
      <c r="ORB93" s="87" t="s">
        <v>566</v>
      </c>
      <c r="ORC93" s="83"/>
      <c r="ORR93" s="87" t="s">
        <v>566</v>
      </c>
      <c r="ORS93" s="83"/>
      <c r="OSH93" s="87" t="s">
        <v>566</v>
      </c>
      <c r="OSI93" s="83"/>
      <c r="OSX93" s="87" t="s">
        <v>566</v>
      </c>
      <c r="OSY93" s="83"/>
      <c r="OTN93" s="87" t="s">
        <v>566</v>
      </c>
      <c r="OTO93" s="83"/>
      <c r="OUD93" s="87" t="s">
        <v>566</v>
      </c>
      <c r="OUE93" s="83"/>
      <c r="OUT93" s="87" t="s">
        <v>566</v>
      </c>
      <c r="OUU93" s="83"/>
      <c r="OVJ93" s="87" t="s">
        <v>566</v>
      </c>
      <c r="OVK93" s="83"/>
      <c r="OVZ93" s="87" t="s">
        <v>566</v>
      </c>
      <c r="OWA93" s="83"/>
      <c r="OWP93" s="87" t="s">
        <v>566</v>
      </c>
      <c r="OWQ93" s="83"/>
      <c r="OXF93" s="87" t="s">
        <v>566</v>
      </c>
      <c r="OXG93" s="83"/>
      <c r="OXV93" s="87" t="s">
        <v>566</v>
      </c>
      <c r="OXW93" s="83"/>
      <c r="OYL93" s="87" t="s">
        <v>566</v>
      </c>
      <c r="OYM93" s="83"/>
      <c r="OZB93" s="87" t="s">
        <v>566</v>
      </c>
      <c r="OZC93" s="83"/>
      <c r="OZR93" s="87" t="s">
        <v>566</v>
      </c>
      <c r="OZS93" s="83"/>
      <c r="PAH93" s="87" t="s">
        <v>566</v>
      </c>
      <c r="PAI93" s="83"/>
      <c r="PAX93" s="87" t="s">
        <v>566</v>
      </c>
      <c r="PAY93" s="83"/>
      <c r="PBN93" s="87" t="s">
        <v>566</v>
      </c>
      <c r="PBO93" s="83"/>
      <c r="PCD93" s="87" t="s">
        <v>566</v>
      </c>
      <c r="PCE93" s="83"/>
      <c r="PCT93" s="87" t="s">
        <v>566</v>
      </c>
      <c r="PCU93" s="83"/>
      <c r="PDJ93" s="87" t="s">
        <v>566</v>
      </c>
      <c r="PDK93" s="83"/>
      <c r="PDZ93" s="87" t="s">
        <v>566</v>
      </c>
      <c r="PEA93" s="83"/>
      <c r="PEP93" s="87" t="s">
        <v>566</v>
      </c>
      <c r="PEQ93" s="83"/>
      <c r="PFF93" s="87" t="s">
        <v>566</v>
      </c>
      <c r="PFG93" s="83"/>
      <c r="PFV93" s="87" t="s">
        <v>566</v>
      </c>
      <c r="PFW93" s="83"/>
      <c r="PGL93" s="87" t="s">
        <v>566</v>
      </c>
      <c r="PGM93" s="83"/>
      <c r="PHB93" s="87" t="s">
        <v>566</v>
      </c>
      <c r="PHC93" s="83"/>
      <c r="PHR93" s="87" t="s">
        <v>566</v>
      </c>
      <c r="PHS93" s="83"/>
      <c r="PIH93" s="87" t="s">
        <v>566</v>
      </c>
      <c r="PII93" s="83"/>
      <c r="PIX93" s="87" t="s">
        <v>566</v>
      </c>
      <c r="PIY93" s="83"/>
      <c r="PJN93" s="87" t="s">
        <v>566</v>
      </c>
      <c r="PJO93" s="83"/>
      <c r="PKD93" s="87" t="s">
        <v>566</v>
      </c>
      <c r="PKE93" s="83"/>
      <c r="PKT93" s="87" t="s">
        <v>566</v>
      </c>
      <c r="PKU93" s="83"/>
      <c r="PLJ93" s="87" t="s">
        <v>566</v>
      </c>
      <c r="PLK93" s="83"/>
      <c r="PLZ93" s="87" t="s">
        <v>566</v>
      </c>
      <c r="PMA93" s="83"/>
      <c r="PMP93" s="87" t="s">
        <v>566</v>
      </c>
      <c r="PMQ93" s="83"/>
      <c r="PNF93" s="87" t="s">
        <v>566</v>
      </c>
      <c r="PNG93" s="83"/>
      <c r="PNV93" s="87" t="s">
        <v>566</v>
      </c>
      <c r="PNW93" s="83"/>
      <c r="POL93" s="87" t="s">
        <v>566</v>
      </c>
      <c r="POM93" s="83"/>
      <c r="PPB93" s="87" t="s">
        <v>566</v>
      </c>
      <c r="PPC93" s="83"/>
      <c r="PPR93" s="87" t="s">
        <v>566</v>
      </c>
      <c r="PPS93" s="83"/>
      <c r="PQH93" s="87" t="s">
        <v>566</v>
      </c>
      <c r="PQI93" s="83"/>
      <c r="PQX93" s="87" t="s">
        <v>566</v>
      </c>
      <c r="PQY93" s="83"/>
      <c r="PRN93" s="87" t="s">
        <v>566</v>
      </c>
      <c r="PRO93" s="83"/>
      <c r="PSD93" s="87" t="s">
        <v>566</v>
      </c>
      <c r="PSE93" s="83"/>
      <c r="PST93" s="87" t="s">
        <v>566</v>
      </c>
      <c r="PSU93" s="83"/>
      <c r="PTJ93" s="87" t="s">
        <v>566</v>
      </c>
      <c r="PTK93" s="83"/>
      <c r="PTZ93" s="87" t="s">
        <v>566</v>
      </c>
      <c r="PUA93" s="83"/>
      <c r="PUP93" s="87" t="s">
        <v>566</v>
      </c>
      <c r="PUQ93" s="83"/>
      <c r="PVF93" s="87" t="s">
        <v>566</v>
      </c>
      <c r="PVG93" s="83"/>
      <c r="PVV93" s="87" t="s">
        <v>566</v>
      </c>
      <c r="PVW93" s="83"/>
      <c r="PWL93" s="87" t="s">
        <v>566</v>
      </c>
      <c r="PWM93" s="83"/>
      <c r="PXB93" s="87" t="s">
        <v>566</v>
      </c>
      <c r="PXC93" s="83"/>
      <c r="PXR93" s="87" t="s">
        <v>566</v>
      </c>
      <c r="PXS93" s="83"/>
      <c r="PYH93" s="87" t="s">
        <v>566</v>
      </c>
      <c r="PYI93" s="83"/>
      <c r="PYX93" s="87" t="s">
        <v>566</v>
      </c>
      <c r="PYY93" s="83"/>
      <c r="PZN93" s="87" t="s">
        <v>566</v>
      </c>
      <c r="PZO93" s="83"/>
      <c r="QAD93" s="87" t="s">
        <v>566</v>
      </c>
      <c r="QAE93" s="83"/>
      <c r="QAT93" s="87" t="s">
        <v>566</v>
      </c>
      <c r="QAU93" s="83"/>
      <c r="QBJ93" s="87" t="s">
        <v>566</v>
      </c>
      <c r="QBK93" s="83"/>
      <c r="QBZ93" s="87" t="s">
        <v>566</v>
      </c>
      <c r="QCA93" s="83"/>
      <c r="QCP93" s="87" t="s">
        <v>566</v>
      </c>
      <c r="QCQ93" s="83"/>
      <c r="QDF93" s="87" t="s">
        <v>566</v>
      </c>
      <c r="QDG93" s="83"/>
      <c r="QDV93" s="87" t="s">
        <v>566</v>
      </c>
      <c r="QDW93" s="83"/>
      <c r="QEL93" s="87" t="s">
        <v>566</v>
      </c>
      <c r="QEM93" s="83"/>
      <c r="QFB93" s="87" t="s">
        <v>566</v>
      </c>
      <c r="QFC93" s="83"/>
      <c r="QFR93" s="87" t="s">
        <v>566</v>
      </c>
      <c r="QFS93" s="83"/>
      <c r="QGH93" s="87" t="s">
        <v>566</v>
      </c>
      <c r="QGI93" s="83"/>
      <c r="QGX93" s="87" t="s">
        <v>566</v>
      </c>
      <c r="QGY93" s="83"/>
      <c r="QHN93" s="87" t="s">
        <v>566</v>
      </c>
      <c r="QHO93" s="83"/>
      <c r="QID93" s="87" t="s">
        <v>566</v>
      </c>
      <c r="QIE93" s="83"/>
      <c r="QIT93" s="87" t="s">
        <v>566</v>
      </c>
      <c r="QIU93" s="83"/>
      <c r="QJJ93" s="87" t="s">
        <v>566</v>
      </c>
      <c r="QJK93" s="83"/>
      <c r="QJZ93" s="87" t="s">
        <v>566</v>
      </c>
      <c r="QKA93" s="83"/>
      <c r="QKP93" s="87" t="s">
        <v>566</v>
      </c>
      <c r="QKQ93" s="83"/>
      <c r="QLF93" s="87" t="s">
        <v>566</v>
      </c>
      <c r="QLG93" s="83"/>
      <c r="QLV93" s="87" t="s">
        <v>566</v>
      </c>
      <c r="QLW93" s="83"/>
      <c r="QML93" s="87" t="s">
        <v>566</v>
      </c>
      <c r="QMM93" s="83"/>
      <c r="QNB93" s="87" t="s">
        <v>566</v>
      </c>
      <c r="QNC93" s="83"/>
      <c r="QNR93" s="87" t="s">
        <v>566</v>
      </c>
      <c r="QNS93" s="83"/>
      <c r="QOH93" s="87" t="s">
        <v>566</v>
      </c>
      <c r="QOI93" s="83"/>
      <c r="QOX93" s="87" t="s">
        <v>566</v>
      </c>
      <c r="QOY93" s="83"/>
      <c r="QPN93" s="87" t="s">
        <v>566</v>
      </c>
      <c r="QPO93" s="83"/>
      <c r="QQD93" s="87" t="s">
        <v>566</v>
      </c>
      <c r="QQE93" s="83"/>
      <c r="QQT93" s="87" t="s">
        <v>566</v>
      </c>
      <c r="QQU93" s="83"/>
      <c r="QRJ93" s="87" t="s">
        <v>566</v>
      </c>
      <c r="QRK93" s="83"/>
      <c r="QRZ93" s="87" t="s">
        <v>566</v>
      </c>
      <c r="QSA93" s="83"/>
      <c r="QSP93" s="87" t="s">
        <v>566</v>
      </c>
      <c r="QSQ93" s="83"/>
      <c r="QTF93" s="87" t="s">
        <v>566</v>
      </c>
      <c r="QTG93" s="83"/>
      <c r="QTV93" s="87" t="s">
        <v>566</v>
      </c>
      <c r="QTW93" s="83"/>
      <c r="QUL93" s="87" t="s">
        <v>566</v>
      </c>
      <c r="QUM93" s="83"/>
      <c r="QVB93" s="87" t="s">
        <v>566</v>
      </c>
      <c r="QVC93" s="83"/>
      <c r="QVR93" s="87" t="s">
        <v>566</v>
      </c>
      <c r="QVS93" s="83"/>
      <c r="QWH93" s="87" t="s">
        <v>566</v>
      </c>
      <c r="QWI93" s="83"/>
      <c r="QWX93" s="87" t="s">
        <v>566</v>
      </c>
      <c r="QWY93" s="83"/>
      <c r="QXN93" s="87" t="s">
        <v>566</v>
      </c>
      <c r="QXO93" s="83"/>
      <c r="QYD93" s="87" t="s">
        <v>566</v>
      </c>
      <c r="QYE93" s="83"/>
      <c r="QYT93" s="87" t="s">
        <v>566</v>
      </c>
      <c r="QYU93" s="83"/>
      <c r="QZJ93" s="87" t="s">
        <v>566</v>
      </c>
      <c r="QZK93" s="83"/>
      <c r="QZZ93" s="87" t="s">
        <v>566</v>
      </c>
      <c r="RAA93" s="83"/>
      <c r="RAP93" s="87" t="s">
        <v>566</v>
      </c>
      <c r="RAQ93" s="83"/>
      <c r="RBF93" s="87" t="s">
        <v>566</v>
      </c>
      <c r="RBG93" s="83"/>
      <c r="RBV93" s="87" t="s">
        <v>566</v>
      </c>
      <c r="RBW93" s="83"/>
      <c r="RCL93" s="87" t="s">
        <v>566</v>
      </c>
      <c r="RCM93" s="83"/>
      <c r="RDB93" s="87" t="s">
        <v>566</v>
      </c>
      <c r="RDC93" s="83"/>
      <c r="RDR93" s="87" t="s">
        <v>566</v>
      </c>
      <c r="RDS93" s="83"/>
      <c r="REH93" s="87" t="s">
        <v>566</v>
      </c>
      <c r="REI93" s="83"/>
      <c r="REX93" s="87" t="s">
        <v>566</v>
      </c>
      <c r="REY93" s="83"/>
      <c r="RFN93" s="87" t="s">
        <v>566</v>
      </c>
      <c r="RFO93" s="83"/>
      <c r="RGD93" s="87" t="s">
        <v>566</v>
      </c>
      <c r="RGE93" s="83"/>
      <c r="RGT93" s="87" t="s">
        <v>566</v>
      </c>
      <c r="RGU93" s="83"/>
      <c r="RHJ93" s="87" t="s">
        <v>566</v>
      </c>
      <c r="RHK93" s="83"/>
      <c r="RHZ93" s="87" t="s">
        <v>566</v>
      </c>
      <c r="RIA93" s="83"/>
      <c r="RIP93" s="87" t="s">
        <v>566</v>
      </c>
      <c r="RIQ93" s="83"/>
      <c r="RJF93" s="87" t="s">
        <v>566</v>
      </c>
      <c r="RJG93" s="83"/>
      <c r="RJV93" s="87" t="s">
        <v>566</v>
      </c>
      <c r="RJW93" s="83"/>
      <c r="RKL93" s="87" t="s">
        <v>566</v>
      </c>
      <c r="RKM93" s="83"/>
      <c r="RLB93" s="87" t="s">
        <v>566</v>
      </c>
      <c r="RLC93" s="83"/>
      <c r="RLR93" s="87" t="s">
        <v>566</v>
      </c>
      <c r="RLS93" s="83"/>
      <c r="RMH93" s="87" t="s">
        <v>566</v>
      </c>
      <c r="RMI93" s="83"/>
      <c r="RMX93" s="87" t="s">
        <v>566</v>
      </c>
      <c r="RMY93" s="83"/>
      <c r="RNN93" s="87" t="s">
        <v>566</v>
      </c>
      <c r="RNO93" s="83"/>
      <c r="ROD93" s="87" t="s">
        <v>566</v>
      </c>
      <c r="ROE93" s="83"/>
      <c r="ROT93" s="87" t="s">
        <v>566</v>
      </c>
      <c r="ROU93" s="83"/>
      <c r="RPJ93" s="87" t="s">
        <v>566</v>
      </c>
      <c r="RPK93" s="83"/>
      <c r="RPZ93" s="87" t="s">
        <v>566</v>
      </c>
      <c r="RQA93" s="83"/>
      <c r="RQP93" s="87" t="s">
        <v>566</v>
      </c>
      <c r="RQQ93" s="83"/>
      <c r="RRF93" s="87" t="s">
        <v>566</v>
      </c>
      <c r="RRG93" s="83"/>
      <c r="RRV93" s="87" t="s">
        <v>566</v>
      </c>
      <c r="RRW93" s="83"/>
      <c r="RSL93" s="87" t="s">
        <v>566</v>
      </c>
      <c r="RSM93" s="83"/>
      <c r="RTB93" s="87" t="s">
        <v>566</v>
      </c>
      <c r="RTC93" s="83"/>
      <c r="RTR93" s="87" t="s">
        <v>566</v>
      </c>
      <c r="RTS93" s="83"/>
      <c r="RUH93" s="87" t="s">
        <v>566</v>
      </c>
      <c r="RUI93" s="83"/>
      <c r="RUX93" s="87" t="s">
        <v>566</v>
      </c>
      <c r="RUY93" s="83"/>
      <c r="RVN93" s="87" t="s">
        <v>566</v>
      </c>
      <c r="RVO93" s="83"/>
      <c r="RWD93" s="87" t="s">
        <v>566</v>
      </c>
      <c r="RWE93" s="83"/>
      <c r="RWT93" s="87" t="s">
        <v>566</v>
      </c>
      <c r="RWU93" s="83"/>
      <c r="RXJ93" s="87" t="s">
        <v>566</v>
      </c>
      <c r="RXK93" s="83"/>
      <c r="RXZ93" s="87" t="s">
        <v>566</v>
      </c>
      <c r="RYA93" s="83"/>
      <c r="RYP93" s="87" t="s">
        <v>566</v>
      </c>
      <c r="RYQ93" s="83"/>
      <c r="RZF93" s="87" t="s">
        <v>566</v>
      </c>
      <c r="RZG93" s="83"/>
      <c r="RZV93" s="87" t="s">
        <v>566</v>
      </c>
      <c r="RZW93" s="83"/>
      <c r="SAL93" s="87" t="s">
        <v>566</v>
      </c>
      <c r="SAM93" s="83"/>
      <c r="SBB93" s="87" t="s">
        <v>566</v>
      </c>
      <c r="SBC93" s="83"/>
      <c r="SBR93" s="87" t="s">
        <v>566</v>
      </c>
      <c r="SBS93" s="83"/>
      <c r="SCH93" s="87" t="s">
        <v>566</v>
      </c>
      <c r="SCI93" s="83"/>
      <c r="SCX93" s="87" t="s">
        <v>566</v>
      </c>
      <c r="SCY93" s="83"/>
      <c r="SDN93" s="87" t="s">
        <v>566</v>
      </c>
      <c r="SDO93" s="83"/>
      <c r="SED93" s="87" t="s">
        <v>566</v>
      </c>
      <c r="SEE93" s="83"/>
      <c r="SET93" s="87" t="s">
        <v>566</v>
      </c>
      <c r="SEU93" s="83"/>
      <c r="SFJ93" s="87" t="s">
        <v>566</v>
      </c>
      <c r="SFK93" s="83"/>
      <c r="SFZ93" s="87" t="s">
        <v>566</v>
      </c>
      <c r="SGA93" s="83"/>
      <c r="SGP93" s="87" t="s">
        <v>566</v>
      </c>
      <c r="SGQ93" s="83"/>
      <c r="SHF93" s="87" t="s">
        <v>566</v>
      </c>
      <c r="SHG93" s="83"/>
      <c r="SHV93" s="87" t="s">
        <v>566</v>
      </c>
      <c r="SHW93" s="83"/>
      <c r="SIL93" s="87" t="s">
        <v>566</v>
      </c>
      <c r="SIM93" s="83"/>
      <c r="SJB93" s="87" t="s">
        <v>566</v>
      </c>
      <c r="SJC93" s="83"/>
      <c r="SJR93" s="87" t="s">
        <v>566</v>
      </c>
      <c r="SJS93" s="83"/>
      <c r="SKH93" s="87" t="s">
        <v>566</v>
      </c>
      <c r="SKI93" s="83"/>
      <c r="SKX93" s="87" t="s">
        <v>566</v>
      </c>
      <c r="SKY93" s="83"/>
      <c r="SLN93" s="87" t="s">
        <v>566</v>
      </c>
      <c r="SLO93" s="83"/>
      <c r="SMD93" s="87" t="s">
        <v>566</v>
      </c>
      <c r="SME93" s="83"/>
      <c r="SMT93" s="87" t="s">
        <v>566</v>
      </c>
      <c r="SMU93" s="83"/>
      <c r="SNJ93" s="87" t="s">
        <v>566</v>
      </c>
      <c r="SNK93" s="83"/>
      <c r="SNZ93" s="87" t="s">
        <v>566</v>
      </c>
      <c r="SOA93" s="83"/>
      <c r="SOP93" s="87" t="s">
        <v>566</v>
      </c>
      <c r="SOQ93" s="83"/>
      <c r="SPF93" s="87" t="s">
        <v>566</v>
      </c>
      <c r="SPG93" s="83"/>
      <c r="SPV93" s="87" t="s">
        <v>566</v>
      </c>
      <c r="SPW93" s="83"/>
      <c r="SQL93" s="87" t="s">
        <v>566</v>
      </c>
      <c r="SQM93" s="83"/>
      <c r="SRB93" s="87" t="s">
        <v>566</v>
      </c>
      <c r="SRC93" s="83"/>
      <c r="SRR93" s="87" t="s">
        <v>566</v>
      </c>
      <c r="SRS93" s="83"/>
      <c r="SSH93" s="87" t="s">
        <v>566</v>
      </c>
      <c r="SSI93" s="83"/>
      <c r="SSX93" s="87" t="s">
        <v>566</v>
      </c>
      <c r="SSY93" s="83"/>
      <c r="STN93" s="87" t="s">
        <v>566</v>
      </c>
      <c r="STO93" s="83"/>
      <c r="SUD93" s="87" t="s">
        <v>566</v>
      </c>
      <c r="SUE93" s="83"/>
      <c r="SUT93" s="87" t="s">
        <v>566</v>
      </c>
      <c r="SUU93" s="83"/>
      <c r="SVJ93" s="87" t="s">
        <v>566</v>
      </c>
      <c r="SVK93" s="83"/>
      <c r="SVZ93" s="87" t="s">
        <v>566</v>
      </c>
      <c r="SWA93" s="83"/>
      <c r="SWP93" s="87" t="s">
        <v>566</v>
      </c>
      <c r="SWQ93" s="83"/>
      <c r="SXF93" s="87" t="s">
        <v>566</v>
      </c>
      <c r="SXG93" s="83"/>
      <c r="SXV93" s="87" t="s">
        <v>566</v>
      </c>
      <c r="SXW93" s="83"/>
      <c r="SYL93" s="87" t="s">
        <v>566</v>
      </c>
      <c r="SYM93" s="83"/>
      <c r="SZB93" s="87" t="s">
        <v>566</v>
      </c>
      <c r="SZC93" s="83"/>
      <c r="SZR93" s="87" t="s">
        <v>566</v>
      </c>
      <c r="SZS93" s="83"/>
      <c r="TAH93" s="87" t="s">
        <v>566</v>
      </c>
      <c r="TAI93" s="83"/>
      <c r="TAX93" s="87" t="s">
        <v>566</v>
      </c>
      <c r="TAY93" s="83"/>
      <c r="TBN93" s="87" t="s">
        <v>566</v>
      </c>
      <c r="TBO93" s="83"/>
      <c r="TCD93" s="87" t="s">
        <v>566</v>
      </c>
      <c r="TCE93" s="83"/>
      <c r="TCT93" s="87" t="s">
        <v>566</v>
      </c>
      <c r="TCU93" s="83"/>
      <c r="TDJ93" s="87" t="s">
        <v>566</v>
      </c>
      <c r="TDK93" s="83"/>
      <c r="TDZ93" s="87" t="s">
        <v>566</v>
      </c>
      <c r="TEA93" s="83"/>
      <c r="TEP93" s="87" t="s">
        <v>566</v>
      </c>
      <c r="TEQ93" s="83"/>
      <c r="TFF93" s="87" t="s">
        <v>566</v>
      </c>
      <c r="TFG93" s="83"/>
      <c r="TFV93" s="87" t="s">
        <v>566</v>
      </c>
      <c r="TFW93" s="83"/>
      <c r="TGL93" s="87" t="s">
        <v>566</v>
      </c>
      <c r="TGM93" s="83"/>
      <c r="THB93" s="87" t="s">
        <v>566</v>
      </c>
      <c r="THC93" s="83"/>
      <c r="THR93" s="87" t="s">
        <v>566</v>
      </c>
      <c r="THS93" s="83"/>
      <c r="TIH93" s="87" t="s">
        <v>566</v>
      </c>
      <c r="TII93" s="83"/>
      <c r="TIX93" s="87" t="s">
        <v>566</v>
      </c>
      <c r="TIY93" s="83"/>
      <c r="TJN93" s="87" t="s">
        <v>566</v>
      </c>
      <c r="TJO93" s="83"/>
      <c r="TKD93" s="87" t="s">
        <v>566</v>
      </c>
      <c r="TKE93" s="83"/>
      <c r="TKT93" s="87" t="s">
        <v>566</v>
      </c>
      <c r="TKU93" s="83"/>
      <c r="TLJ93" s="87" t="s">
        <v>566</v>
      </c>
      <c r="TLK93" s="83"/>
      <c r="TLZ93" s="87" t="s">
        <v>566</v>
      </c>
      <c r="TMA93" s="83"/>
      <c r="TMP93" s="87" t="s">
        <v>566</v>
      </c>
      <c r="TMQ93" s="83"/>
      <c r="TNF93" s="87" t="s">
        <v>566</v>
      </c>
      <c r="TNG93" s="83"/>
      <c r="TNV93" s="87" t="s">
        <v>566</v>
      </c>
      <c r="TNW93" s="83"/>
      <c r="TOL93" s="87" t="s">
        <v>566</v>
      </c>
      <c r="TOM93" s="83"/>
      <c r="TPB93" s="87" t="s">
        <v>566</v>
      </c>
      <c r="TPC93" s="83"/>
      <c r="TPR93" s="87" t="s">
        <v>566</v>
      </c>
      <c r="TPS93" s="83"/>
      <c r="TQH93" s="87" t="s">
        <v>566</v>
      </c>
      <c r="TQI93" s="83"/>
      <c r="TQX93" s="87" t="s">
        <v>566</v>
      </c>
      <c r="TQY93" s="83"/>
      <c r="TRN93" s="87" t="s">
        <v>566</v>
      </c>
      <c r="TRO93" s="83"/>
      <c r="TSD93" s="87" t="s">
        <v>566</v>
      </c>
      <c r="TSE93" s="83"/>
      <c r="TST93" s="87" t="s">
        <v>566</v>
      </c>
      <c r="TSU93" s="83"/>
      <c r="TTJ93" s="87" t="s">
        <v>566</v>
      </c>
      <c r="TTK93" s="83"/>
      <c r="TTZ93" s="87" t="s">
        <v>566</v>
      </c>
      <c r="TUA93" s="83"/>
      <c r="TUP93" s="87" t="s">
        <v>566</v>
      </c>
      <c r="TUQ93" s="83"/>
      <c r="TVF93" s="87" t="s">
        <v>566</v>
      </c>
      <c r="TVG93" s="83"/>
      <c r="TVV93" s="87" t="s">
        <v>566</v>
      </c>
      <c r="TVW93" s="83"/>
      <c r="TWL93" s="87" t="s">
        <v>566</v>
      </c>
      <c r="TWM93" s="83"/>
      <c r="TXB93" s="87" t="s">
        <v>566</v>
      </c>
      <c r="TXC93" s="83"/>
      <c r="TXR93" s="87" t="s">
        <v>566</v>
      </c>
      <c r="TXS93" s="83"/>
      <c r="TYH93" s="87" t="s">
        <v>566</v>
      </c>
      <c r="TYI93" s="83"/>
      <c r="TYX93" s="87" t="s">
        <v>566</v>
      </c>
      <c r="TYY93" s="83"/>
      <c r="TZN93" s="87" t="s">
        <v>566</v>
      </c>
      <c r="TZO93" s="83"/>
      <c r="UAD93" s="87" t="s">
        <v>566</v>
      </c>
      <c r="UAE93" s="83"/>
      <c r="UAT93" s="87" t="s">
        <v>566</v>
      </c>
      <c r="UAU93" s="83"/>
      <c r="UBJ93" s="87" t="s">
        <v>566</v>
      </c>
      <c r="UBK93" s="83"/>
      <c r="UBZ93" s="87" t="s">
        <v>566</v>
      </c>
      <c r="UCA93" s="83"/>
      <c r="UCP93" s="87" t="s">
        <v>566</v>
      </c>
      <c r="UCQ93" s="83"/>
      <c r="UDF93" s="87" t="s">
        <v>566</v>
      </c>
      <c r="UDG93" s="83"/>
      <c r="UDV93" s="87" t="s">
        <v>566</v>
      </c>
      <c r="UDW93" s="83"/>
      <c r="UEL93" s="87" t="s">
        <v>566</v>
      </c>
      <c r="UEM93" s="83"/>
      <c r="UFB93" s="87" t="s">
        <v>566</v>
      </c>
      <c r="UFC93" s="83"/>
      <c r="UFR93" s="87" t="s">
        <v>566</v>
      </c>
      <c r="UFS93" s="83"/>
      <c r="UGH93" s="87" t="s">
        <v>566</v>
      </c>
      <c r="UGI93" s="83"/>
      <c r="UGX93" s="87" t="s">
        <v>566</v>
      </c>
      <c r="UGY93" s="83"/>
      <c r="UHN93" s="87" t="s">
        <v>566</v>
      </c>
      <c r="UHO93" s="83"/>
      <c r="UID93" s="87" t="s">
        <v>566</v>
      </c>
      <c r="UIE93" s="83"/>
      <c r="UIT93" s="87" t="s">
        <v>566</v>
      </c>
      <c r="UIU93" s="83"/>
      <c r="UJJ93" s="87" t="s">
        <v>566</v>
      </c>
      <c r="UJK93" s="83"/>
      <c r="UJZ93" s="87" t="s">
        <v>566</v>
      </c>
      <c r="UKA93" s="83"/>
      <c r="UKP93" s="87" t="s">
        <v>566</v>
      </c>
      <c r="UKQ93" s="83"/>
      <c r="ULF93" s="87" t="s">
        <v>566</v>
      </c>
      <c r="ULG93" s="83"/>
      <c r="ULV93" s="87" t="s">
        <v>566</v>
      </c>
      <c r="ULW93" s="83"/>
      <c r="UML93" s="87" t="s">
        <v>566</v>
      </c>
      <c r="UMM93" s="83"/>
      <c r="UNB93" s="87" t="s">
        <v>566</v>
      </c>
      <c r="UNC93" s="83"/>
      <c r="UNR93" s="87" t="s">
        <v>566</v>
      </c>
      <c r="UNS93" s="83"/>
      <c r="UOH93" s="87" t="s">
        <v>566</v>
      </c>
      <c r="UOI93" s="83"/>
      <c r="UOX93" s="87" t="s">
        <v>566</v>
      </c>
      <c r="UOY93" s="83"/>
      <c r="UPN93" s="87" t="s">
        <v>566</v>
      </c>
      <c r="UPO93" s="83"/>
      <c r="UQD93" s="87" t="s">
        <v>566</v>
      </c>
      <c r="UQE93" s="83"/>
      <c r="UQT93" s="87" t="s">
        <v>566</v>
      </c>
      <c r="UQU93" s="83"/>
      <c r="URJ93" s="87" t="s">
        <v>566</v>
      </c>
      <c r="URK93" s="83"/>
      <c r="URZ93" s="87" t="s">
        <v>566</v>
      </c>
      <c r="USA93" s="83"/>
      <c r="USP93" s="87" t="s">
        <v>566</v>
      </c>
      <c r="USQ93" s="83"/>
      <c r="UTF93" s="87" t="s">
        <v>566</v>
      </c>
      <c r="UTG93" s="83"/>
      <c r="UTV93" s="87" t="s">
        <v>566</v>
      </c>
      <c r="UTW93" s="83"/>
      <c r="UUL93" s="87" t="s">
        <v>566</v>
      </c>
      <c r="UUM93" s="83"/>
      <c r="UVB93" s="87" t="s">
        <v>566</v>
      </c>
      <c r="UVC93" s="83"/>
      <c r="UVR93" s="87" t="s">
        <v>566</v>
      </c>
      <c r="UVS93" s="83"/>
      <c r="UWH93" s="87" t="s">
        <v>566</v>
      </c>
      <c r="UWI93" s="83"/>
      <c r="UWX93" s="87" t="s">
        <v>566</v>
      </c>
      <c r="UWY93" s="83"/>
      <c r="UXN93" s="87" t="s">
        <v>566</v>
      </c>
      <c r="UXO93" s="83"/>
      <c r="UYD93" s="87" t="s">
        <v>566</v>
      </c>
      <c r="UYE93" s="83"/>
      <c r="UYT93" s="87" t="s">
        <v>566</v>
      </c>
      <c r="UYU93" s="83"/>
      <c r="UZJ93" s="87" t="s">
        <v>566</v>
      </c>
      <c r="UZK93" s="83"/>
      <c r="UZZ93" s="87" t="s">
        <v>566</v>
      </c>
      <c r="VAA93" s="83"/>
      <c r="VAP93" s="87" t="s">
        <v>566</v>
      </c>
      <c r="VAQ93" s="83"/>
      <c r="VBF93" s="87" t="s">
        <v>566</v>
      </c>
      <c r="VBG93" s="83"/>
      <c r="VBV93" s="87" t="s">
        <v>566</v>
      </c>
      <c r="VBW93" s="83"/>
      <c r="VCL93" s="87" t="s">
        <v>566</v>
      </c>
      <c r="VCM93" s="83"/>
      <c r="VDB93" s="87" t="s">
        <v>566</v>
      </c>
      <c r="VDC93" s="83"/>
      <c r="VDR93" s="87" t="s">
        <v>566</v>
      </c>
      <c r="VDS93" s="83"/>
      <c r="VEH93" s="87" t="s">
        <v>566</v>
      </c>
      <c r="VEI93" s="83"/>
      <c r="VEX93" s="87" t="s">
        <v>566</v>
      </c>
      <c r="VEY93" s="83"/>
      <c r="VFN93" s="87" t="s">
        <v>566</v>
      </c>
      <c r="VFO93" s="83"/>
      <c r="VGD93" s="87" t="s">
        <v>566</v>
      </c>
      <c r="VGE93" s="83"/>
      <c r="VGT93" s="87" t="s">
        <v>566</v>
      </c>
      <c r="VGU93" s="83"/>
      <c r="VHJ93" s="87" t="s">
        <v>566</v>
      </c>
      <c r="VHK93" s="83"/>
      <c r="VHZ93" s="87" t="s">
        <v>566</v>
      </c>
      <c r="VIA93" s="83"/>
      <c r="VIP93" s="87" t="s">
        <v>566</v>
      </c>
      <c r="VIQ93" s="83"/>
      <c r="VJF93" s="87" t="s">
        <v>566</v>
      </c>
      <c r="VJG93" s="83"/>
      <c r="VJV93" s="87" t="s">
        <v>566</v>
      </c>
      <c r="VJW93" s="83"/>
      <c r="VKL93" s="87" t="s">
        <v>566</v>
      </c>
      <c r="VKM93" s="83"/>
      <c r="VLB93" s="87" t="s">
        <v>566</v>
      </c>
      <c r="VLC93" s="83"/>
      <c r="VLR93" s="87" t="s">
        <v>566</v>
      </c>
      <c r="VLS93" s="83"/>
      <c r="VMH93" s="87" t="s">
        <v>566</v>
      </c>
      <c r="VMI93" s="83"/>
      <c r="VMX93" s="87" t="s">
        <v>566</v>
      </c>
      <c r="VMY93" s="83"/>
      <c r="VNN93" s="87" t="s">
        <v>566</v>
      </c>
      <c r="VNO93" s="83"/>
      <c r="VOD93" s="87" t="s">
        <v>566</v>
      </c>
      <c r="VOE93" s="83"/>
      <c r="VOT93" s="87" t="s">
        <v>566</v>
      </c>
      <c r="VOU93" s="83"/>
      <c r="VPJ93" s="87" t="s">
        <v>566</v>
      </c>
      <c r="VPK93" s="83"/>
      <c r="VPZ93" s="87" t="s">
        <v>566</v>
      </c>
      <c r="VQA93" s="83"/>
      <c r="VQP93" s="87" t="s">
        <v>566</v>
      </c>
      <c r="VQQ93" s="83"/>
      <c r="VRF93" s="87" t="s">
        <v>566</v>
      </c>
      <c r="VRG93" s="83"/>
      <c r="VRV93" s="87" t="s">
        <v>566</v>
      </c>
      <c r="VRW93" s="83"/>
      <c r="VSL93" s="87" t="s">
        <v>566</v>
      </c>
      <c r="VSM93" s="83"/>
      <c r="VTB93" s="87" t="s">
        <v>566</v>
      </c>
      <c r="VTC93" s="83"/>
      <c r="VTR93" s="87" t="s">
        <v>566</v>
      </c>
      <c r="VTS93" s="83"/>
      <c r="VUH93" s="87" t="s">
        <v>566</v>
      </c>
      <c r="VUI93" s="83"/>
      <c r="VUX93" s="87" t="s">
        <v>566</v>
      </c>
      <c r="VUY93" s="83"/>
      <c r="VVN93" s="87" t="s">
        <v>566</v>
      </c>
      <c r="VVO93" s="83"/>
      <c r="VWD93" s="87" t="s">
        <v>566</v>
      </c>
      <c r="VWE93" s="83"/>
      <c r="VWT93" s="87" t="s">
        <v>566</v>
      </c>
      <c r="VWU93" s="83"/>
      <c r="VXJ93" s="87" t="s">
        <v>566</v>
      </c>
      <c r="VXK93" s="83"/>
      <c r="VXZ93" s="87" t="s">
        <v>566</v>
      </c>
      <c r="VYA93" s="83"/>
      <c r="VYP93" s="87" t="s">
        <v>566</v>
      </c>
      <c r="VYQ93" s="83"/>
      <c r="VZF93" s="87" t="s">
        <v>566</v>
      </c>
      <c r="VZG93" s="83"/>
      <c r="VZV93" s="87" t="s">
        <v>566</v>
      </c>
      <c r="VZW93" s="83"/>
      <c r="WAL93" s="87" t="s">
        <v>566</v>
      </c>
      <c r="WAM93" s="83"/>
      <c r="WBB93" s="87" t="s">
        <v>566</v>
      </c>
      <c r="WBC93" s="83"/>
      <c r="WBR93" s="87" t="s">
        <v>566</v>
      </c>
      <c r="WBS93" s="83"/>
      <c r="WCH93" s="87" t="s">
        <v>566</v>
      </c>
      <c r="WCI93" s="83"/>
      <c r="WCX93" s="87" t="s">
        <v>566</v>
      </c>
      <c r="WCY93" s="83"/>
      <c r="WDN93" s="87" t="s">
        <v>566</v>
      </c>
      <c r="WDO93" s="83"/>
      <c r="WED93" s="87" t="s">
        <v>566</v>
      </c>
      <c r="WEE93" s="83"/>
      <c r="WET93" s="87" t="s">
        <v>566</v>
      </c>
      <c r="WEU93" s="83"/>
      <c r="WFJ93" s="87" t="s">
        <v>566</v>
      </c>
      <c r="WFK93" s="83"/>
      <c r="WFZ93" s="87" t="s">
        <v>566</v>
      </c>
      <c r="WGA93" s="83"/>
      <c r="WGP93" s="87" t="s">
        <v>566</v>
      </c>
      <c r="WGQ93" s="83"/>
      <c r="WHF93" s="87" t="s">
        <v>566</v>
      </c>
      <c r="WHG93" s="83"/>
      <c r="WHV93" s="87" t="s">
        <v>566</v>
      </c>
      <c r="WHW93" s="83"/>
      <c r="WIL93" s="87" t="s">
        <v>566</v>
      </c>
      <c r="WIM93" s="83"/>
      <c r="WJB93" s="87" t="s">
        <v>566</v>
      </c>
      <c r="WJC93" s="83"/>
      <c r="WJR93" s="87" t="s">
        <v>566</v>
      </c>
      <c r="WJS93" s="83"/>
      <c r="WKH93" s="87" t="s">
        <v>566</v>
      </c>
      <c r="WKI93" s="83"/>
      <c r="WKX93" s="87" t="s">
        <v>566</v>
      </c>
      <c r="WKY93" s="83"/>
      <c r="WLN93" s="87" t="s">
        <v>566</v>
      </c>
      <c r="WLO93" s="83"/>
      <c r="WMD93" s="87" t="s">
        <v>566</v>
      </c>
      <c r="WME93" s="83"/>
      <c r="WMT93" s="87" t="s">
        <v>566</v>
      </c>
      <c r="WMU93" s="83"/>
      <c r="WNJ93" s="87" t="s">
        <v>566</v>
      </c>
      <c r="WNK93" s="83"/>
      <c r="WNZ93" s="87" t="s">
        <v>566</v>
      </c>
      <c r="WOA93" s="83"/>
      <c r="WOP93" s="87" t="s">
        <v>566</v>
      </c>
      <c r="WOQ93" s="83"/>
      <c r="WPF93" s="87" t="s">
        <v>566</v>
      </c>
      <c r="WPG93" s="83"/>
      <c r="WPV93" s="87" t="s">
        <v>566</v>
      </c>
      <c r="WPW93" s="83"/>
      <c r="WQL93" s="87" t="s">
        <v>566</v>
      </c>
      <c r="WQM93" s="83"/>
      <c r="WRB93" s="87" t="s">
        <v>566</v>
      </c>
      <c r="WRC93" s="83"/>
      <c r="WRR93" s="87" t="s">
        <v>566</v>
      </c>
      <c r="WRS93" s="83"/>
      <c r="WSH93" s="87" t="s">
        <v>566</v>
      </c>
      <c r="WSI93" s="83"/>
      <c r="WSX93" s="87" t="s">
        <v>566</v>
      </c>
      <c r="WSY93" s="83"/>
      <c r="WTN93" s="87" t="s">
        <v>566</v>
      </c>
      <c r="WTO93" s="83"/>
      <c r="WUD93" s="87" t="s">
        <v>566</v>
      </c>
      <c r="WUE93" s="83"/>
      <c r="WUT93" s="87" t="s">
        <v>566</v>
      </c>
      <c r="WUU93" s="83"/>
      <c r="WVJ93" s="87" t="s">
        <v>566</v>
      </c>
      <c r="WVK93" s="83"/>
      <c r="WVZ93" s="87" t="s">
        <v>566</v>
      </c>
      <c r="WWA93" s="83"/>
      <c r="WWP93" s="87" t="s">
        <v>566</v>
      </c>
      <c r="WWQ93" s="83"/>
      <c r="WXF93" s="87" t="s">
        <v>566</v>
      </c>
      <c r="WXG93" s="83"/>
      <c r="WXV93" s="87" t="s">
        <v>566</v>
      </c>
      <c r="WXW93" s="83"/>
      <c r="WYL93" s="87" t="s">
        <v>566</v>
      </c>
      <c r="WYM93" s="83"/>
      <c r="WZB93" s="87" t="s">
        <v>566</v>
      </c>
      <c r="WZC93" s="83"/>
      <c r="WZR93" s="87" t="s">
        <v>566</v>
      </c>
      <c r="WZS93" s="83"/>
      <c r="XAH93" s="87" t="s">
        <v>566</v>
      </c>
      <c r="XAI93" s="83"/>
      <c r="XAX93" s="87" t="s">
        <v>566</v>
      </c>
      <c r="XAY93" s="83"/>
      <c r="XBN93" s="87" t="s">
        <v>566</v>
      </c>
      <c r="XBO93" s="83"/>
      <c r="XCD93" s="87" t="s">
        <v>566</v>
      </c>
      <c r="XCE93" s="83"/>
      <c r="XCT93" s="87" t="s">
        <v>566</v>
      </c>
      <c r="XCU93" s="83"/>
      <c r="XDJ93" s="87" t="s">
        <v>566</v>
      </c>
      <c r="XDK93" s="83"/>
      <c r="XDZ93" s="87" t="s">
        <v>566</v>
      </c>
      <c r="XEA93" s="83"/>
      <c r="XEP93" s="87" t="s">
        <v>566</v>
      </c>
      <c r="XEQ93" s="83"/>
    </row>
    <row r="94" spans="2:1011 1026:2035 2050:3059 3074:4083 4098:5107 5122:6131 6146:7155 7170:8179 8194:9203 9218:10227 10242:11251 11266:12275 12290:13299 13314:14323 14338:15347 15362:16371" ht="13.5" x14ac:dyDescent="0.35">
      <c r="R94" s="53" t="s">
        <v>569</v>
      </c>
      <c r="S94" s="83"/>
      <c r="AH94" s="53" t="s">
        <v>569</v>
      </c>
      <c r="AI94" s="83"/>
      <c r="AX94" s="53" t="s">
        <v>569</v>
      </c>
      <c r="AY94" s="83"/>
      <c r="BN94" s="53" t="s">
        <v>569</v>
      </c>
      <c r="BO94" s="83"/>
      <c r="CD94" s="53" t="s">
        <v>569</v>
      </c>
      <c r="CE94" s="83"/>
      <c r="CT94" s="53" t="s">
        <v>569</v>
      </c>
      <c r="CU94" s="83"/>
      <c r="DJ94" s="53" t="s">
        <v>569</v>
      </c>
      <c r="DK94" s="83"/>
      <c r="DZ94" s="53" t="s">
        <v>569</v>
      </c>
      <c r="EA94" s="83"/>
      <c r="EP94" s="53" t="s">
        <v>569</v>
      </c>
      <c r="EQ94" s="83"/>
      <c r="FF94" s="53" t="s">
        <v>569</v>
      </c>
      <c r="FG94" s="83"/>
      <c r="FV94" s="53" t="s">
        <v>569</v>
      </c>
      <c r="FW94" s="83"/>
      <c r="GL94" s="53" t="s">
        <v>569</v>
      </c>
      <c r="GM94" s="83"/>
      <c r="HB94" s="53" t="s">
        <v>569</v>
      </c>
      <c r="HC94" s="83"/>
      <c r="HR94" s="53" t="s">
        <v>569</v>
      </c>
      <c r="HS94" s="83"/>
      <c r="IH94" s="53" t="s">
        <v>569</v>
      </c>
      <c r="II94" s="83"/>
      <c r="IX94" s="53" t="s">
        <v>569</v>
      </c>
      <c r="IY94" s="83"/>
      <c r="JN94" s="53" t="s">
        <v>569</v>
      </c>
      <c r="JO94" s="83"/>
      <c r="KD94" s="53" t="s">
        <v>569</v>
      </c>
      <c r="KE94" s="83"/>
      <c r="KT94" s="53" t="s">
        <v>569</v>
      </c>
      <c r="KU94" s="83"/>
      <c r="LJ94" s="53" t="s">
        <v>569</v>
      </c>
      <c r="LK94" s="83"/>
      <c r="LZ94" s="53" t="s">
        <v>569</v>
      </c>
      <c r="MA94" s="83"/>
      <c r="MP94" s="53" t="s">
        <v>569</v>
      </c>
      <c r="MQ94" s="83"/>
      <c r="NF94" s="53" t="s">
        <v>569</v>
      </c>
      <c r="NG94" s="83"/>
      <c r="NV94" s="53" t="s">
        <v>569</v>
      </c>
      <c r="NW94" s="83"/>
      <c r="OL94" s="53" t="s">
        <v>569</v>
      </c>
      <c r="OM94" s="83"/>
      <c r="PB94" s="53" t="s">
        <v>569</v>
      </c>
      <c r="PC94" s="83"/>
      <c r="PR94" s="53" t="s">
        <v>569</v>
      </c>
      <c r="PS94" s="83"/>
      <c r="QH94" s="53" t="s">
        <v>569</v>
      </c>
      <c r="QI94" s="83"/>
      <c r="QX94" s="53" t="s">
        <v>569</v>
      </c>
      <c r="QY94" s="83"/>
      <c r="RN94" s="53" t="s">
        <v>569</v>
      </c>
      <c r="RO94" s="83"/>
      <c r="SD94" s="53" t="s">
        <v>569</v>
      </c>
      <c r="SE94" s="83"/>
      <c r="ST94" s="53" t="s">
        <v>569</v>
      </c>
      <c r="SU94" s="83"/>
      <c r="TJ94" s="53" t="s">
        <v>569</v>
      </c>
      <c r="TK94" s="83"/>
      <c r="TZ94" s="53" t="s">
        <v>569</v>
      </c>
      <c r="UA94" s="83"/>
      <c r="UP94" s="53" t="s">
        <v>569</v>
      </c>
      <c r="UQ94" s="83"/>
      <c r="VF94" s="53" t="s">
        <v>569</v>
      </c>
      <c r="VG94" s="83"/>
      <c r="VV94" s="53" t="s">
        <v>569</v>
      </c>
      <c r="VW94" s="83"/>
      <c r="WL94" s="53" t="s">
        <v>569</v>
      </c>
      <c r="WM94" s="83"/>
      <c r="XB94" s="53" t="s">
        <v>569</v>
      </c>
      <c r="XC94" s="83"/>
      <c r="XR94" s="53" t="s">
        <v>569</v>
      </c>
      <c r="XS94" s="83"/>
      <c r="YH94" s="53" t="s">
        <v>569</v>
      </c>
      <c r="YI94" s="83"/>
      <c r="YX94" s="53" t="s">
        <v>569</v>
      </c>
      <c r="YY94" s="83"/>
      <c r="ZN94" s="53" t="s">
        <v>569</v>
      </c>
      <c r="ZO94" s="83"/>
      <c r="AAD94" s="53" t="s">
        <v>569</v>
      </c>
      <c r="AAE94" s="83"/>
      <c r="AAT94" s="53" t="s">
        <v>569</v>
      </c>
      <c r="AAU94" s="83"/>
      <c r="ABJ94" s="53" t="s">
        <v>569</v>
      </c>
      <c r="ABK94" s="83"/>
      <c r="ABZ94" s="53" t="s">
        <v>569</v>
      </c>
      <c r="ACA94" s="83"/>
      <c r="ACP94" s="53" t="s">
        <v>569</v>
      </c>
      <c r="ACQ94" s="83"/>
      <c r="ADF94" s="53" t="s">
        <v>569</v>
      </c>
      <c r="ADG94" s="83"/>
      <c r="ADV94" s="53" t="s">
        <v>569</v>
      </c>
      <c r="ADW94" s="83"/>
      <c r="AEL94" s="53" t="s">
        <v>569</v>
      </c>
      <c r="AEM94" s="83"/>
      <c r="AFB94" s="53" t="s">
        <v>569</v>
      </c>
      <c r="AFC94" s="83"/>
      <c r="AFR94" s="53" t="s">
        <v>569</v>
      </c>
      <c r="AFS94" s="83"/>
      <c r="AGH94" s="53" t="s">
        <v>569</v>
      </c>
      <c r="AGI94" s="83"/>
      <c r="AGX94" s="53" t="s">
        <v>569</v>
      </c>
      <c r="AGY94" s="83"/>
      <c r="AHN94" s="53" t="s">
        <v>569</v>
      </c>
      <c r="AHO94" s="83"/>
      <c r="AID94" s="53" t="s">
        <v>569</v>
      </c>
      <c r="AIE94" s="83"/>
      <c r="AIT94" s="53" t="s">
        <v>569</v>
      </c>
      <c r="AIU94" s="83"/>
      <c r="AJJ94" s="53" t="s">
        <v>569</v>
      </c>
      <c r="AJK94" s="83"/>
      <c r="AJZ94" s="53" t="s">
        <v>569</v>
      </c>
      <c r="AKA94" s="83"/>
      <c r="AKP94" s="53" t="s">
        <v>569</v>
      </c>
      <c r="AKQ94" s="83"/>
      <c r="ALF94" s="53" t="s">
        <v>569</v>
      </c>
      <c r="ALG94" s="83"/>
      <c r="ALV94" s="53" t="s">
        <v>569</v>
      </c>
      <c r="ALW94" s="83"/>
      <c r="AML94" s="53" t="s">
        <v>569</v>
      </c>
      <c r="AMM94" s="83"/>
      <c r="ANB94" s="53" t="s">
        <v>569</v>
      </c>
      <c r="ANC94" s="83"/>
      <c r="ANR94" s="53" t="s">
        <v>569</v>
      </c>
      <c r="ANS94" s="83"/>
      <c r="AOH94" s="53" t="s">
        <v>569</v>
      </c>
      <c r="AOI94" s="83"/>
      <c r="AOX94" s="53" t="s">
        <v>569</v>
      </c>
      <c r="AOY94" s="83"/>
      <c r="APN94" s="53" t="s">
        <v>569</v>
      </c>
      <c r="APO94" s="83"/>
      <c r="AQD94" s="53" t="s">
        <v>569</v>
      </c>
      <c r="AQE94" s="83"/>
      <c r="AQT94" s="53" t="s">
        <v>569</v>
      </c>
      <c r="AQU94" s="83"/>
      <c r="ARJ94" s="53" t="s">
        <v>569</v>
      </c>
      <c r="ARK94" s="83"/>
      <c r="ARZ94" s="53" t="s">
        <v>569</v>
      </c>
      <c r="ASA94" s="83"/>
      <c r="ASP94" s="53" t="s">
        <v>569</v>
      </c>
      <c r="ASQ94" s="83"/>
      <c r="ATF94" s="53" t="s">
        <v>569</v>
      </c>
      <c r="ATG94" s="83"/>
      <c r="ATV94" s="53" t="s">
        <v>569</v>
      </c>
      <c r="ATW94" s="83"/>
      <c r="AUL94" s="53" t="s">
        <v>569</v>
      </c>
      <c r="AUM94" s="83"/>
      <c r="AVB94" s="53" t="s">
        <v>569</v>
      </c>
      <c r="AVC94" s="83"/>
      <c r="AVR94" s="53" t="s">
        <v>569</v>
      </c>
      <c r="AVS94" s="83"/>
      <c r="AWH94" s="53" t="s">
        <v>569</v>
      </c>
      <c r="AWI94" s="83"/>
      <c r="AWX94" s="53" t="s">
        <v>569</v>
      </c>
      <c r="AWY94" s="83"/>
      <c r="AXN94" s="53" t="s">
        <v>569</v>
      </c>
      <c r="AXO94" s="83"/>
      <c r="AYD94" s="53" t="s">
        <v>569</v>
      </c>
      <c r="AYE94" s="83"/>
      <c r="AYT94" s="53" t="s">
        <v>569</v>
      </c>
      <c r="AYU94" s="83"/>
      <c r="AZJ94" s="53" t="s">
        <v>569</v>
      </c>
      <c r="AZK94" s="83"/>
      <c r="AZZ94" s="53" t="s">
        <v>569</v>
      </c>
      <c r="BAA94" s="83"/>
      <c r="BAP94" s="53" t="s">
        <v>569</v>
      </c>
      <c r="BAQ94" s="83"/>
      <c r="BBF94" s="53" t="s">
        <v>569</v>
      </c>
      <c r="BBG94" s="83"/>
      <c r="BBV94" s="53" t="s">
        <v>569</v>
      </c>
      <c r="BBW94" s="83"/>
      <c r="BCL94" s="53" t="s">
        <v>569</v>
      </c>
      <c r="BCM94" s="83"/>
      <c r="BDB94" s="53" t="s">
        <v>569</v>
      </c>
      <c r="BDC94" s="83"/>
      <c r="BDR94" s="53" t="s">
        <v>569</v>
      </c>
      <c r="BDS94" s="83"/>
      <c r="BEH94" s="53" t="s">
        <v>569</v>
      </c>
      <c r="BEI94" s="83"/>
      <c r="BEX94" s="53" t="s">
        <v>569</v>
      </c>
      <c r="BEY94" s="83"/>
      <c r="BFN94" s="53" t="s">
        <v>569</v>
      </c>
      <c r="BFO94" s="83"/>
      <c r="BGD94" s="53" t="s">
        <v>569</v>
      </c>
      <c r="BGE94" s="83"/>
      <c r="BGT94" s="53" t="s">
        <v>569</v>
      </c>
      <c r="BGU94" s="83"/>
      <c r="BHJ94" s="53" t="s">
        <v>569</v>
      </c>
      <c r="BHK94" s="83"/>
      <c r="BHZ94" s="53" t="s">
        <v>569</v>
      </c>
      <c r="BIA94" s="83"/>
      <c r="BIP94" s="53" t="s">
        <v>569</v>
      </c>
      <c r="BIQ94" s="83"/>
      <c r="BJF94" s="53" t="s">
        <v>569</v>
      </c>
      <c r="BJG94" s="83"/>
      <c r="BJV94" s="53" t="s">
        <v>569</v>
      </c>
      <c r="BJW94" s="83"/>
      <c r="BKL94" s="53" t="s">
        <v>569</v>
      </c>
      <c r="BKM94" s="83"/>
      <c r="BLB94" s="53" t="s">
        <v>569</v>
      </c>
      <c r="BLC94" s="83"/>
      <c r="BLR94" s="53" t="s">
        <v>569</v>
      </c>
      <c r="BLS94" s="83"/>
      <c r="BMH94" s="53" t="s">
        <v>569</v>
      </c>
      <c r="BMI94" s="83"/>
      <c r="BMX94" s="53" t="s">
        <v>569</v>
      </c>
      <c r="BMY94" s="83"/>
      <c r="BNN94" s="53" t="s">
        <v>569</v>
      </c>
      <c r="BNO94" s="83"/>
      <c r="BOD94" s="53" t="s">
        <v>569</v>
      </c>
      <c r="BOE94" s="83"/>
      <c r="BOT94" s="53" t="s">
        <v>569</v>
      </c>
      <c r="BOU94" s="83"/>
      <c r="BPJ94" s="53" t="s">
        <v>569</v>
      </c>
      <c r="BPK94" s="83"/>
      <c r="BPZ94" s="53" t="s">
        <v>569</v>
      </c>
      <c r="BQA94" s="83"/>
      <c r="BQP94" s="53" t="s">
        <v>569</v>
      </c>
      <c r="BQQ94" s="83"/>
      <c r="BRF94" s="53" t="s">
        <v>569</v>
      </c>
      <c r="BRG94" s="83"/>
      <c r="BRV94" s="53" t="s">
        <v>569</v>
      </c>
      <c r="BRW94" s="83"/>
      <c r="BSL94" s="53" t="s">
        <v>569</v>
      </c>
      <c r="BSM94" s="83"/>
      <c r="BTB94" s="53" t="s">
        <v>569</v>
      </c>
      <c r="BTC94" s="83"/>
      <c r="BTR94" s="53" t="s">
        <v>569</v>
      </c>
      <c r="BTS94" s="83"/>
      <c r="BUH94" s="53" t="s">
        <v>569</v>
      </c>
      <c r="BUI94" s="83"/>
      <c r="BUX94" s="53" t="s">
        <v>569</v>
      </c>
      <c r="BUY94" s="83"/>
      <c r="BVN94" s="53" t="s">
        <v>569</v>
      </c>
      <c r="BVO94" s="83"/>
      <c r="BWD94" s="53" t="s">
        <v>569</v>
      </c>
      <c r="BWE94" s="83"/>
      <c r="BWT94" s="53" t="s">
        <v>569</v>
      </c>
      <c r="BWU94" s="83"/>
      <c r="BXJ94" s="53" t="s">
        <v>569</v>
      </c>
      <c r="BXK94" s="83"/>
      <c r="BXZ94" s="53" t="s">
        <v>569</v>
      </c>
      <c r="BYA94" s="83"/>
      <c r="BYP94" s="53" t="s">
        <v>569</v>
      </c>
      <c r="BYQ94" s="83"/>
      <c r="BZF94" s="53" t="s">
        <v>569</v>
      </c>
      <c r="BZG94" s="83"/>
      <c r="BZV94" s="53" t="s">
        <v>569</v>
      </c>
      <c r="BZW94" s="83"/>
      <c r="CAL94" s="53" t="s">
        <v>569</v>
      </c>
      <c r="CAM94" s="83"/>
      <c r="CBB94" s="53" t="s">
        <v>569</v>
      </c>
      <c r="CBC94" s="83"/>
      <c r="CBR94" s="53" t="s">
        <v>569</v>
      </c>
      <c r="CBS94" s="83"/>
      <c r="CCH94" s="53" t="s">
        <v>569</v>
      </c>
      <c r="CCI94" s="83"/>
      <c r="CCX94" s="53" t="s">
        <v>569</v>
      </c>
      <c r="CCY94" s="83"/>
      <c r="CDN94" s="53" t="s">
        <v>569</v>
      </c>
      <c r="CDO94" s="83"/>
      <c r="CED94" s="53" t="s">
        <v>569</v>
      </c>
      <c r="CEE94" s="83"/>
      <c r="CET94" s="53" t="s">
        <v>569</v>
      </c>
      <c r="CEU94" s="83"/>
      <c r="CFJ94" s="53" t="s">
        <v>569</v>
      </c>
      <c r="CFK94" s="83"/>
      <c r="CFZ94" s="53" t="s">
        <v>569</v>
      </c>
      <c r="CGA94" s="83"/>
      <c r="CGP94" s="53" t="s">
        <v>569</v>
      </c>
      <c r="CGQ94" s="83"/>
      <c r="CHF94" s="53" t="s">
        <v>569</v>
      </c>
      <c r="CHG94" s="83"/>
      <c r="CHV94" s="53" t="s">
        <v>569</v>
      </c>
      <c r="CHW94" s="83"/>
      <c r="CIL94" s="53" t="s">
        <v>569</v>
      </c>
      <c r="CIM94" s="83"/>
      <c r="CJB94" s="53" t="s">
        <v>569</v>
      </c>
      <c r="CJC94" s="83"/>
      <c r="CJR94" s="53" t="s">
        <v>569</v>
      </c>
      <c r="CJS94" s="83"/>
      <c r="CKH94" s="53" t="s">
        <v>569</v>
      </c>
      <c r="CKI94" s="83"/>
      <c r="CKX94" s="53" t="s">
        <v>569</v>
      </c>
      <c r="CKY94" s="83"/>
      <c r="CLN94" s="53" t="s">
        <v>569</v>
      </c>
      <c r="CLO94" s="83"/>
      <c r="CMD94" s="53" t="s">
        <v>569</v>
      </c>
      <c r="CME94" s="83"/>
      <c r="CMT94" s="53" t="s">
        <v>569</v>
      </c>
      <c r="CMU94" s="83"/>
      <c r="CNJ94" s="53" t="s">
        <v>569</v>
      </c>
      <c r="CNK94" s="83"/>
      <c r="CNZ94" s="53" t="s">
        <v>569</v>
      </c>
      <c r="COA94" s="83"/>
      <c r="COP94" s="53" t="s">
        <v>569</v>
      </c>
      <c r="COQ94" s="83"/>
      <c r="CPF94" s="53" t="s">
        <v>569</v>
      </c>
      <c r="CPG94" s="83"/>
      <c r="CPV94" s="53" t="s">
        <v>569</v>
      </c>
      <c r="CPW94" s="83"/>
      <c r="CQL94" s="53" t="s">
        <v>569</v>
      </c>
      <c r="CQM94" s="83"/>
      <c r="CRB94" s="53" t="s">
        <v>569</v>
      </c>
      <c r="CRC94" s="83"/>
      <c r="CRR94" s="53" t="s">
        <v>569</v>
      </c>
      <c r="CRS94" s="83"/>
      <c r="CSH94" s="53" t="s">
        <v>569</v>
      </c>
      <c r="CSI94" s="83"/>
      <c r="CSX94" s="53" t="s">
        <v>569</v>
      </c>
      <c r="CSY94" s="83"/>
      <c r="CTN94" s="53" t="s">
        <v>569</v>
      </c>
      <c r="CTO94" s="83"/>
      <c r="CUD94" s="53" t="s">
        <v>569</v>
      </c>
      <c r="CUE94" s="83"/>
      <c r="CUT94" s="53" t="s">
        <v>569</v>
      </c>
      <c r="CUU94" s="83"/>
      <c r="CVJ94" s="53" t="s">
        <v>569</v>
      </c>
      <c r="CVK94" s="83"/>
      <c r="CVZ94" s="53" t="s">
        <v>569</v>
      </c>
      <c r="CWA94" s="83"/>
      <c r="CWP94" s="53" t="s">
        <v>569</v>
      </c>
      <c r="CWQ94" s="83"/>
      <c r="CXF94" s="53" t="s">
        <v>569</v>
      </c>
      <c r="CXG94" s="83"/>
      <c r="CXV94" s="53" t="s">
        <v>569</v>
      </c>
      <c r="CXW94" s="83"/>
      <c r="CYL94" s="53" t="s">
        <v>569</v>
      </c>
      <c r="CYM94" s="83"/>
      <c r="CZB94" s="53" t="s">
        <v>569</v>
      </c>
      <c r="CZC94" s="83"/>
      <c r="CZR94" s="53" t="s">
        <v>569</v>
      </c>
      <c r="CZS94" s="83"/>
      <c r="DAH94" s="53" t="s">
        <v>569</v>
      </c>
      <c r="DAI94" s="83"/>
      <c r="DAX94" s="53" t="s">
        <v>569</v>
      </c>
      <c r="DAY94" s="83"/>
      <c r="DBN94" s="53" t="s">
        <v>569</v>
      </c>
      <c r="DBO94" s="83"/>
      <c r="DCD94" s="53" t="s">
        <v>569</v>
      </c>
      <c r="DCE94" s="83"/>
      <c r="DCT94" s="53" t="s">
        <v>569</v>
      </c>
      <c r="DCU94" s="83"/>
      <c r="DDJ94" s="53" t="s">
        <v>569</v>
      </c>
      <c r="DDK94" s="83"/>
      <c r="DDZ94" s="53" t="s">
        <v>569</v>
      </c>
      <c r="DEA94" s="83"/>
      <c r="DEP94" s="53" t="s">
        <v>569</v>
      </c>
      <c r="DEQ94" s="83"/>
      <c r="DFF94" s="53" t="s">
        <v>569</v>
      </c>
      <c r="DFG94" s="83"/>
      <c r="DFV94" s="53" t="s">
        <v>569</v>
      </c>
      <c r="DFW94" s="83"/>
      <c r="DGL94" s="53" t="s">
        <v>569</v>
      </c>
      <c r="DGM94" s="83"/>
      <c r="DHB94" s="53" t="s">
        <v>569</v>
      </c>
      <c r="DHC94" s="83"/>
      <c r="DHR94" s="53" t="s">
        <v>569</v>
      </c>
      <c r="DHS94" s="83"/>
      <c r="DIH94" s="53" t="s">
        <v>569</v>
      </c>
      <c r="DII94" s="83"/>
      <c r="DIX94" s="53" t="s">
        <v>569</v>
      </c>
      <c r="DIY94" s="83"/>
      <c r="DJN94" s="53" t="s">
        <v>569</v>
      </c>
      <c r="DJO94" s="83"/>
      <c r="DKD94" s="53" t="s">
        <v>569</v>
      </c>
      <c r="DKE94" s="83"/>
      <c r="DKT94" s="53" t="s">
        <v>569</v>
      </c>
      <c r="DKU94" s="83"/>
      <c r="DLJ94" s="53" t="s">
        <v>569</v>
      </c>
      <c r="DLK94" s="83"/>
      <c r="DLZ94" s="53" t="s">
        <v>569</v>
      </c>
      <c r="DMA94" s="83"/>
      <c r="DMP94" s="53" t="s">
        <v>569</v>
      </c>
      <c r="DMQ94" s="83"/>
      <c r="DNF94" s="53" t="s">
        <v>569</v>
      </c>
      <c r="DNG94" s="83"/>
      <c r="DNV94" s="53" t="s">
        <v>569</v>
      </c>
      <c r="DNW94" s="83"/>
      <c r="DOL94" s="53" t="s">
        <v>569</v>
      </c>
      <c r="DOM94" s="83"/>
      <c r="DPB94" s="53" t="s">
        <v>569</v>
      </c>
      <c r="DPC94" s="83"/>
      <c r="DPR94" s="53" t="s">
        <v>569</v>
      </c>
      <c r="DPS94" s="83"/>
      <c r="DQH94" s="53" t="s">
        <v>569</v>
      </c>
      <c r="DQI94" s="83"/>
      <c r="DQX94" s="53" t="s">
        <v>569</v>
      </c>
      <c r="DQY94" s="83"/>
      <c r="DRN94" s="53" t="s">
        <v>569</v>
      </c>
      <c r="DRO94" s="83"/>
      <c r="DSD94" s="53" t="s">
        <v>569</v>
      </c>
      <c r="DSE94" s="83"/>
      <c r="DST94" s="53" t="s">
        <v>569</v>
      </c>
      <c r="DSU94" s="83"/>
      <c r="DTJ94" s="53" t="s">
        <v>569</v>
      </c>
      <c r="DTK94" s="83"/>
      <c r="DTZ94" s="53" t="s">
        <v>569</v>
      </c>
      <c r="DUA94" s="83"/>
      <c r="DUP94" s="53" t="s">
        <v>569</v>
      </c>
      <c r="DUQ94" s="83"/>
      <c r="DVF94" s="53" t="s">
        <v>569</v>
      </c>
      <c r="DVG94" s="83"/>
      <c r="DVV94" s="53" t="s">
        <v>569</v>
      </c>
      <c r="DVW94" s="83"/>
      <c r="DWL94" s="53" t="s">
        <v>569</v>
      </c>
      <c r="DWM94" s="83"/>
      <c r="DXB94" s="53" t="s">
        <v>569</v>
      </c>
      <c r="DXC94" s="83"/>
      <c r="DXR94" s="53" t="s">
        <v>569</v>
      </c>
      <c r="DXS94" s="83"/>
      <c r="DYH94" s="53" t="s">
        <v>569</v>
      </c>
      <c r="DYI94" s="83"/>
      <c r="DYX94" s="53" t="s">
        <v>569</v>
      </c>
      <c r="DYY94" s="83"/>
      <c r="DZN94" s="53" t="s">
        <v>569</v>
      </c>
      <c r="DZO94" s="83"/>
      <c r="EAD94" s="53" t="s">
        <v>569</v>
      </c>
      <c r="EAE94" s="83"/>
      <c r="EAT94" s="53" t="s">
        <v>569</v>
      </c>
      <c r="EAU94" s="83"/>
      <c r="EBJ94" s="53" t="s">
        <v>569</v>
      </c>
      <c r="EBK94" s="83"/>
      <c r="EBZ94" s="53" t="s">
        <v>569</v>
      </c>
      <c r="ECA94" s="83"/>
      <c r="ECP94" s="53" t="s">
        <v>569</v>
      </c>
      <c r="ECQ94" s="83"/>
      <c r="EDF94" s="53" t="s">
        <v>569</v>
      </c>
      <c r="EDG94" s="83"/>
      <c r="EDV94" s="53" t="s">
        <v>569</v>
      </c>
      <c r="EDW94" s="83"/>
      <c r="EEL94" s="53" t="s">
        <v>569</v>
      </c>
      <c r="EEM94" s="83"/>
      <c r="EFB94" s="53" t="s">
        <v>569</v>
      </c>
      <c r="EFC94" s="83"/>
      <c r="EFR94" s="53" t="s">
        <v>569</v>
      </c>
      <c r="EFS94" s="83"/>
      <c r="EGH94" s="53" t="s">
        <v>569</v>
      </c>
      <c r="EGI94" s="83"/>
      <c r="EGX94" s="53" t="s">
        <v>569</v>
      </c>
      <c r="EGY94" s="83"/>
      <c r="EHN94" s="53" t="s">
        <v>569</v>
      </c>
      <c r="EHO94" s="83"/>
      <c r="EID94" s="53" t="s">
        <v>569</v>
      </c>
      <c r="EIE94" s="83"/>
      <c r="EIT94" s="53" t="s">
        <v>569</v>
      </c>
      <c r="EIU94" s="83"/>
      <c r="EJJ94" s="53" t="s">
        <v>569</v>
      </c>
      <c r="EJK94" s="83"/>
      <c r="EJZ94" s="53" t="s">
        <v>569</v>
      </c>
      <c r="EKA94" s="83"/>
      <c r="EKP94" s="53" t="s">
        <v>569</v>
      </c>
      <c r="EKQ94" s="83"/>
      <c r="ELF94" s="53" t="s">
        <v>569</v>
      </c>
      <c r="ELG94" s="83"/>
      <c r="ELV94" s="53" t="s">
        <v>569</v>
      </c>
      <c r="ELW94" s="83"/>
      <c r="EML94" s="53" t="s">
        <v>569</v>
      </c>
      <c r="EMM94" s="83"/>
      <c r="ENB94" s="53" t="s">
        <v>569</v>
      </c>
      <c r="ENC94" s="83"/>
      <c r="ENR94" s="53" t="s">
        <v>569</v>
      </c>
      <c r="ENS94" s="83"/>
      <c r="EOH94" s="53" t="s">
        <v>569</v>
      </c>
      <c r="EOI94" s="83"/>
      <c r="EOX94" s="53" t="s">
        <v>569</v>
      </c>
      <c r="EOY94" s="83"/>
      <c r="EPN94" s="53" t="s">
        <v>569</v>
      </c>
      <c r="EPO94" s="83"/>
      <c r="EQD94" s="53" t="s">
        <v>569</v>
      </c>
      <c r="EQE94" s="83"/>
      <c r="EQT94" s="53" t="s">
        <v>569</v>
      </c>
      <c r="EQU94" s="83"/>
      <c r="ERJ94" s="53" t="s">
        <v>569</v>
      </c>
      <c r="ERK94" s="83"/>
      <c r="ERZ94" s="53" t="s">
        <v>569</v>
      </c>
      <c r="ESA94" s="83"/>
      <c r="ESP94" s="53" t="s">
        <v>569</v>
      </c>
      <c r="ESQ94" s="83"/>
      <c r="ETF94" s="53" t="s">
        <v>569</v>
      </c>
      <c r="ETG94" s="83"/>
      <c r="ETV94" s="53" t="s">
        <v>569</v>
      </c>
      <c r="ETW94" s="83"/>
      <c r="EUL94" s="53" t="s">
        <v>569</v>
      </c>
      <c r="EUM94" s="83"/>
      <c r="EVB94" s="53" t="s">
        <v>569</v>
      </c>
      <c r="EVC94" s="83"/>
      <c r="EVR94" s="53" t="s">
        <v>569</v>
      </c>
      <c r="EVS94" s="83"/>
      <c r="EWH94" s="53" t="s">
        <v>569</v>
      </c>
      <c r="EWI94" s="83"/>
      <c r="EWX94" s="53" t="s">
        <v>569</v>
      </c>
      <c r="EWY94" s="83"/>
      <c r="EXN94" s="53" t="s">
        <v>569</v>
      </c>
      <c r="EXO94" s="83"/>
      <c r="EYD94" s="53" t="s">
        <v>569</v>
      </c>
      <c r="EYE94" s="83"/>
      <c r="EYT94" s="53" t="s">
        <v>569</v>
      </c>
      <c r="EYU94" s="83"/>
      <c r="EZJ94" s="53" t="s">
        <v>569</v>
      </c>
      <c r="EZK94" s="83"/>
      <c r="EZZ94" s="53" t="s">
        <v>569</v>
      </c>
      <c r="FAA94" s="83"/>
      <c r="FAP94" s="53" t="s">
        <v>569</v>
      </c>
      <c r="FAQ94" s="83"/>
      <c r="FBF94" s="53" t="s">
        <v>569</v>
      </c>
      <c r="FBG94" s="83"/>
      <c r="FBV94" s="53" t="s">
        <v>569</v>
      </c>
      <c r="FBW94" s="83"/>
      <c r="FCL94" s="53" t="s">
        <v>569</v>
      </c>
      <c r="FCM94" s="83"/>
      <c r="FDB94" s="53" t="s">
        <v>569</v>
      </c>
      <c r="FDC94" s="83"/>
      <c r="FDR94" s="53" t="s">
        <v>569</v>
      </c>
      <c r="FDS94" s="83"/>
      <c r="FEH94" s="53" t="s">
        <v>569</v>
      </c>
      <c r="FEI94" s="83"/>
      <c r="FEX94" s="53" t="s">
        <v>569</v>
      </c>
      <c r="FEY94" s="83"/>
      <c r="FFN94" s="53" t="s">
        <v>569</v>
      </c>
      <c r="FFO94" s="83"/>
      <c r="FGD94" s="53" t="s">
        <v>569</v>
      </c>
      <c r="FGE94" s="83"/>
      <c r="FGT94" s="53" t="s">
        <v>569</v>
      </c>
      <c r="FGU94" s="83"/>
      <c r="FHJ94" s="53" t="s">
        <v>569</v>
      </c>
      <c r="FHK94" s="83"/>
      <c r="FHZ94" s="53" t="s">
        <v>569</v>
      </c>
      <c r="FIA94" s="83"/>
      <c r="FIP94" s="53" t="s">
        <v>569</v>
      </c>
      <c r="FIQ94" s="83"/>
      <c r="FJF94" s="53" t="s">
        <v>569</v>
      </c>
      <c r="FJG94" s="83"/>
      <c r="FJV94" s="53" t="s">
        <v>569</v>
      </c>
      <c r="FJW94" s="83"/>
      <c r="FKL94" s="53" t="s">
        <v>569</v>
      </c>
      <c r="FKM94" s="83"/>
      <c r="FLB94" s="53" t="s">
        <v>569</v>
      </c>
      <c r="FLC94" s="83"/>
      <c r="FLR94" s="53" t="s">
        <v>569</v>
      </c>
      <c r="FLS94" s="83"/>
      <c r="FMH94" s="53" t="s">
        <v>569</v>
      </c>
      <c r="FMI94" s="83"/>
      <c r="FMX94" s="53" t="s">
        <v>569</v>
      </c>
      <c r="FMY94" s="83"/>
      <c r="FNN94" s="53" t="s">
        <v>569</v>
      </c>
      <c r="FNO94" s="83"/>
      <c r="FOD94" s="53" t="s">
        <v>569</v>
      </c>
      <c r="FOE94" s="83"/>
      <c r="FOT94" s="53" t="s">
        <v>569</v>
      </c>
      <c r="FOU94" s="83"/>
      <c r="FPJ94" s="53" t="s">
        <v>569</v>
      </c>
      <c r="FPK94" s="83"/>
      <c r="FPZ94" s="53" t="s">
        <v>569</v>
      </c>
      <c r="FQA94" s="83"/>
      <c r="FQP94" s="53" t="s">
        <v>569</v>
      </c>
      <c r="FQQ94" s="83"/>
      <c r="FRF94" s="53" t="s">
        <v>569</v>
      </c>
      <c r="FRG94" s="83"/>
      <c r="FRV94" s="53" t="s">
        <v>569</v>
      </c>
      <c r="FRW94" s="83"/>
      <c r="FSL94" s="53" t="s">
        <v>569</v>
      </c>
      <c r="FSM94" s="83"/>
      <c r="FTB94" s="53" t="s">
        <v>569</v>
      </c>
      <c r="FTC94" s="83"/>
      <c r="FTR94" s="53" t="s">
        <v>569</v>
      </c>
      <c r="FTS94" s="83"/>
      <c r="FUH94" s="53" t="s">
        <v>569</v>
      </c>
      <c r="FUI94" s="83"/>
      <c r="FUX94" s="53" t="s">
        <v>569</v>
      </c>
      <c r="FUY94" s="83"/>
      <c r="FVN94" s="53" t="s">
        <v>569</v>
      </c>
      <c r="FVO94" s="83"/>
      <c r="FWD94" s="53" t="s">
        <v>569</v>
      </c>
      <c r="FWE94" s="83"/>
      <c r="FWT94" s="53" t="s">
        <v>569</v>
      </c>
      <c r="FWU94" s="83"/>
      <c r="FXJ94" s="53" t="s">
        <v>569</v>
      </c>
      <c r="FXK94" s="83"/>
      <c r="FXZ94" s="53" t="s">
        <v>569</v>
      </c>
      <c r="FYA94" s="83"/>
      <c r="FYP94" s="53" t="s">
        <v>569</v>
      </c>
      <c r="FYQ94" s="83"/>
      <c r="FZF94" s="53" t="s">
        <v>569</v>
      </c>
      <c r="FZG94" s="83"/>
      <c r="FZV94" s="53" t="s">
        <v>569</v>
      </c>
      <c r="FZW94" s="83"/>
      <c r="GAL94" s="53" t="s">
        <v>569</v>
      </c>
      <c r="GAM94" s="83"/>
      <c r="GBB94" s="53" t="s">
        <v>569</v>
      </c>
      <c r="GBC94" s="83"/>
      <c r="GBR94" s="53" t="s">
        <v>569</v>
      </c>
      <c r="GBS94" s="83"/>
      <c r="GCH94" s="53" t="s">
        <v>569</v>
      </c>
      <c r="GCI94" s="83"/>
      <c r="GCX94" s="53" t="s">
        <v>569</v>
      </c>
      <c r="GCY94" s="83"/>
      <c r="GDN94" s="53" t="s">
        <v>569</v>
      </c>
      <c r="GDO94" s="83"/>
      <c r="GED94" s="53" t="s">
        <v>569</v>
      </c>
      <c r="GEE94" s="83"/>
      <c r="GET94" s="53" t="s">
        <v>569</v>
      </c>
      <c r="GEU94" s="83"/>
      <c r="GFJ94" s="53" t="s">
        <v>569</v>
      </c>
      <c r="GFK94" s="83"/>
      <c r="GFZ94" s="53" t="s">
        <v>569</v>
      </c>
      <c r="GGA94" s="83"/>
      <c r="GGP94" s="53" t="s">
        <v>569</v>
      </c>
      <c r="GGQ94" s="83"/>
      <c r="GHF94" s="53" t="s">
        <v>569</v>
      </c>
      <c r="GHG94" s="83"/>
      <c r="GHV94" s="53" t="s">
        <v>569</v>
      </c>
      <c r="GHW94" s="83"/>
      <c r="GIL94" s="53" t="s">
        <v>569</v>
      </c>
      <c r="GIM94" s="83"/>
      <c r="GJB94" s="53" t="s">
        <v>569</v>
      </c>
      <c r="GJC94" s="83"/>
      <c r="GJR94" s="53" t="s">
        <v>569</v>
      </c>
      <c r="GJS94" s="83"/>
      <c r="GKH94" s="53" t="s">
        <v>569</v>
      </c>
      <c r="GKI94" s="83"/>
      <c r="GKX94" s="53" t="s">
        <v>569</v>
      </c>
      <c r="GKY94" s="83"/>
      <c r="GLN94" s="53" t="s">
        <v>569</v>
      </c>
      <c r="GLO94" s="83"/>
      <c r="GMD94" s="53" t="s">
        <v>569</v>
      </c>
      <c r="GME94" s="83"/>
      <c r="GMT94" s="53" t="s">
        <v>569</v>
      </c>
      <c r="GMU94" s="83"/>
      <c r="GNJ94" s="53" t="s">
        <v>569</v>
      </c>
      <c r="GNK94" s="83"/>
      <c r="GNZ94" s="53" t="s">
        <v>569</v>
      </c>
      <c r="GOA94" s="83"/>
      <c r="GOP94" s="53" t="s">
        <v>569</v>
      </c>
      <c r="GOQ94" s="83"/>
      <c r="GPF94" s="53" t="s">
        <v>569</v>
      </c>
      <c r="GPG94" s="83"/>
      <c r="GPV94" s="53" t="s">
        <v>569</v>
      </c>
      <c r="GPW94" s="83"/>
      <c r="GQL94" s="53" t="s">
        <v>569</v>
      </c>
      <c r="GQM94" s="83"/>
      <c r="GRB94" s="53" t="s">
        <v>569</v>
      </c>
      <c r="GRC94" s="83"/>
      <c r="GRR94" s="53" t="s">
        <v>569</v>
      </c>
      <c r="GRS94" s="83"/>
      <c r="GSH94" s="53" t="s">
        <v>569</v>
      </c>
      <c r="GSI94" s="83"/>
      <c r="GSX94" s="53" t="s">
        <v>569</v>
      </c>
      <c r="GSY94" s="83"/>
      <c r="GTN94" s="53" t="s">
        <v>569</v>
      </c>
      <c r="GTO94" s="83"/>
      <c r="GUD94" s="53" t="s">
        <v>569</v>
      </c>
      <c r="GUE94" s="83"/>
      <c r="GUT94" s="53" t="s">
        <v>569</v>
      </c>
      <c r="GUU94" s="83"/>
      <c r="GVJ94" s="53" t="s">
        <v>569</v>
      </c>
      <c r="GVK94" s="83"/>
      <c r="GVZ94" s="53" t="s">
        <v>569</v>
      </c>
      <c r="GWA94" s="83"/>
      <c r="GWP94" s="53" t="s">
        <v>569</v>
      </c>
      <c r="GWQ94" s="83"/>
      <c r="GXF94" s="53" t="s">
        <v>569</v>
      </c>
      <c r="GXG94" s="83"/>
      <c r="GXV94" s="53" t="s">
        <v>569</v>
      </c>
      <c r="GXW94" s="83"/>
      <c r="GYL94" s="53" t="s">
        <v>569</v>
      </c>
      <c r="GYM94" s="83"/>
      <c r="GZB94" s="53" t="s">
        <v>569</v>
      </c>
      <c r="GZC94" s="83"/>
      <c r="GZR94" s="53" t="s">
        <v>569</v>
      </c>
      <c r="GZS94" s="83"/>
      <c r="HAH94" s="53" t="s">
        <v>569</v>
      </c>
      <c r="HAI94" s="83"/>
      <c r="HAX94" s="53" t="s">
        <v>569</v>
      </c>
      <c r="HAY94" s="83"/>
      <c r="HBN94" s="53" t="s">
        <v>569</v>
      </c>
      <c r="HBO94" s="83"/>
      <c r="HCD94" s="53" t="s">
        <v>569</v>
      </c>
      <c r="HCE94" s="83"/>
      <c r="HCT94" s="53" t="s">
        <v>569</v>
      </c>
      <c r="HCU94" s="83"/>
      <c r="HDJ94" s="53" t="s">
        <v>569</v>
      </c>
      <c r="HDK94" s="83"/>
      <c r="HDZ94" s="53" t="s">
        <v>569</v>
      </c>
      <c r="HEA94" s="83"/>
      <c r="HEP94" s="53" t="s">
        <v>569</v>
      </c>
      <c r="HEQ94" s="83"/>
      <c r="HFF94" s="53" t="s">
        <v>569</v>
      </c>
      <c r="HFG94" s="83"/>
      <c r="HFV94" s="53" t="s">
        <v>569</v>
      </c>
      <c r="HFW94" s="83"/>
      <c r="HGL94" s="53" t="s">
        <v>569</v>
      </c>
      <c r="HGM94" s="83"/>
      <c r="HHB94" s="53" t="s">
        <v>569</v>
      </c>
      <c r="HHC94" s="83"/>
      <c r="HHR94" s="53" t="s">
        <v>569</v>
      </c>
      <c r="HHS94" s="83"/>
      <c r="HIH94" s="53" t="s">
        <v>569</v>
      </c>
      <c r="HII94" s="83"/>
      <c r="HIX94" s="53" t="s">
        <v>569</v>
      </c>
      <c r="HIY94" s="83"/>
      <c r="HJN94" s="53" t="s">
        <v>569</v>
      </c>
      <c r="HJO94" s="83"/>
      <c r="HKD94" s="53" t="s">
        <v>569</v>
      </c>
      <c r="HKE94" s="83"/>
      <c r="HKT94" s="53" t="s">
        <v>569</v>
      </c>
      <c r="HKU94" s="83"/>
      <c r="HLJ94" s="53" t="s">
        <v>569</v>
      </c>
      <c r="HLK94" s="83"/>
      <c r="HLZ94" s="53" t="s">
        <v>569</v>
      </c>
      <c r="HMA94" s="83"/>
      <c r="HMP94" s="53" t="s">
        <v>569</v>
      </c>
      <c r="HMQ94" s="83"/>
      <c r="HNF94" s="53" t="s">
        <v>569</v>
      </c>
      <c r="HNG94" s="83"/>
      <c r="HNV94" s="53" t="s">
        <v>569</v>
      </c>
      <c r="HNW94" s="83"/>
      <c r="HOL94" s="53" t="s">
        <v>569</v>
      </c>
      <c r="HOM94" s="83"/>
      <c r="HPB94" s="53" t="s">
        <v>569</v>
      </c>
      <c r="HPC94" s="83"/>
      <c r="HPR94" s="53" t="s">
        <v>569</v>
      </c>
      <c r="HPS94" s="83"/>
      <c r="HQH94" s="53" t="s">
        <v>569</v>
      </c>
      <c r="HQI94" s="83"/>
      <c r="HQX94" s="53" t="s">
        <v>569</v>
      </c>
      <c r="HQY94" s="83"/>
      <c r="HRN94" s="53" t="s">
        <v>569</v>
      </c>
      <c r="HRO94" s="83"/>
      <c r="HSD94" s="53" t="s">
        <v>569</v>
      </c>
      <c r="HSE94" s="83"/>
      <c r="HST94" s="53" t="s">
        <v>569</v>
      </c>
      <c r="HSU94" s="83"/>
      <c r="HTJ94" s="53" t="s">
        <v>569</v>
      </c>
      <c r="HTK94" s="83"/>
      <c r="HTZ94" s="53" t="s">
        <v>569</v>
      </c>
      <c r="HUA94" s="83"/>
      <c r="HUP94" s="53" t="s">
        <v>569</v>
      </c>
      <c r="HUQ94" s="83"/>
      <c r="HVF94" s="53" t="s">
        <v>569</v>
      </c>
      <c r="HVG94" s="83"/>
      <c r="HVV94" s="53" t="s">
        <v>569</v>
      </c>
      <c r="HVW94" s="83"/>
      <c r="HWL94" s="53" t="s">
        <v>569</v>
      </c>
      <c r="HWM94" s="83"/>
      <c r="HXB94" s="53" t="s">
        <v>569</v>
      </c>
      <c r="HXC94" s="83"/>
      <c r="HXR94" s="53" t="s">
        <v>569</v>
      </c>
      <c r="HXS94" s="83"/>
      <c r="HYH94" s="53" t="s">
        <v>569</v>
      </c>
      <c r="HYI94" s="83"/>
      <c r="HYX94" s="53" t="s">
        <v>569</v>
      </c>
      <c r="HYY94" s="83"/>
      <c r="HZN94" s="53" t="s">
        <v>569</v>
      </c>
      <c r="HZO94" s="83"/>
      <c r="IAD94" s="53" t="s">
        <v>569</v>
      </c>
      <c r="IAE94" s="83"/>
      <c r="IAT94" s="53" t="s">
        <v>569</v>
      </c>
      <c r="IAU94" s="83"/>
      <c r="IBJ94" s="53" t="s">
        <v>569</v>
      </c>
      <c r="IBK94" s="83"/>
      <c r="IBZ94" s="53" t="s">
        <v>569</v>
      </c>
      <c r="ICA94" s="83"/>
      <c r="ICP94" s="53" t="s">
        <v>569</v>
      </c>
      <c r="ICQ94" s="83"/>
      <c r="IDF94" s="53" t="s">
        <v>569</v>
      </c>
      <c r="IDG94" s="83"/>
      <c r="IDV94" s="53" t="s">
        <v>569</v>
      </c>
      <c r="IDW94" s="83"/>
      <c r="IEL94" s="53" t="s">
        <v>569</v>
      </c>
      <c r="IEM94" s="83"/>
      <c r="IFB94" s="53" t="s">
        <v>569</v>
      </c>
      <c r="IFC94" s="83"/>
      <c r="IFR94" s="53" t="s">
        <v>569</v>
      </c>
      <c r="IFS94" s="83"/>
      <c r="IGH94" s="53" t="s">
        <v>569</v>
      </c>
      <c r="IGI94" s="83"/>
      <c r="IGX94" s="53" t="s">
        <v>569</v>
      </c>
      <c r="IGY94" s="83"/>
      <c r="IHN94" s="53" t="s">
        <v>569</v>
      </c>
      <c r="IHO94" s="83"/>
      <c r="IID94" s="53" t="s">
        <v>569</v>
      </c>
      <c r="IIE94" s="83"/>
      <c r="IIT94" s="53" t="s">
        <v>569</v>
      </c>
      <c r="IIU94" s="83"/>
      <c r="IJJ94" s="53" t="s">
        <v>569</v>
      </c>
      <c r="IJK94" s="83"/>
      <c r="IJZ94" s="53" t="s">
        <v>569</v>
      </c>
      <c r="IKA94" s="83"/>
      <c r="IKP94" s="53" t="s">
        <v>569</v>
      </c>
      <c r="IKQ94" s="83"/>
      <c r="ILF94" s="53" t="s">
        <v>569</v>
      </c>
      <c r="ILG94" s="83"/>
      <c r="ILV94" s="53" t="s">
        <v>569</v>
      </c>
      <c r="ILW94" s="83"/>
      <c r="IML94" s="53" t="s">
        <v>569</v>
      </c>
      <c r="IMM94" s="83"/>
      <c r="INB94" s="53" t="s">
        <v>569</v>
      </c>
      <c r="INC94" s="83"/>
      <c r="INR94" s="53" t="s">
        <v>569</v>
      </c>
      <c r="INS94" s="83"/>
      <c r="IOH94" s="53" t="s">
        <v>569</v>
      </c>
      <c r="IOI94" s="83"/>
      <c r="IOX94" s="53" t="s">
        <v>569</v>
      </c>
      <c r="IOY94" s="83"/>
      <c r="IPN94" s="53" t="s">
        <v>569</v>
      </c>
      <c r="IPO94" s="83"/>
      <c r="IQD94" s="53" t="s">
        <v>569</v>
      </c>
      <c r="IQE94" s="83"/>
      <c r="IQT94" s="53" t="s">
        <v>569</v>
      </c>
      <c r="IQU94" s="83"/>
      <c r="IRJ94" s="53" t="s">
        <v>569</v>
      </c>
      <c r="IRK94" s="83"/>
      <c r="IRZ94" s="53" t="s">
        <v>569</v>
      </c>
      <c r="ISA94" s="83"/>
      <c r="ISP94" s="53" t="s">
        <v>569</v>
      </c>
      <c r="ISQ94" s="83"/>
      <c r="ITF94" s="53" t="s">
        <v>569</v>
      </c>
      <c r="ITG94" s="83"/>
      <c r="ITV94" s="53" t="s">
        <v>569</v>
      </c>
      <c r="ITW94" s="83"/>
      <c r="IUL94" s="53" t="s">
        <v>569</v>
      </c>
      <c r="IUM94" s="83"/>
      <c r="IVB94" s="53" t="s">
        <v>569</v>
      </c>
      <c r="IVC94" s="83"/>
      <c r="IVR94" s="53" t="s">
        <v>569</v>
      </c>
      <c r="IVS94" s="83"/>
      <c r="IWH94" s="53" t="s">
        <v>569</v>
      </c>
      <c r="IWI94" s="83"/>
      <c r="IWX94" s="53" t="s">
        <v>569</v>
      </c>
      <c r="IWY94" s="83"/>
      <c r="IXN94" s="53" t="s">
        <v>569</v>
      </c>
      <c r="IXO94" s="83"/>
      <c r="IYD94" s="53" t="s">
        <v>569</v>
      </c>
      <c r="IYE94" s="83"/>
      <c r="IYT94" s="53" t="s">
        <v>569</v>
      </c>
      <c r="IYU94" s="83"/>
      <c r="IZJ94" s="53" t="s">
        <v>569</v>
      </c>
      <c r="IZK94" s="83"/>
      <c r="IZZ94" s="53" t="s">
        <v>569</v>
      </c>
      <c r="JAA94" s="83"/>
      <c r="JAP94" s="53" t="s">
        <v>569</v>
      </c>
      <c r="JAQ94" s="83"/>
      <c r="JBF94" s="53" t="s">
        <v>569</v>
      </c>
      <c r="JBG94" s="83"/>
      <c r="JBV94" s="53" t="s">
        <v>569</v>
      </c>
      <c r="JBW94" s="83"/>
      <c r="JCL94" s="53" t="s">
        <v>569</v>
      </c>
      <c r="JCM94" s="83"/>
      <c r="JDB94" s="53" t="s">
        <v>569</v>
      </c>
      <c r="JDC94" s="83"/>
      <c r="JDR94" s="53" t="s">
        <v>569</v>
      </c>
      <c r="JDS94" s="83"/>
      <c r="JEH94" s="53" t="s">
        <v>569</v>
      </c>
      <c r="JEI94" s="83"/>
      <c r="JEX94" s="53" t="s">
        <v>569</v>
      </c>
      <c r="JEY94" s="83"/>
      <c r="JFN94" s="53" t="s">
        <v>569</v>
      </c>
      <c r="JFO94" s="83"/>
      <c r="JGD94" s="53" t="s">
        <v>569</v>
      </c>
      <c r="JGE94" s="83"/>
      <c r="JGT94" s="53" t="s">
        <v>569</v>
      </c>
      <c r="JGU94" s="83"/>
      <c r="JHJ94" s="53" t="s">
        <v>569</v>
      </c>
      <c r="JHK94" s="83"/>
      <c r="JHZ94" s="53" t="s">
        <v>569</v>
      </c>
      <c r="JIA94" s="83"/>
      <c r="JIP94" s="53" t="s">
        <v>569</v>
      </c>
      <c r="JIQ94" s="83"/>
      <c r="JJF94" s="53" t="s">
        <v>569</v>
      </c>
      <c r="JJG94" s="83"/>
      <c r="JJV94" s="53" t="s">
        <v>569</v>
      </c>
      <c r="JJW94" s="83"/>
      <c r="JKL94" s="53" t="s">
        <v>569</v>
      </c>
      <c r="JKM94" s="83"/>
      <c r="JLB94" s="53" t="s">
        <v>569</v>
      </c>
      <c r="JLC94" s="83"/>
      <c r="JLR94" s="53" t="s">
        <v>569</v>
      </c>
      <c r="JLS94" s="83"/>
      <c r="JMH94" s="53" t="s">
        <v>569</v>
      </c>
      <c r="JMI94" s="83"/>
      <c r="JMX94" s="53" t="s">
        <v>569</v>
      </c>
      <c r="JMY94" s="83"/>
      <c r="JNN94" s="53" t="s">
        <v>569</v>
      </c>
      <c r="JNO94" s="83"/>
      <c r="JOD94" s="53" t="s">
        <v>569</v>
      </c>
      <c r="JOE94" s="83"/>
      <c r="JOT94" s="53" t="s">
        <v>569</v>
      </c>
      <c r="JOU94" s="83"/>
      <c r="JPJ94" s="53" t="s">
        <v>569</v>
      </c>
      <c r="JPK94" s="83"/>
      <c r="JPZ94" s="53" t="s">
        <v>569</v>
      </c>
      <c r="JQA94" s="83"/>
      <c r="JQP94" s="53" t="s">
        <v>569</v>
      </c>
      <c r="JQQ94" s="83"/>
      <c r="JRF94" s="53" t="s">
        <v>569</v>
      </c>
      <c r="JRG94" s="83"/>
      <c r="JRV94" s="53" t="s">
        <v>569</v>
      </c>
      <c r="JRW94" s="83"/>
      <c r="JSL94" s="53" t="s">
        <v>569</v>
      </c>
      <c r="JSM94" s="83"/>
      <c r="JTB94" s="53" t="s">
        <v>569</v>
      </c>
      <c r="JTC94" s="83"/>
      <c r="JTR94" s="53" t="s">
        <v>569</v>
      </c>
      <c r="JTS94" s="83"/>
      <c r="JUH94" s="53" t="s">
        <v>569</v>
      </c>
      <c r="JUI94" s="83"/>
      <c r="JUX94" s="53" t="s">
        <v>569</v>
      </c>
      <c r="JUY94" s="83"/>
      <c r="JVN94" s="53" t="s">
        <v>569</v>
      </c>
      <c r="JVO94" s="83"/>
      <c r="JWD94" s="53" t="s">
        <v>569</v>
      </c>
      <c r="JWE94" s="83"/>
      <c r="JWT94" s="53" t="s">
        <v>569</v>
      </c>
      <c r="JWU94" s="83"/>
      <c r="JXJ94" s="53" t="s">
        <v>569</v>
      </c>
      <c r="JXK94" s="83"/>
      <c r="JXZ94" s="53" t="s">
        <v>569</v>
      </c>
      <c r="JYA94" s="83"/>
      <c r="JYP94" s="53" t="s">
        <v>569</v>
      </c>
      <c r="JYQ94" s="83"/>
      <c r="JZF94" s="53" t="s">
        <v>569</v>
      </c>
      <c r="JZG94" s="83"/>
      <c r="JZV94" s="53" t="s">
        <v>569</v>
      </c>
      <c r="JZW94" s="83"/>
      <c r="KAL94" s="53" t="s">
        <v>569</v>
      </c>
      <c r="KAM94" s="83"/>
      <c r="KBB94" s="53" t="s">
        <v>569</v>
      </c>
      <c r="KBC94" s="83"/>
      <c r="KBR94" s="53" t="s">
        <v>569</v>
      </c>
      <c r="KBS94" s="83"/>
      <c r="KCH94" s="53" t="s">
        <v>569</v>
      </c>
      <c r="KCI94" s="83"/>
      <c r="KCX94" s="53" t="s">
        <v>569</v>
      </c>
      <c r="KCY94" s="83"/>
      <c r="KDN94" s="53" t="s">
        <v>569</v>
      </c>
      <c r="KDO94" s="83"/>
      <c r="KED94" s="53" t="s">
        <v>569</v>
      </c>
      <c r="KEE94" s="83"/>
      <c r="KET94" s="53" t="s">
        <v>569</v>
      </c>
      <c r="KEU94" s="83"/>
      <c r="KFJ94" s="53" t="s">
        <v>569</v>
      </c>
      <c r="KFK94" s="83"/>
      <c r="KFZ94" s="53" t="s">
        <v>569</v>
      </c>
      <c r="KGA94" s="83"/>
      <c r="KGP94" s="53" t="s">
        <v>569</v>
      </c>
      <c r="KGQ94" s="83"/>
      <c r="KHF94" s="53" t="s">
        <v>569</v>
      </c>
      <c r="KHG94" s="83"/>
      <c r="KHV94" s="53" t="s">
        <v>569</v>
      </c>
      <c r="KHW94" s="83"/>
      <c r="KIL94" s="53" t="s">
        <v>569</v>
      </c>
      <c r="KIM94" s="83"/>
      <c r="KJB94" s="53" t="s">
        <v>569</v>
      </c>
      <c r="KJC94" s="83"/>
      <c r="KJR94" s="53" t="s">
        <v>569</v>
      </c>
      <c r="KJS94" s="83"/>
      <c r="KKH94" s="53" t="s">
        <v>569</v>
      </c>
      <c r="KKI94" s="83"/>
      <c r="KKX94" s="53" t="s">
        <v>569</v>
      </c>
      <c r="KKY94" s="83"/>
      <c r="KLN94" s="53" t="s">
        <v>569</v>
      </c>
      <c r="KLO94" s="83"/>
      <c r="KMD94" s="53" t="s">
        <v>569</v>
      </c>
      <c r="KME94" s="83"/>
      <c r="KMT94" s="53" t="s">
        <v>569</v>
      </c>
      <c r="KMU94" s="83"/>
      <c r="KNJ94" s="53" t="s">
        <v>569</v>
      </c>
      <c r="KNK94" s="83"/>
      <c r="KNZ94" s="53" t="s">
        <v>569</v>
      </c>
      <c r="KOA94" s="83"/>
      <c r="KOP94" s="53" t="s">
        <v>569</v>
      </c>
      <c r="KOQ94" s="83"/>
      <c r="KPF94" s="53" t="s">
        <v>569</v>
      </c>
      <c r="KPG94" s="83"/>
      <c r="KPV94" s="53" t="s">
        <v>569</v>
      </c>
      <c r="KPW94" s="83"/>
      <c r="KQL94" s="53" t="s">
        <v>569</v>
      </c>
      <c r="KQM94" s="83"/>
      <c r="KRB94" s="53" t="s">
        <v>569</v>
      </c>
      <c r="KRC94" s="83"/>
      <c r="KRR94" s="53" t="s">
        <v>569</v>
      </c>
      <c r="KRS94" s="83"/>
      <c r="KSH94" s="53" t="s">
        <v>569</v>
      </c>
      <c r="KSI94" s="83"/>
      <c r="KSX94" s="53" t="s">
        <v>569</v>
      </c>
      <c r="KSY94" s="83"/>
      <c r="KTN94" s="53" t="s">
        <v>569</v>
      </c>
      <c r="KTO94" s="83"/>
      <c r="KUD94" s="53" t="s">
        <v>569</v>
      </c>
      <c r="KUE94" s="83"/>
      <c r="KUT94" s="53" t="s">
        <v>569</v>
      </c>
      <c r="KUU94" s="83"/>
      <c r="KVJ94" s="53" t="s">
        <v>569</v>
      </c>
      <c r="KVK94" s="83"/>
      <c r="KVZ94" s="53" t="s">
        <v>569</v>
      </c>
      <c r="KWA94" s="83"/>
      <c r="KWP94" s="53" t="s">
        <v>569</v>
      </c>
      <c r="KWQ94" s="83"/>
      <c r="KXF94" s="53" t="s">
        <v>569</v>
      </c>
      <c r="KXG94" s="83"/>
      <c r="KXV94" s="53" t="s">
        <v>569</v>
      </c>
      <c r="KXW94" s="83"/>
      <c r="KYL94" s="53" t="s">
        <v>569</v>
      </c>
      <c r="KYM94" s="83"/>
      <c r="KZB94" s="53" t="s">
        <v>569</v>
      </c>
      <c r="KZC94" s="83"/>
      <c r="KZR94" s="53" t="s">
        <v>569</v>
      </c>
      <c r="KZS94" s="83"/>
      <c r="LAH94" s="53" t="s">
        <v>569</v>
      </c>
      <c r="LAI94" s="83"/>
      <c r="LAX94" s="53" t="s">
        <v>569</v>
      </c>
      <c r="LAY94" s="83"/>
      <c r="LBN94" s="53" t="s">
        <v>569</v>
      </c>
      <c r="LBO94" s="83"/>
      <c r="LCD94" s="53" t="s">
        <v>569</v>
      </c>
      <c r="LCE94" s="83"/>
      <c r="LCT94" s="53" t="s">
        <v>569</v>
      </c>
      <c r="LCU94" s="83"/>
      <c r="LDJ94" s="53" t="s">
        <v>569</v>
      </c>
      <c r="LDK94" s="83"/>
      <c r="LDZ94" s="53" t="s">
        <v>569</v>
      </c>
      <c r="LEA94" s="83"/>
      <c r="LEP94" s="53" t="s">
        <v>569</v>
      </c>
      <c r="LEQ94" s="83"/>
      <c r="LFF94" s="53" t="s">
        <v>569</v>
      </c>
      <c r="LFG94" s="83"/>
      <c r="LFV94" s="53" t="s">
        <v>569</v>
      </c>
      <c r="LFW94" s="83"/>
      <c r="LGL94" s="53" t="s">
        <v>569</v>
      </c>
      <c r="LGM94" s="83"/>
      <c r="LHB94" s="53" t="s">
        <v>569</v>
      </c>
      <c r="LHC94" s="83"/>
      <c r="LHR94" s="53" t="s">
        <v>569</v>
      </c>
      <c r="LHS94" s="83"/>
      <c r="LIH94" s="53" t="s">
        <v>569</v>
      </c>
      <c r="LII94" s="83"/>
      <c r="LIX94" s="53" t="s">
        <v>569</v>
      </c>
      <c r="LIY94" s="83"/>
      <c r="LJN94" s="53" t="s">
        <v>569</v>
      </c>
      <c r="LJO94" s="83"/>
      <c r="LKD94" s="53" t="s">
        <v>569</v>
      </c>
      <c r="LKE94" s="83"/>
      <c r="LKT94" s="53" t="s">
        <v>569</v>
      </c>
      <c r="LKU94" s="83"/>
      <c r="LLJ94" s="53" t="s">
        <v>569</v>
      </c>
      <c r="LLK94" s="83"/>
      <c r="LLZ94" s="53" t="s">
        <v>569</v>
      </c>
      <c r="LMA94" s="83"/>
      <c r="LMP94" s="53" t="s">
        <v>569</v>
      </c>
      <c r="LMQ94" s="83"/>
      <c r="LNF94" s="53" t="s">
        <v>569</v>
      </c>
      <c r="LNG94" s="83"/>
      <c r="LNV94" s="53" t="s">
        <v>569</v>
      </c>
      <c r="LNW94" s="83"/>
      <c r="LOL94" s="53" t="s">
        <v>569</v>
      </c>
      <c r="LOM94" s="83"/>
      <c r="LPB94" s="53" t="s">
        <v>569</v>
      </c>
      <c r="LPC94" s="83"/>
      <c r="LPR94" s="53" t="s">
        <v>569</v>
      </c>
      <c r="LPS94" s="83"/>
      <c r="LQH94" s="53" t="s">
        <v>569</v>
      </c>
      <c r="LQI94" s="83"/>
      <c r="LQX94" s="53" t="s">
        <v>569</v>
      </c>
      <c r="LQY94" s="83"/>
      <c r="LRN94" s="53" t="s">
        <v>569</v>
      </c>
      <c r="LRO94" s="83"/>
      <c r="LSD94" s="53" t="s">
        <v>569</v>
      </c>
      <c r="LSE94" s="83"/>
      <c r="LST94" s="53" t="s">
        <v>569</v>
      </c>
      <c r="LSU94" s="83"/>
      <c r="LTJ94" s="53" t="s">
        <v>569</v>
      </c>
      <c r="LTK94" s="83"/>
      <c r="LTZ94" s="53" t="s">
        <v>569</v>
      </c>
      <c r="LUA94" s="83"/>
      <c r="LUP94" s="53" t="s">
        <v>569</v>
      </c>
      <c r="LUQ94" s="83"/>
      <c r="LVF94" s="53" t="s">
        <v>569</v>
      </c>
      <c r="LVG94" s="83"/>
      <c r="LVV94" s="53" t="s">
        <v>569</v>
      </c>
      <c r="LVW94" s="83"/>
      <c r="LWL94" s="53" t="s">
        <v>569</v>
      </c>
      <c r="LWM94" s="83"/>
      <c r="LXB94" s="53" t="s">
        <v>569</v>
      </c>
      <c r="LXC94" s="83"/>
      <c r="LXR94" s="53" t="s">
        <v>569</v>
      </c>
      <c r="LXS94" s="83"/>
      <c r="LYH94" s="53" t="s">
        <v>569</v>
      </c>
      <c r="LYI94" s="83"/>
      <c r="LYX94" s="53" t="s">
        <v>569</v>
      </c>
      <c r="LYY94" s="83"/>
      <c r="LZN94" s="53" t="s">
        <v>569</v>
      </c>
      <c r="LZO94" s="83"/>
      <c r="MAD94" s="53" t="s">
        <v>569</v>
      </c>
      <c r="MAE94" s="83"/>
      <c r="MAT94" s="53" t="s">
        <v>569</v>
      </c>
      <c r="MAU94" s="83"/>
      <c r="MBJ94" s="53" t="s">
        <v>569</v>
      </c>
      <c r="MBK94" s="83"/>
      <c r="MBZ94" s="53" t="s">
        <v>569</v>
      </c>
      <c r="MCA94" s="83"/>
      <c r="MCP94" s="53" t="s">
        <v>569</v>
      </c>
      <c r="MCQ94" s="83"/>
      <c r="MDF94" s="53" t="s">
        <v>569</v>
      </c>
      <c r="MDG94" s="83"/>
      <c r="MDV94" s="53" t="s">
        <v>569</v>
      </c>
      <c r="MDW94" s="83"/>
      <c r="MEL94" s="53" t="s">
        <v>569</v>
      </c>
      <c r="MEM94" s="83"/>
      <c r="MFB94" s="53" t="s">
        <v>569</v>
      </c>
      <c r="MFC94" s="83"/>
      <c r="MFR94" s="53" t="s">
        <v>569</v>
      </c>
      <c r="MFS94" s="83"/>
      <c r="MGH94" s="53" t="s">
        <v>569</v>
      </c>
      <c r="MGI94" s="83"/>
      <c r="MGX94" s="53" t="s">
        <v>569</v>
      </c>
      <c r="MGY94" s="83"/>
      <c r="MHN94" s="53" t="s">
        <v>569</v>
      </c>
      <c r="MHO94" s="83"/>
      <c r="MID94" s="53" t="s">
        <v>569</v>
      </c>
      <c r="MIE94" s="83"/>
      <c r="MIT94" s="53" t="s">
        <v>569</v>
      </c>
      <c r="MIU94" s="83"/>
      <c r="MJJ94" s="53" t="s">
        <v>569</v>
      </c>
      <c r="MJK94" s="83"/>
      <c r="MJZ94" s="53" t="s">
        <v>569</v>
      </c>
      <c r="MKA94" s="83"/>
      <c r="MKP94" s="53" t="s">
        <v>569</v>
      </c>
      <c r="MKQ94" s="83"/>
      <c r="MLF94" s="53" t="s">
        <v>569</v>
      </c>
      <c r="MLG94" s="83"/>
      <c r="MLV94" s="53" t="s">
        <v>569</v>
      </c>
      <c r="MLW94" s="83"/>
      <c r="MML94" s="53" t="s">
        <v>569</v>
      </c>
      <c r="MMM94" s="83"/>
      <c r="MNB94" s="53" t="s">
        <v>569</v>
      </c>
      <c r="MNC94" s="83"/>
      <c r="MNR94" s="53" t="s">
        <v>569</v>
      </c>
      <c r="MNS94" s="83"/>
      <c r="MOH94" s="53" t="s">
        <v>569</v>
      </c>
      <c r="MOI94" s="83"/>
      <c r="MOX94" s="53" t="s">
        <v>569</v>
      </c>
      <c r="MOY94" s="83"/>
      <c r="MPN94" s="53" t="s">
        <v>569</v>
      </c>
      <c r="MPO94" s="83"/>
      <c r="MQD94" s="53" t="s">
        <v>569</v>
      </c>
      <c r="MQE94" s="83"/>
      <c r="MQT94" s="53" t="s">
        <v>569</v>
      </c>
      <c r="MQU94" s="83"/>
      <c r="MRJ94" s="53" t="s">
        <v>569</v>
      </c>
      <c r="MRK94" s="83"/>
      <c r="MRZ94" s="53" t="s">
        <v>569</v>
      </c>
      <c r="MSA94" s="83"/>
      <c r="MSP94" s="53" t="s">
        <v>569</v>
      </c>
      <c r="MSQ94" s="83"/>
      <c r="MTF94" s="53" t="s">
        <v>569</v>
      </c>
      <c r="MTG94" s="83"/>
      <c r="MTV94" s="53" t="s">
        <v>569</v>
      </c>
      <c r="MTW94" s="83"/>
      <c r="MUL94" s="53" t="s">
        <v>569</v>
      </c>
      <c r="MUM94" s="83"/>
      <c r="MVB94" s="53" t="s">
        <v>569</v>
      </c>
      <c r="MVC94" s="83"/>
      <c r="MVR94" s="53" t="s">
        <v>569</v>
      </c>
      <c r="MVS94" s="83"/>
      <c r="MWH94" s="53" t="s">
        <v>569</v>
      </c>
      <c r="MWI94" s="83"/>
      <c r="MWX94" s="53" t="s">
        <v>569</v>
      </c>
      <c r="MWY94" s="83"/>
      <c r="MXN94" s="53" t="s">
        <v>569</v>
      </c>
      <c r="MXO94" s="83"/>
      <c r="MYD94" s="53" t="s">
        <v>569</v>
      </c>
      <c r="MYE94" s="83"/>
      <c r="MYT94" s="53" t="s">
        <v>569</v>
      </c>
      <c r="MYU94" s="83"/>
      <c r="MZJ94" s="53" t="s">
        <v>569</v>
      </c>
      <c r="MZK94" s="83"/>
      <c r="MZZ94" s="53" t="s">
        <v>569</v>
      </c>
      <c r="NAA94" s="83"/>
      <c r="NAP94" s="53" t="s">
        <v>569</v>
      </c>
      <c r="NAQ94" s="83"/>
      <c r="NBF94" s="53" t="s">
        <v>569</v>
      </c>
      <c r="NBG94" s="83"/>
      <c r="NBV94" s="53" t="s">
        <v>569</v>
      </c>
      <c r="NBW94" s="83"/>
      <c r="NCL94" s="53" t="s">
        <v>569</v>
      </c>
      <c r="NCM94" s="83"/>
      <c r="NDB94" s="53" t="s">
        <v>569</v>
      </c>
      <c r="NDC94" s="83"/>
      <c r="NDR94" s="53" t="s">
        <v>569</v>
      </c>
      <c r="NDS94" s="83"/>
      <c r="NEH94" s="53" t="s">
        <v>569</v>
      </c>
      <c r="NEI94" s="83"/>
      <c r="NEX94" s="53" t="s">
        <v>569</v>
      </c>
      <c r="NEY94" s="83"/>
      <c r="NFN94" s="53" t="s">
        <v>569</v>
      </c>
      <c r="NFO94" s="83"/>
      <c r="NGD94" s="53" t="s">
        <v>569</v>
      </c>
      <c r="NGE94" s="83"/>
      <c r="NGT94" s="53" t="s">
        <v>569</v>
      </c>
      <c r="NGU94" s="83"/>
      <c r="NHJ94" s="53" t="s">
        <v>569</v>
      </c>
      <c r="NHK94" s="83"/>
      <c r="NHZ94" s="53" t="s">
        <v>569</v>
      </c>
      <c r="NIA94" s="83"/>
      <c r="NIP94" s="53" t="s">
        <v>569</v>
      </c>
      <c r="NIQ94" s="83"/>
      <c r="NJF94" s="53" t="s">
        <v>569</v>
      </c>
      <c r="NJG94" s="83"/>
      <c r="NJV94" s="53" t="s">
        <v>569</v>
      </c>
      <c r="NJW94" s="83"/>
      <c r="NKL94" s="53" t="s">
        <v>569</v>
      </c>
      <c r="NKM94" s="83"/>
      <c r="NLB94" s="53" t="s">
        <v>569</v>
      </c>
      <c r="NLC94" s="83"/>
      <c r="NLR94" s="53" t="s">
        <v>569</v>
      </c>
      <c r="NLS94" s="83"/>
      <c r="NMH94" s="53" t="s">
        <v>569</v>
      </c>
      <c r="NMI94" s="83"/>
      <c r="NMX94" s="53" t="s">
        <v>569</v>
      </c>
      <c r="NMY94" s="83"/>
      <c r="NNN94" s="53" t="s">
        <v>569</v>
      </c>
      <c r="NNO94" s="83"/>
      <c r="NOD94" s="53" t="s">
        <v>569</v>
      </c>
      <c r="NOE94" s="83"/>
      <c r="NOT94" s="53" t="s">
        <v>569</v>
      </c>
      <c r="NOU94" s="83"/>
      <c r="NPJ94" s="53" t="s">
        <v>569</v>
      </c>
      <c r="NPK94" s="83"/>
      <c r="NPZ94" s="53" t="s">
        <v>569</v>
      </c>
      <c r="NQA94" s="83"/>
      <c r="NQP94" s="53" t="s">
        <v>569</v>
      </c>
      <c r="NQQ94" s="83"/>
      <c r="NRF94" s="53" t="s">
        <v>569</v>
      </c>
      <c r="NRG94" s="83"/>
      <c r="NRV94" s="53" t="s">
        <v>569</v>
      </c>
      <c r="NRW94" s="83"/>
      <c r="NSL94" s="53" t="s">
        <v>569</v>
      </c>
      <c r="NSM94" s="83"/>
      <c r="NTB94" s="53" t="s">
        <v>569</v>
      </c>
      <c r="NTC94" s="83"/>
      <c r="NTR94" s="53" t="s">
        <v>569</v>
      </c>
      <c r="NTS94" s="83"/>
      <c r="NUH94" s="53" t="s">
        <v>569</v>
      </c>
      <c r="NUI94" s="83"/>
      <c r="NUX94" s="53" t="s">
        <v>569</v>
      </c>
      <c r="NUY94" s="83"/>
      <c r="NVN94" s="53" t="s">
        <v>569</v>
      </c>
      <c r="NVO94" s="83"/>
      <c r="NWD94" s="53" t="s">
        <v>569</v>
      </c>
      <c r="NWE94" s="83"/>
      <c r="NWT94" s="53" t="s">
        <v>569</v>
      </c>
      <c r="NWU94" s="83"/>
      <c r="NXJ94" s="53" t="s">
        <v>569</v>
      </c>
      <c r="NXK94" s="83"/>
      <c r="NXZ94" s="53" t="s">
        <v>569</v>
      </c>
      <c r="NYA94" s="83"/>
      <c r="NYP94" s="53" t="s">
        <v>569</v>
      </c>
      <c r="NYQ94" s="83"/>
      <c r="NZF94" s="53" t="s">
        <v>569</v>
      </c>
      <c r="NZG94" s="83"/>
      <c r="NZV94" s="53" t="s">
        <v>569</v>
      </c>
      <c r="NZW94" s="83"/>
      <c r="OAL94" s="53" t="s">
        <v>569</v>
      </c>
      <c r="OAM94" s="83"/>
      <c r="OBB94" s="53" t="s">
        <v>569</v>
      </c>
      <c r="OBC94" s="83"/>
      <c r="OBR94" s="53" t="s">
        <v>569</v>
      </c>
      <c r="OBS94" s="83"/>
      <c r="OCH94" s="53" t="s">
        <v>569</v>
      </c>
      <c r="OCI94" s="83"/>
      <c r="OCX94" s="53" t="s">
        <v>569</v>
      </c>
      <c r="OCY94" s="83"/>
      <c r="ODN94" s="53" t="s">
        <v>569</v>
      </c>
      <c r="ODO94" s="83"/>
      <c r="OED94" s="53" t="s">
        <v>569</v>
      </c>
      <c r="OEE94" s="83"/>
      <c r="OET94" s="53" t="s">
        <v>569</v>
      </c>
      <c r="OEU94" s="83"/>
      <c r="OFJ94" s="53" t="s">
        <v>569</v>
      </c>
      <c r="OFK94" s="83"/>
      <c r="OFZ94" s="53" t="s">
        <v>569</v>
      </c>
      <c r="OGA94" s="83"/>
      <c r="OGP94" s="53" t="s">
        <v>569</v>
      </c>
      <c r="OGQ94" s="83"/>
      <c r="OHF94" s="53" t="s">
        <v>569</v>
      </c>
      <c r="OHG94" s="83"/>
      <c r="OHV94" s="53" t="s">
        <v>569</v>
      </c>
      <c r="OHW94" s="83"/>
      <c r="OIL94" s="53" t="s">
        <v>569</v>
      </c>
      <c r="OIM94" s="83"/>
      <c r="OJB94" s="53" t="s">
        <v>569</v>
      </c>
      <c r="OJC94" s="83"/>
      <c r="OJR94" s="53" t="s">
        <v>569</v>
      </c>
      <c r="OJS94" s="83"/>
      <c r="OKH94" s="53" t="s">
        <v>569</v>
      </c>
      <c r="OKI94" s="83"/>
      <c r="OKX94" s="53" t="s">
        <v>569</v>
      </c>
      <c r="OKY94" s="83"/>
      <c r="OLN94" s="53" t="s">
        <v>569</v>
      </c>
      <c r="OLO94" s="83"/>
      <c r="OMD94" s="53" t="s">
        <v>569</v>
      </c>
      <c r="OME94" s="83"/>
      <c r="OMT94" s="53" t="s">
        <v>569</v>
      </c>
      <c r="OMU94" s="83"/>
      <c r="ONJ94" s="53" t="s">
        <v>569</v>
      </c>
      <c r="ONK94" s="83"/>
      <c r="ONZ94" s="53" t="s">
        <v>569</v>
      </c>
      <c r="OOA94" s="83"/>
      <c r="OOP94" s="53" t="s">
        <v>569</v>
      </c>
      <c r="OOQ94" s="83"/>
      <c r="OPF94" s="53" t="s">
        <v>569</v>
      </c>
      <c r="OPG94" s="83"/>
      <c r="OPV94" s="53" t="s">
        <v>569</v>
      </c>
      <c r="OPW94" s="83"/>
      <c r="OQL94" s="53" t="s">
        <v>569</v>
      </c>
      <c r="OQM94" s="83"/>
      <c r="ORB94" s="53" t="s">
        <v>569</v>
      </c>
      <c r="ORC94" s="83"/>
      <c r="ORR94" s="53" t="s">
        <v>569</v>
      </c>
      <c r="ORS94" s="83"/>
      <c r="OSH94" s="53" t="s">
        <v>569</v>
      </c>
      <c r="OSI94" s="83"/>
      <c r="OSX94" s="53" t="s">
        <v>569</v>
      </c>
      <c r="OSY94" s="83"/>
      <c r="OTN94" s="53" t="s">
        <v>569</v>
      </c>
      <c r="OTO94" s="83"/>
      <c r="OUD94" s="53" t="s">
        <v>569</v>
      </c>
      <c r="OUE94" s="83"/>
      <c r="OUT94" s="53" t="s">
        <v>569</v>
      </c>
      <c r="OUU94" s="83"/>
      <c r="OVJ94" s="53" t="s">
        <v>569</v>
      </c>
      <c r="OVK94" s="83"/>
      <c r="OVZ94" s="53" t="s">
        <v>569</v>
      </c>
      <c r="OWA94" s="83"/>
      <c r="OWP94" s="53" t="s">
        <v>569</v>
      </c>
      <c r="OWQ94" s="83"/>
      <c r="OXF94" s="53" t="s">
        <v>569</v>
      </c>
      <c r="OXG94" s="83"/>
      <c r="OXV94" s="53" t="s">
        <v>569</v>
      </c>
      <c r="OXW94" s="83"/>
      <c r="OYL94" s="53" t="s">
        <v>569</v>
      </c>
      <c r="OYM94" s="83"/>
      <c r="OZB94" s="53" t="s">
        <v>569</v>
      </c>
      <c r="OZC94" s="83"/>
      <c r="OZR94" s="53" t="s">
        <v>569</v>
      </c>
      <c r="OZS94" s="83"/>
      <c r="PAH94" s="53" t="s">
        <v>569</v>
      </c>
      <c r="PAI94" s="83"/>
      <c r="PAX94" s="53" t="s">
        <v>569</v>
      </c>
      <c r="PAY94" s="83"/>
      <c r="PBN94" s="53" t="s">
        <v>569</v>
      </c>
      <c r="PBO94" s="83"/>
      <c r="PCD94" s="53" t="s">
        <v>569</v>
      </c>
      <c r="PCE94" s="83"/>
      <c r="PCT94" s="53" t="s">
        <v>569</v>
      </c>
      <c r="PCU94" s="83"/>
      <c r="PDJ94" s="53" t="s">
        <v>569</v>
      </c>
      <c r="PDK94" s="83"/>
      <c r="PDZ94" s="53" t="s">
        <v>569</v>
      </c>
      <c r="PEA94" s="83"/>
      <c r="PEP94" s="53" t="s">
        <v>569</v>
      </c>
      <c r="PEQ94" s="83"/>
      <c r="PFF94" s="53" t="s">
        <v>569</v>
      </c>
      <c r="PFG94" s="83"/>
      <c r="PFV94" s="53" t="s">
        <v>569</v>
      </c>
      <c r="PFW94" s="83"/>
      <c r="PGL94" s="53" t="s">
        <v>569</v>
      </c>
      <c r="PGM94" s="83"/>
      <c r="PHB94" s="53" t="s">
        <v>569</v>
      </c>
      <c r="PHC94" s="83"/>
      <c r="PHR94" s="53" t="s">
        <v>569</v>
      </c>
      <c r="PHS94" s="83"/>
      <c r="PIH94" s="53" t="s">
        <v>569</v>
      </c>
      <c r="PII94" s="83"/>
      <c r="PIX94" s="53" t="s">
        <v>569</v>
      </c>
      <c r="PIY94" s="83"/>
      <c r="PJN94" s="53" t="s">
        <v>569</v>
      </c>
      <c r="PJO94" s="83"/>
      <c r="PKD94" s="53" t="s">
        <v>569</v>
      </c>
      <c r="PKE94" s="83"/>
      <c r="PKT94" s="53" t="s">
        <v>569</v>
      </c>
      <c r="PKU94" s="83"/>
      <c r="PLJ94" s="53" t="s">
        <v>569</v>
      </c>
      <c r="PLK94" s="83"/>
      <c r="PLZ94" s="53" t="s">
        <v>569</v>
      </c>
      <c r="PMA94" s="83"/>
      <c r="PMP94" s="53" t="s">
        <v>569</v>
      </c>
      <c r="PMQ94" s="83"/>
      <c r="PNF94" s="53" t="s">
        <v>569</v>
      </c>
      <c r="PNG94" s="83"/>
      <c r="PNV94" s="53" t="s">
        <v>569</v>
      </c>
      <c r="PNW94" s="83"/>
      <c r="POL94" s="53" t="s">
        <v>569</v>
      </c>
      <c r="POM94" s="83"/>
      <c r="PPB94" s="53" t="s">
        <v>569</v>
      </c>
      <c r="PPC94" s="83"/>
      <c r="PPR94" s="53" t="s">
        <v>569</v>
      </c>
      <c r="PPS94" s="83"/>
      <c r="PQH94" s="53" t="s">
        <v>569</v>
      </c>
      <c r="PQI94" s="83"/>
      <c r="PQX94" s="53" t="s">
        <v>569</v>
      </c>
      <c r="PQY94" s="83"/>
      <c r="PRN94" s="53" t="s">
        <v>569</v>
      </c>
      <c r="PRO94" s="83"/>
      <c r="PSD94" s="53" t="s">
        <v>569</v>
      </c>
      <c r="PSE94" s="83"/>
      <c r="PST94" s="53" t="s">
        <v>569</v>
      </c>
      <c r="PSU94" s="83"/>
      <c r="PTJ94" s="53" t="s">
        <v>569</v>
      </c>
      <c r="PTK94" s="83"/>
      <c r="PTZ94" s="53" t="s">
        <v>569</v>
      </c>
      <c r="PUA94" s="83"/>
      <c r="PUP94" s="53" t="s">
        <v>569</v>
      </c>
      <c r="PUQ94" s="83"/>
      <c r="PVF94" s="53" t="s">
        <v>569</v>
      </c>
      <c r="PVG94" s="83"/>
      <c r="PVV94" s="53" t="s">
        <v>569</v>
      </c>
      <c r="PVW94" s="83"/>
      <c r="PWL94" s="53" t="s">
        <v>569</v>
      </c>
      <c r="PWM94" s="83"/>
      <c r="PXB94" s="53" t="s">
        <v>569</v>
      </c>
      <c r="PXC94" s="83"/>
      <c r="PXR94" s="53" t="s">
        <v>569</v>
      </c>
      <c r="PXS94" s="83"/>
      <c r="PYH94" s="53" t="s">
        <v>569</v>
      </c>
      <c r="PYI94" s="83"/>
      <c r="PYX94" s="53" t="s">
        <v>569</v>
      </c>
      <c r="PYY94" s="83"/>
      <c r="PZN94" s="53" t="s">
        <v>569</v>
      </c>
      <c r="PZO94" s="83"/>
      <c r="QAD94" s="53" t="s">
        <v>569</v>
      </c>
      <c r="QAE94" s="83"/>
      <c r="QAT94" s="53" t="s">
        <v>569</v>
      </c>
      <c r="QAU94" s="83"/>
      <c r="QBJ94" s="53" t="s">
        <v>569</v>
      </c>
      <c r="QBK94" s="83"/>
      <c r="QBZ94" s="53" t="s">
        <v>569</v>
      </c>
      <c r="QCA94" s="83"/>
      <c r="QCP94" s="53" t="s">
        <v>569</v>
      </c>
      <c r="QCQ94" s="83"/>
      <c r="QDF94" s="53" t="s">
        <v>569</v>
      </c>
      <c r="QDG94" s="83"/>
      <c r="QDV94" s="53" t="s">
        <v>569</v>
      </c>
      <c r="QDW94" s="83"/>
      <c r="QEL94" s="53" t="s">
        <v>569</v>
      </c>
      <c r="QEM94" s="83"/>
      <c r="QFB94" s="53" t="s">
        <v>569</v>
      </c>
      <c r="QFC94" s="83"/>
      <c r="QFR94" s="53" t="s">
        <v>569</v>
      </c>
      <c r="QFS94" s="83"/>
      <c r="QGH94" s="53" t="s">
        <v>569</v>
      </c>
      <c r="QGI94" s="83"/>
      <c r="QGX94" s="53" t="s">
        <v>569</v>
      </c>
      <c r="QGY94" s="83"/>
      <c r="QHN94" s="53" t="s">
        <v>569</v>
      </c>
      <c r="QHO94" s="83"/>
      <c r="QID94" s="53" t="s">
        <v>569</v>
      </c>
      <c r="QIE94" s="83"/>
      <c r="QIT94" s="53" t="s">
        <v>569</v>
      </c>
      <c r="QIU94" s="83"/>
      <c r="QJJ94" s="53" t="s">
        <v>569</v>
      </c>
      <c r="QJK94" s="83"/>
      <c r="QJZ94" s="53" t="s">
        <v>569</v>
      </c>
      <c r="QKA94" s="83"/>
      <c r="QKP94" s="53" t="s">
        <v>569</v>
      </c>
      <c r="QKQ94" s="83"/>
      <c r="QLF94" s="53" t="s">
        <v>569</v>
      </c>
      <c r="QLG94" s="83"/>
      <c r="QLV94" s="53" t="s">
        <v>569</v>
      </c>
      <c r="QLW94" s="83"/>
      <c r="QML94" s="53" t="s">
        <v>569</v>
      </c>
      <c r="QMM94" s="83"/>
      <c r="QNB94" s="53" t="s">
        <v>569</v>
      </c>
      <c r="QNC94" s="83"/>
      <c r="QNR94" s="53" t="s">
        <v>569</v>
      </c>
      <c r="QNS94" s="83"/>
      <c r="QOH94" s="53" t="s">
        <v>569</v>
      </c>
      <c r="QOI94" s="83"/>
      <c r="QOX94" s="53" t="s">
        <v>569</v>
      </c>
      <c r="QOY94" s="83"/>
      <c r="QPN94" s="53" t="s">
        <v>569</v>
      </c>
      <c r="QPO94" s="83"/>
      <c r="QQD94" s="53" t="s">
        <v>569</v>
      </c>
      <c r="QQE94" s="83"/>
      <c r="QQT94" s="53" t="s">
        <v>569</v>
      </c>
      <c r="QQU94" s="83"/>
      <c r="QRJ94" s="53" t="s">
        <v>569</v>
      </c>
      <c r="QRK94" s="83"/>
      <c r="QRZ94" s="53" t="s">
        <v>569</v>
      </c>
      <c r="QSA94" s="83"/>
      <c r="QSP94" s="53" t="s">
        <v>569</v>
      </c>
      <c r="QSQ94" s="83"/>
      <c r="QTF94" s="53" t="s">
        <v>569</v>
      </c>
      <c r="QTG94" s="83"/>
      <c r="QTV94" s="53" t="s">
        <v>569</v>
      </c>
      <c r="QTW94" s="83"/>
      <c r="QUL94" s="53" t="s">
        <v>569</v>
      </c>
      <c r="QUM94" s="83"/>
      <c r="QVB94" s="53" t="s">
        <v>569</v>
      </c>
      <c r="QVC94" s="83"/>
      <c r="QVR94" s="53" t="s">
        <v>569</v>
      </c>
      <c r="QVS94" s="83"/>
      <c r="QWH94" s="53" t="s">
        <v>569</v>
      </c>
      <c r="QWI94" s="83"/>
      <c r="QWX94" s="53" t="s">
        <v>569</v>
      </c>
      <c r="QWY94" s="83"/>
      <c r="QXN94" s="53" t="s">
        <v>569</v>
      </c>
      <c r="QXO94" s="83"/>
      <c r="QYD94" s="53" t="s">
        <v>569</v>
      </c>
      <c r="QYE94" s="83"/>
      <c r="QYT94" s="53" t="s">
        <v>569</v>
      </c>
      <c r="QYU94" s="83"/>
      <c r="QZJ94" s="53" t="s">
        <v>569</v>
      </c>
      <c r="QZK94" s="83"/>
      <c r="QZZ94" s="53" t="s">
        <v>569</v>
      </c>
      <c r="RAA94" s="83"/>
      <c r="RAP94" s="53" t="s">
        <v>569</v>
      </c>
      <c r="RAQ94" s="83"/>
      <c r="RBF94" s="53" t="s">
        <v>569</v>
      </c>
      <c r="RBG94" s="83"/>
      <c r="RBV94" s="53" t="s">
        <v>569</v>
      </c>
      <c r="RBW94" s="83"/>
      <c r="RCL94" s="53" t="s">
        <v>569</v>
      </c>
      <c r="RCM94" s="83"/>
      <c r="RDB94" s="53" t="s">
        <v>569</v>
      </c>
      <c r="RDC94" s="83"/>
      <c r="RDR94" s="53" t="s">
        <v>569</v>
      </c>
      <c r="RDS94" s="83"/>
      <c r="REH94" s="53" t="s">
        <v>569</v>
      </c>
      <c r="REI94" s="83"/>
      <c r="REX94" s="53" t="s">
        <v>569</v>
      </c>
      <c r="REY94" s="83"/>
      <c r="RFN94" s="53" t="s">
        <v>569</v>
      </c>
      <c r="RFO94" s="83"/>
      <c r="RGD94" s="53" t="s">
        <v>569</v>
      </c>
      <c r="RGE94" s="83"/>
      <c r="RGT94" s="53" t="s">
        <v>569</v>
      </c>
      <c r="RGU94" s="83"/>
      <c r="RHJ94" s="53" t="s">
        <v>569</v>
      </c>
      <c r="RHK94" s="83"/>
      <c r="RHZ94" s="53" t="s">
        <v>569</v>
      </c>
      <c r="RIA94" s="83"/>
      <c r="RIP94" s="53" t="s">
        <v>569</v>
      </c>
      <c r="RIQ94" s="83"/>
      <c r="RJF94" s="53" t="s">
        <v>569</v>
      </c>
      <c r="RJG94" s="83"/>
      <c r="RJV94" s="53" t="s">
        <v>569</v>
      </c>
      <c r="RJW94" s="83"/>
      <c r="RKL94" s="53" t="s">
        <v>569</v>
      </c>
      <c r="RKM94" s="83"/>
      <c r="RLB94" s="53" t="s">
        <v>569</v>
      </c>
      <c r="RLC94" s="83"/>
      <c r="RLR94" s="53" t="s">
        <v>569</v>
      </c>
      <c r="RLS94" s="83"/>
      <c r="RMH94" s="53" t="s">
        <v>569</v>
      </c>
      <c r="RMI94" s="83"/>
      <c r="RMX94" s="53" t="s">
        <v>569</v>
      </c>
      <c r="RMY94" s="83"/>
      <c r="RNN94" s="53" t="s">
        <v>569</v>
      </c>
      <c r="RNO94" s="83"/>
      <c r="ROD94" s="53" t="s">
        <v>569</v>
      </c>
      <c r="ROE94" s="83"/>
      <c r="ROT94" s="53" t="s">
        <v>569</v>
      </c>
      <c r="ROU94" s="83"/>
      <c r="RPJ94" s="53" t="s">
        <v>569</v>
      </c>
      <c r="RPK94" s="83"/>
      <c r="RPZ94" s="53" t="s">
        <v>569</v>
      </c>
      <c r="RQA94" s="83"/>
      <c r="RQP94" s="53" t="s">
        <v>569</v>
      </c>
      <c r="RQQ94" s="83"/>
      <c r="RRF94" s="53" t="s">
        <v>569</v>
      </c>
      <c r="RRG94" s="83"/>
      <c r="RRV94" s="53" t="s">
        <v>569</v>
      </c>
      <c r="RRW94" s="83"/>
      <c r="RSL94" s="53" t="s">
        <v>569</v>
      </c>
      <c r="RSM94" s="83"/>
      <c r="RTB94" s="53" t="s">
        <v>569</v>
      </c>
      <c r="RTC94" s="83"/>
      <c r="RTR94" s="53" t="s">
        <v>569</v>
      </c>
      <c r="RTS94" s="83"/>
      <c r="RUH94" s="53" t="s">
        <v>569</v>
      </c>
      <c r="RUI94" s="83"/>
      <c r="RUX94" s="53" t="s">
        <v>569</v>
      </c>
      <c r="RUY94" s="83"/>
      <c r="RVN94" s="53" t="s">
        <v>569</v>
      </c>
      <c r="RVO94" s="83"/>
      <c r="RWD94" s="53" t="s">
        <v>569</v>
      </c>
      <c r="RWE94" s="83"/>
      <c r="RWT94" s="53" t="s">
        <v>569</v>
      </c>
      <c r="RWU94" s="83"/>
      <c r="RXJ94" s="53" t="s">
        <v>569</v>
      </c>
      <c r="RXK94" s="83"/>
      <c r="RXZ94" s="53" t="s">
        <v>569</v>
      </c>
      <c r="RYA94" s="83"/>
      <c r="RYP94" s="53" t="s">
        <v>569</v>
      </c>
      <c r="RYQ94" s="83"/>
      <c r="RZF94" s="53" t="s">
        <v>569</v>
      </c>
      <c r="RZG94" s="83"/>
      <c r="RZV94" s="53" t="s">
        <v>569</v>
      </c>
      <c r="RZW94" s="83"/>
      <c r="SAL94" s="53" t="s">
        <v>569</v>
      </c>
      <c r="SAM94" s="83"/>
      <c r="SBB94" s="53" t="s">
        <v>569</v>
      </c>
      <c r="SBC94" s="83"/>
      <c r="SBR94" s="53" t="s">
        <v>569</v>
      </c>
      <c r="SBS94" s="83"/>
      <c r="SCH94" s="53" t="s">
        <v>569</v>
      </c>
      <c r="SCI94" s="83"/>
      <c r="SCX94" s="53" t="s">
        <v>569</v>
      </c>
      <c r="SCY94" s="83"/>
      <c r="SDN94" s="53" t="s">
        <v>569</v>
      </c>
      <c r="SDO94" s="83"/>
      <c r="SED94" s="53" t="s">
        <v>569</v>
      </c>
      <c r="SEE94" s="83"/>
      <c r="SET94" s="53" t="s">
        <v>569</v>
      </c>
      <c r="SEU94" s="83"/>
      <c r="SFJ94" s="53" t="s">
        <v>569</v>
      </c>
      <c r="SFK94" s="83"/>
      <c r="SFZ94" s="53" t="s">
        <v>569</v>
      </c>
      <c r="SGA94" s="83"/>
      <c r="SGP94" s="53" t="s">
        <v>569</v>
      </c>
      <c r="SGQ94" s="83"/>
      <c r="SHF94" s="53" t="s">
        <v>569</v>
      </c>
      <c r="SHG94" s="83"/>
      <c r="SHV94" s="53" t="s">
        <v>569</v>
      </c>
      <c r="SHW94" s="83"/>
      <c r="SIL94" s="53" t="s">
        <v>569</v>
      </c>
      <c r="SIM94" s="83"/>
      <c r="SJB94" s="53" t="s">
        <v>569</v>
      </c>
      <c r="SJC94" s="83"/>
      <c r="SJR94" s="53" t="s">
        <v>569</v>
      </c>
      <c r="SJS94" s="83"/>
      <c r="SKH94" s="53" t="s">
        <v>569</v>
      </c>
      <c r="SKI94" s="83"/>
      <c r="SKX94" s="53" t="s">
        <v>569</v>
      </c>
      <c r="SKY94" s="83"/>
      <c r="SLN94" s="53" t="s">
        <v>569</v>
      </c>
      <c r="SLO94" s="83"/>
      <c r="SMD94" s="53" t="s">
        <v>569</v>
      </c>
      <c r="SME94" s="83"/>
      <c r="SMT94" s="53" t="s">
        <v>569</v>
      </c>
      <c r="SMU94" s="83"/>
      <c r="SNJ94" s="53" t="s">
        <v>569</v>
      </c>
      <c r="SNK94" s="83"/>
      <c r="SNZ94" s="53" t="s">
        <v>569</v>
      </c>
      <c r="SOA94" s="83"/>
      <c r="SOP94" s="53" t="s">
        <v>569</v>
      </c>
      <c r="SOQ94" s="83"/>
      <c r="SPF94" s="53" t="s">
        <v>569</v>
      </c>
      <c r="SPG94" s="83"/>
      <c r="SPV94" s="53" t="s">
        <v>569</v>
      </c>
      <c r="SPW94" s="83"/>
      <c r="SQL94" s="53" t="s">
        <v>569</v>
      </c>
      <c r="SQM94" s="83"/>
      <c r="SRB94" s="53" t="s">
        <v>569</v>
      </c>
      <c r="SRC94" s="83"/>
      <c r="SRR94" s="53" t="s">
        <v>569</v>
      </c>
      <c r="SRS94" s="83"/>
      <c r="SSH94" s="53" t="s">
        <v>569</v>
      </c>
      <c r="SSI94" s="83"/>
      <c r="SSX94" s="53" t="s">
        <v>569</v>
      </c>
      <c r="SSY94" s="83"/>
      <c r="STN94" s="53" t="s">
        <v>569</v>
      </c>
      <c r="STO94" s="83"/>
      <c r="SUD94" s="53" t="s">
        <v>569</v>
      </c>
      <c r="SUE94" s="83"/>
      <c r="SUT94" s="53" t="s">
        <v>569</v>
      </c>
      <c r="SUU94" s="83"/>
      <c r="SVJ94" s="53" t="s">
        <v>569</v>
      </c>
      <c r="SVK94" s="83"/>
      <c r="SVZ94" s="53" t="s">
        <v>569</v>
      </c>
      <c r="SWA94" s="83"/>
      <c r="SWP94" s="53" t="s">
        <v>569</v>
      </c>
      <c r="SWQ94" s="83"/>
      <c r="SXF94" s="53" t="s">
        <v>569</v>
      </c>
      <c r="SXG94" s="83"/>
      <c r="SXV94" s="53" t="s">
        <v>569</v>
      </c>
      <c r="SXW94" s="83"/>
      <c r="SYL94" s="53" t="s">
        <v>569</v>
      </c>
      <c r="SYM94" s="83"/>
      <c r="SZB94" s="53" t="s">
        <v>569</v>
      </c>
      <c r="SZC94" s="83"/>
      <c r="SZR94" s="53" t="s">
        <v>569</v>
      </c>
      <c r="SZS94" s="83"/>
      <c r="TAH94" s="53" t="s">
        <v>569</v>
      </c>
      <c r="TAI94" s="83"/>
      <c r="TAX94" s="53" t="s">
        <v>569</v>
      </c>
      <c r="TAY94" s="83"/>
      <c r="TBN94" s="53" t="s">
        <v>569</v>
      </c>
      <c r="TBO94" s="83"/>
      <c r="TCD94" s="53" t="s">
        <v>569</v>
      </c>
      <c r="TCE94" s="83"/>
      <c r="TCT94" s="53" t="s">
        <v>569</v>
      </c>
      <c r="TCU94" s="83"/>
      <c r="TDJ94" s="53" t="s">
        <v>569</v>
      </c>
      <c r="TDK94" s="83"/>
      <c r="TDZ94" s="53" t="s">
        <v>569</v>
      </c>
      <c r="TEA94" s="83"/>
      <c r="TEP94" s="53" t="s">
        <v>569</v>
      </c>
      <c r="TEQ94" s="83"/>
      <c r="TFF94" s="53" t="s">
        <v>569</v>
      </c>
      <c r="TFG94" s="83"/>
      <c r="TFV94" s="53" t="s">
        <v>569</v>
      </c>
      <c r="TFW94" s="83"/>
      <c r="TGL94" s="53" t="s">
        <v>569</v>
      </c>
      <c r="TGM94" s="83"/>
      <c r="THB94" s="53" t="s">
        <v>569</v>
      </c>
      <c r="THC94" s="83"/>
      <c r="THR94" s="53" t="s">
        <v>569</v>
      </c>
      <c r="THS94" s="83"/>
      <c r="TIH94" s="53" t="s">
        <v>569</v>
      </c>
      <c r="TII94" s="83"/>
      <c r="TIX94" s="53" t="s">
        <v>569</v>
      </c>
      <c r="TIY94" s="83"/>
      <c r="TJN94" s="53" t="s">
        <v>569</v>
      </c>
      <c r="TJO94" s="83"/>
      <c r="TKD94" s="53" t="s">
        <v>569</v>
      </c>
      <c r="TKE94" s="83"/>
      <c r="TKT94" s="53" t="s">
        <v>569</v>
      </c>
      <c r="TKU94" s="83"/>
      <c r="TLJ94" s="53" t="s">
        <v>569</v>
      </c>
      <c r="TLK94" s="83"/>
      <c r="TLZ94" s="53" t="s">
        <v>569</v>
      </c>
      <c r="TMA94" s="83"/>
      <c r="TMP94" s="53" t="s">
        <v>569</v>
      </c>
      <c r="TMQ94" s="83"/>
      <c r="TNF94" s="53" t="s">
        <v>569</v>
      </c>
      <c r="TNG94" s="83"/>
      <c r="TNV94" s="53" t="s">
        <v>569</v>
      </c>
      <c r="TNW94" s="83"/>
      <c r="TOL94" s="53" t="s">
        <v>569</v>
      </c>
      <c r="TOM94" s="83"/>
      <c r="TPB94" s="53" t="s">
        <v>569</v>
      </c>
      <c r="TPC94" s="83"/>
      <c r="TPR94" s="53" t="s">
        <v>569</v>
      </c>
      <c r="TPS94" s="83"/>
      <c r="TQH94" s="53" t="s">
        <v>569</v>
      </c>
      <c r="TQI94" s="83"/>
      <c r="TQX94" s="53" t="s">
        <v>569</v>
      </c>
      <c r="TQY94" s="83"/>
      <c r="TRN94" s="53" t="s">
        <v>569</v>
      </c>
      <c r="TRO94" s="83"/>
      <c r="TSD94" s="53" t="s">
        <v>569</v>
      </c>
      <c r="TSE94" s="83"/>
      <c r="TST94" s="53" t="s">
        <v>569</v>
      </c>
      <c r="TSU94" s="83"/>
      <c r="TTJ94" s="53" t="s">
        <v>569</v>
      </c>
      <c r="TTK94" s="83"/>
      <c r="TTZ94" s="53" t="s">
        <v>569</v>
      </c>
      <c r="TUA94" s="83"/>
      <c r="TUP94" s="53" t="s">
        <v>569</v>
      </c>
      <c r="TUQ94" s="83"/>
      <c r="TVF94" s="53" t="s">
        <v>569</v>
      </c>
      <c r="TVG94" s="83"/>
      <c r="TVV94" s="53" t="s">
        <v>569</v>
      </c>
      <c r="TVW94" s="83"/>
      <c r="TWL94" s="53" t="s">
        <v>569</v>
      </c>
      <c r="TWM94" s="83"/>
      <c r="TXB94" s="53" t="s">
        <v>569</v>
      </c>
      <c r="TXC94" s="83"/>
      <c r="TXR94" s="53" t="s">
        <v>569</v>
      </c>
      <c r="TXS94" s="83"/>
      <c r="TYH94" s="53" t="s">
        <v>569</v>
      </c>
      <c r="TYI94" s="83"/>
      <c r="TYX94" s="53" t="s">
        <v>569</v>
      </c>
      <c r="TYY94" s="83"/>
      <c r="TZN94" s="53" t="s">
        <v>569</v>
      </c>
      <c r="TZO94" s="83"/>
      <c r="UAD94" s="53" t="s">
        <v>569</v>
      </c>
      <c r="UAE94" s="83"/>
      <c r="UAT94" s="53" t="s">
        <v>569</v>
      </c>
      <c r="UAU94" s="83"/>
      <c r="UBJ94" s="53" t="s">
        <v>569</v>
      </c>
      <c r="UBK94" s="83"/>
      <c r="UBZ94" s="53" t="s">
        <v>569</v>
      </c>
      <c r="UCA94" s="83"/>
      <c r="UCP94" s="53" t="s">
        <v>569</v>
      </c>
      <c r="UCQ94" s="83"/>
      <c r="UDF94" s="53" t="s">
        <v>569</v>
      </c>
      <c r="UDG94" s="83"/>
      <c r="UDV94" s="53" t="s">
        <v>569</v>
      </c>
      <c r="UDW94" s="83"/>
      <c r="UEL94" s="53" t="s">
        <v>569</v>
      </c>
      <c r="UEM94" s="83"/>
      <c r="UFB94" s="53" t="s">
        <v>569</v>
      </c>
      <c r="UFC94" s="83"/>
      <c r="UFR94" s="53" t="s">
        <v>569</v>
      </c>
      <c r="UFS94" s="83"/>
      <c r="UGH94" s="53" t="s">
        <v>569</v>
      </c>
      <c r="UGI94" s="83"/>
      <c r="UGX94" s="53" t="s">
        <v>569</v>
      </c>
      <c r="UGY94" s="83"/>
      <c r="UHN94" s="53" t="s">
        <v>569</v>
      </c>
      <c r="UHO94" s="83"/>
      <c r="UID94" s="53" t="s">
        <v>569</v>
      </c>
      <c r="UIE94" s="83"/>
      <c r="UIT94" s="53" t="s">
        <v>569</v>
      </c>
      <c r="UIU94" s="83"/>
      <c r="UJJ94" s="53" t="s">
        <v>569</v>
      </c>
      <c r="UJK94" s="83"/>
      <c r="UJZ94" s="53" t="s">
        <v>569</v>
      </c>
      <c r="UKA94" s="83"/>
      <c r="UKP94" s="53" t="s">
        <v>569</v>
      </c>
      <c r="UKQ94" s="83"/>
      <c r="ULF94" s="53" t="s">
        <v>569</v>
      </c>
      <c r="ULG94" s="83"/>
      <c r="ULV94" s="53" t="s">
        <v>569</v>
      </c>
      <c r="ULW94" s="83"/>
      <c r="UML94" s="53" t="s">
        <v>569</v>
      </c>
      <c r="UMM94" s="83"/>
      <c r="UNB94" s="53" t="s">
        <v>569</v>
      </c>
      <c r="UNC94" s="83"/>
      <c r="UNR94" s="53" t="s">
        <v>569</v>
      </c>
      <c r="UNS94" s="83"/>
      <c r="UOH94" s="53" t="s">
        <v>569</v>
      </c>
      <c r="UOI94" s="83"/>
      <c r="UOX94" s="53" t="s">
        <v>569</v>
      </c>
      <c r="UOY94" s="83"/>
      <c r="UPN94" s="53" t="s">
        <v>569</v>
      </c>
      <c r="UPO94" s="83"/>
      <c r="UQD94" s="53" t="s">
        <v>569</v>
      </c>
      <c r="UQE94" s="83"/>
      <c r="UQT94" s="53" t="s">
        <v>569</v>
      </c>
      <c r="UQU94" s="83"/>
      <c r="URJ94" s="53" t="s">
        <v>569</v>
      </c>
      <c r="URK94" s="83"/>
      <c r="URZ94" s="53" t="s">
        <v>569</v>
      </c>
      <c r="USA94" s="83"/>
      <c r="USP94" s="53" t="s">
        <v>569</v>
      </c>
      <c r="USQ94" s="83"/>
      <c r="UTF94" s="53" t="s">
        <v>569</v>
      </c>
      <c r="UTG94" s="83"/>
      <c r="UTV94" s="53" t="s">
        <v>569</v>
      </c>
      <c r="UTW94" s="83"/>
      <c r="UUL94" s="53" t="s">
        <v>569</v>
      </c>
      <c r="UUM94" s="83"/>
      <c r="UVB94" s="53" t="s">
        <v>569</v>
      </c>
      <c r="UVC94" s="83"/>
      <c r="UVR94" s="53" t="s">
        <v>569</v>
      </c>
      <c r="UVS94" s="83"/>
      <c r="UWH94" s="53" t="s">
        <v>569</v>
      </c>
      <c r="UWI94" s="83"/>
      <c r="UWX94" s="53" t="s">
        <v>569</v>
      </c>
      <c r="UWY94" s="83"/>
      <c r="UXN94" s="53" t="s">
        <v>569</v>
      </c>
      <c r="UXO94" s="83"/>
      <c r="UYD94" s="53" t="s">
        <v>569</v>
      </c>
      <c r="UYE94" s="83"/>
      <c r="UYT94" s="53" t="s">
        <v>569</v>
      </c>
      <c r="UYU94" s="83"/>
      <c r="UZJ94" s="53" t="s">
        <v>569</v>
      </c>
      <c r="UZK94" s="83"/>
      <c r="UZZ94" s="53" t="s">
        <v>569</v>
      </c>
      <c r="VAA94" s="83"/>
      <c r="VAP94" s="53" t="s">
        <v>569</v>
      </c>
      <c r="VAQ94" s="83"/>
      <c r="VBF94" s="53" t="s">
        <v>569</v>
      </c>
      <c r="VBG94" s="83"/>
      <c r="VBV94" s="53" t="s">
        <v>569</v>
      </c>
      <c r="VBW94" s="83"/>
      <c r="VCL94" s="53" t="s">
        <v>569</v>
      </c>
      <c r="VCM94" s="83"/>
      <c r="VDB94" s="53" t="s">
        <v>569</v>
      </c>
      <c r="VDC94" s="83"/>
      <c r="VDR94" s="53" t="s">
        <v>569</v>
      </c>
      <c r="VDS94" s="83"/>
      <c r="VEH94" s="53" t="s">
        <v>569</v>
      </c>
      <c r="VEI94" s="83"/>
      <c r="VEX94" s="53" t="s">
        <v>569</v>
      </c>
      <c r="VEY94" s="83"/>
      <c r="VFN94" s="53" t="s">
        <v>569</v>
      </c>
      <c r="VFO94" s="83"/>
      <c r="VGD94" s="53" t="s">
        <v>569</v>
      </c>
      <c r="VGE94" s="83"/>
      <c r="VGT94" s="53" t="s">
        <v>569</v>
      </c>
      <c r="VGU94" s="83"/>
      <c r="VHJ94" s="53" t="s">
        <v>569</v>
      </c>
      <c r="VHK94" s="83"/>
      <c r="VHZ94" s="53" t="s">
        <v>569</v>
      </c>
      <c r="VIA94" s="83"/>
      <c r="VIP94" s="53" t="s">
        <v>569</v>
      </c>
      <c r="VIQ94" s="83"/>
      <c r="VJF94" s="53" t="s">
        <v>569</v>
      </c>
      <c r="VJG94" s="83"/>
      <c r="VJV94" s="53" t="s">
        <v>569</v>
      </c>
      <c r="VJW94" s="83"/>
      <c r="VKL94" s="53" t="s">
        <v>569</v>
      </c>
      <c r="VKM94" s="83"/>
      <c r="VLB94" s="53" t="s">
        <v>569</v>
      </c>
      <c r="VLC94" s="83"/>
      <c r="VLR94" s="53" t="s">
        <v>569</v>
      </c>
      <c r="VLS94" s="83"/>
      <c r="VMH94" s="53" t="s">
        <v>569</v>
      </c>
      <c r="VMI94" s="83"/>
      <c r="VMX94" s="53" t="s">
        <v>569</v>
      </c>
      <c r="VMY94" s="83"/>
      <c r="VNN94" s="53" t="s">
        <v>569</v>
      </c>
      <c r="VNO94" s="83"/>
      <c r="VOD94" s="53" t="s">
        <v>569</v>
      </c>
      <c r="VOE94" s="83"/>
      <c r="VOT94" s="53" t="s">
        <v>569</v>
      </c>
      <c r="VOU94" s="83"/>
      <c r="VPJ94" s="53" t="s">
        <v>569</v>
      </c>
      <c r="VPK94" s="83"/>
      <c r="VPZ94" s="53" t="s">
        <v>569</v>
      </c>
      <c r="VQA94" s="83"/>
      <c r="VQP94" s="53" t="s">
        <v>569</v>
      </c>
      <c r="VQQ94" s="83"/>
      <c r="VRF94" s="53" t="s">
        <v>569</v>
      </c>
      <c r="VRG94" s="83"/>
      <c r="VRV94" s="53" t="s">
        <v>569</v>
      </c>
      <c r="VRW94" s="83"/>
      <c r="VSL94" s="53" t="s">
        <v>569</v>
      </c>
      <c r="VSM94" s="83"/>
      <c r="VTB94" s="53" t="s">
        <v>569</v>
      </c>
      <c r="VTC94" s="83"/>
      <c r="VTR94" s="53" t="s">
        <v>569</v>
      </c>
      <c r="VTS94" s="83"/>
      <c r="VUH94" s="53" t="s">
        <v>569</v>
      </c>
      <c r="VUI94" s="83"/>
      <c r="VUX94" s="53" t="s">
        <v>569</v>
      </c>
      <c r="VUY94" s="83"/>
      <c r="VVN94" s="53" t="s">
        <v>569</v>
      </c>
      <c r="VVO94" s="83"/>
      <c r="VWD94" s="53" t="s">
        <v>569</v>
      </c>
      <c r="VWE94" s="83"/>
      <c r="VWT94" s="53" t="s">
        <v>569</v>
      </c>
      <c r="VWU94" s="83"/>
      <c r="VXJ94" s="53" t="s">
        <v>569</v>
      </c>
      <c r="VXK94" s="83"/>
      <c r="VXZ94" s="53" t="s">
        <v>569</v>
      </c>
      <c r="VYA94" s="83"/>
      <c r="VYP94" s="53" t="s">
        <v>569</v>
      </c>
      <c r="VYQ94" s="83"/>
      <c r="VZF94" s="53" t="s">
        <v>569</v>
      </c>
      <c r="VZG94" s="83"/>
      <c r="VZV94" s="53" t="s">
        <v>569</v>
      </c>
      <c r="VZW94" s="83"/>
      <c r="WAL94" s="53" t="s">
        <v>569</v>
      </c>
      <c r="WAM94" s="83"/>
      <c r="WBB94" s="53" t="s">
        <v>569</v>
      </c>
      <c r="WBC94" s="83"/>
      <c r="WBR94" s="53" t="s">
        <v>569</v>
      </c>
      <c r="WBS94" s="83"/>
      <c r="WCH94" s="53" t="s">
        <v>569</v>
      </c>
      <c r="WCI94" s="83"/>
      <c r="WCX94" s="53" t="s">
        <v>569</v>
      </c>
      <c r="WCY94" s="83"/>
      <c r="WDN94" s="53" t="s">
        <v>569</v>
      </c>
      <c r="WDO94" s="83"/>
      <c r="WED94" s="53" t="s">
        <v>569</v>
      </c>
      <c r="WEE94" s="83"/>
      <c r="WET94" s="53" t="s">
        <v>569</v>
      </c>
      <c r="WEU94" s="83"/>
      <c r="WFJ94" s="53" t="s">
        <v>569</v>
      </c>
      <c r="WFK94" s="83"/>
      <c r="WFZ94" s="53" t="s">
        <v>569</v>
      </c>
      <c r="WGA94" s="83"/>
      <c r="WGP94" s="53" t="s">
        <v>569</v>
      </c>
      <c r="WGQ94" s="83"/>
      <c r="WHF94" s="53" t="s">
        <v>569</v>
      </c>
      <c r="WHG94" s="83"/>
      <c r="WHV94" s="53" t="s">
        <v>569</v>
      </c>
      <c r="WHW94" s="83"/>
      <c r="WIL94" s="53" t="s">
        <v>569</v>
      </c>
      <c r="WIM94" s="83"/>
      <c r="WJB94" s="53" t="s">
        <v>569</v>
      </c>
      <c r="WJC94" s="83"/>
      <c r="WJR94" s="53" t="s">
        <v>569</v>
      </c>
      <c r="WJS94" s="83"/>
      <c r="WKH94" s="53" t="s">
        <v>569</v>
      </c>
      <c r="WKI94" s="83"/>
      <c r="WKX94" s="53" t="s">
        <v>569</v>
      </c>
      <c r="WKY94" s="83"/>
      <c r="WLN94" s="53" t="s">
        <v>569</v>
      </c>
      <c r="WLO94" s="83"/>
      <c r="WMD94" s="53" t="s">
        <v>569</v>
      </c>
      <c r="WME94" s="83"/>
      <c r="WMT94" s="53" t="s">
        <v>569</v>
      </c>
      <c r="WMU94" s="83"/>
      <c r="WNJ94" s="53" t="s">
        <v>569</v>
      </c>
      <c r="WNK94" s="83"/>
      <c r="WNZ94" s="53" t="s">
        <v>569</v>
      </c>
      <c r="WOA94" s="83"/>
      <c r="WOP94" s="53" t="s">
        <v>569</v>
      </c>
      <c r="WOQ94" s="83"/>
      <c r="WPF94" s="53" t="s">
        <v>569</v>
      </c>
      <c r="WPG94" s="83"/>
      <c r="WPV94" s="53" t="s">
        <v>569</v>
      </c>
      <c r="WPW94" s="83"/>
      <c r="WQL94" s="53" t="s">
        <v>569</v>
      </c>
      <c r="WQM94" s="83"/>
      <c r="WRB94" s="53" t="s">
        <v>569</v>
      </c>
      <c r="WRC94" s="83"/>
      <c r="WRR94" s="53" t="s">
        <v>569</v>
      </c>
      <c r="WRS94" s="83"/>
      <c r="WSH94" s="53" t="s">
        <v>569</v>
      </c>
      <c r="WSI94" s="83"/>
      <c r="WSX94" s="53" t="s">
        <v>569</v>
      </c>
      <c r="WSY94" s="83"/>
      <c r="WTN94" s="53" t="s">
        <v>569</v>
      </c>
      <c r="WTO94" s="83"/>
      <c r="WUD94" s="53" t="s">
        <v>569</v>
      </c>
      <c r="WUE94" s="83"/>
      <c r="WUT94" s="53" t="s">
        <v>569</v>
      </c>
      <c r="WUU94" s="83"/>
      <c r="WVJ94" s="53" t="s">
        <v>569</v>
      </c>
      <c r="WVK94" s="83"/>
      <c r="WVZ94" s="53" t="s">
        <v>569</v>
      </c>
      <c r="WWA94" s="83"/>
      <c r="WWP94" s="53" t="s">
        <v>569</v>
      </c>
      <c r="WWQ94" s="83"/>
      <c r="WXF94" s="53" t="s">
        <v>569</v>
      </c>
      <c r="WXG94" s="83"/>
      <c r="WXV94" s="53" t="s">
        <v>569</v>
      </c>
      <c r="WXW94" s="83"/>
      <c r="WYL94" s="53" t="s">
        <v>569</v>
      </c>
      <c r="WYM94" s="83"/>
      <c r="WZB94" s="53" t="s">
        <v>569</v>
      </c>
      <c r="WZC94" s="83"/>
      <c r="WZR94" s="53" t="s">
        <v>569</v>
      </c>
      <c r="WZS94" s="83"/>
      <c r="XAH94" s="53" t="s">
        <v>569</v>
      </c>
      <c r="XAI94" s="83"/>
      <c r="XAX94" s="53" t="s">
        <v>569</v>
      </c>
      <c r="XAY94" s="83"/>
      <c r="XBN94" s="53" t="s">
        <v>569</v>
      </c>
      <c r="XBO94" s="83"/>
      <c r="XCD94" s="53" t="s">
        <v>569</v>
      </c>
      <c r="XCE94" s="83"/>
      <c r="XCT94" s="53" t="s">
        <v>569</v>
      </c>
      <c r="XCU94" s="83"/>
      <c r="XDJ94" s="53" t="s">
        <v>569</v>
      </c>
      <c r="XDK94" s="83"/>
      <c r="XDZ94" s="53" t="s">
        <v>569</v>
      </c>
      <c r="XEA94" s="83"/>
      <c r="XEP94" s="53" t="s">
        <v>569</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4" t="str">
        <f>'Cover Service Sheet'!C183</f>
        <v xml:space="preserve">
</v>
      </c>
      <c r="C99" s="524"/>
      <c r="D99" s="524"/>
      <c r="E99" s="524"/>
      <c r="F99" s="524"/>
      <c r="G99" s="524"/>
      <c r="H99" s="524"/>
      <c r="I99" s="524"/>
      <c r="J99" s="524"/>
      <c r="K99" s="524"/>
      <c r="L99" s="524"/>
      <c r="M99" s="524"/>
      <c r="N99" s="524"/>
      <c r="O99" s="524"/>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4">
        <f>'Cover Service Sheet'!C187</f>
        <v>0</v>
      </c>
      <c r="C103" s="524"/>
      <c r="D103" s="524"/>
      <c r="E103" s="524"/>
      <c r="F103" s="524"/>
      <c r="G103" s="524"/>
      <c r="H103" s="524"/>
      <c r="I103" s="524"/>
      <c r="J103" s="524"/>
      <c r="K103" s="524"/>
      <c r="L103" s="524"/>
      <c r="M103" s="524"/>
      <c r="N103" s="524"/>
      <c r="O103" s="524"/>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4">
        <f>'Cover Service Sheet'!C191</f>
        <v>0</v>
      </c>
      <c r="C107" s="524"/>
      <c r="D107" s="524"/>
      <c r="E107" s="524"/>
      <c r="F107" s="524"/>
      <c r="G107" s="524"/>
      <c r="H107" s="524"/>
      <c r="I107" s="524"/>
      <c r="J107" s="524"/>
      <c r="K107" s="524"/>
      <c r="L107" s="524"/>
      <c r="M107" s="524"/>
      <c r="N107" s="524"/>
      <c r="O107" s="524"/>
    </row>
    <row r="108" spans="2:15" ht="44.25" customHeight="1" x14ac:dyDescent="0.4">
      <c r="B108" s="381"/>
      <c r="C108" s="381"/>
      <c r="D108" s="381"/>
      <c r="E108" s="381"/>
      <c r="F108" s="381"/>
      <c r="G108" s="381"/>
      <c r="H108" s="381"/>
      <c r="I108" s="381"/>
      <c r="J108" s="381"/>
    </row>
    <row r="109" spans="2:15" ht="15" hidden="1" x14ac:dyDescent="0.4">
      <c r="B109" s="341" t="s">
        <v>621</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622</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623</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59" priority="6" stopIfTrue="1" operator="equal">
      <formula>"PASS"</formula>
    </cfRule>
    <cfRule type="cellIs" dxfId="58" priority="7" stopIfTrue="1" operator="equal">
      <formula>"FAIL"</formula>
    </cfRule>
  </conditionalFormatting>
  <conditionalFormatting sqref="G40">
    <cfRule type="cellIs" dxfId="57" priority="1" stopIfTrue="1" operator="greaterThanOrEqual">
      <formula>1.19</formula>
    </cfRule>
    <cfRule type="cellIs" dxfId="56" priority="2" stopIfTrue="1" operator="lessThan">
      <formula>1.19</formula>
    </cfRule>
  </conditionalFormatting>
  <conditionalFormatting sqref="K72">
    <cfRule type="cellIs" dxfId="55" priority="11" stopIfTrue="1" operator="equal">
      <formula>"FAIL"</formula>
    </cfRule>
    <cfRule type="cellIs" dxfId="54" priority="12" stopIfTrue="1" operator="equal">
      <formula>"PASS - VERIFIED"</formula>
    </cfRule>
  </conditionalFormatting>
  <conditionalFormatting sqref="L28:L33">
    <cfRule type="cellIs" dxfId="53" priority="3" stopIfTrue="1" operator="between">
      <formula>-0.1</formula>
      <formula>0.1</formula>
    </cfRule>
    <cfRule type="cellIs" dxfId="52" priority="4" stopIfTrue="1" operator="greaterThanOrEqual">
      <formula>0.1</formula>
    </cfRule>
    <cfRule type="cellIs" dxfId="51" priority="5" stopIfTrue="1" operator="lessThan">
      <formula>-0.1</formula>
    </cfRule>
  </conditionalFormatting>
  <conditionalFormatting sqref="O22">
    <cfRule type="cellIs" dxfId="5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624</v>
      </c>
    </row>
    <row r="3" spans="1:12" ht="17.649999999999999" x14ac:dyDescent="0.5">
      <c r="A3" s="62" t="s">
        <v>625</v>
      </c>
    </row>
    <row r="5" spans="1:12" x14ac:dyDescent="0.35">
      <c r="A5" s="63" t="s">
        <v>626</v>
      </c>
      <c r="B5" s="63"/>
      <c r="C5" s="63" t="s">
        <v>627</v>
      </c>
      <c r="D5" s="63"/>
      <c r="E5" s="63" t="s">
        <v>628</v>
      </c>
      <c r="F5" s="63"/>
      <c r="G5" s="63"/>
      <c r="H5" s="63"/>
    </row>
    <row r="6" spans="1:12" ht="25.5" thickBot="1" x14ac:dyDescent="0.75">
      <c r="A6" s="64"/>
      <c r="B6" s="64"/>
      <c r="C6" s="65" t="s">
        <v>629</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630</v>
      </c>
      <c r="C8" s="415"/>
      <c r="D8" s="307" t="s">
        <v>631</v>
      </c>
      <c r="E8" s="415"/>
      <c r="G8" s="415"/>
      <c r="H8" s="415"/>
      <c r="I8" s="415"/>
      <c r="J8" s="415"/>
      <c r="K8" s="415"/>
      <c r="L8" s="415"/>
    </row>
    <row r="9" spans="1:12" x14ac:dyDescent="0.35">
      <c r="B9" s="388"/>
      <c r="C9" s="415"/>
      <c r="D9" s="307" t="s">
        <v>626</v>
      </c>
      <c r="E9" s="415"/>
      <c r="G9" s="415"/>
      <c r="H9" s="415"/>
      <c r="I9" s="415"/>
      <c r="J9" s="415"/>
      <c r="K9" s="415"/>
      <c r="L9" s="415"/>
    </row>
    <row r="10" spans="1:12" x14ac:dyDescent="0.35">
      <c r="B10" s="388"/>
      <c r="C10" s="415"/>
      <c r="D10" s="307" t="s">
        <v>632</v>
      </c>
      <c r="E10" s="415"/>
      <c r="G10" s="415"/>
      <c r="H10" s="415"/>
      <c r="I10" s="415"/>
      <c r="J10" s="415"/>
      <c r="K10" s="415"/>
      <c r="L10" s="415"/>
    </row>
    <row r="11" spans="1:12" x14ac:dyDescent="0.35">
      <c r="B11" s="388"/>
      <c r="C11" s="415"/>
      <c r="D11" s="307" t="s">
        <v>633</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634</v>
      </c>
      <c r="C13" s="415"/>
      <c r="D13" s="164" t="s">
        <v>635</v>
      </c>
      <c r="E13" s="417">
        <f>'Auto-Calibration record'!J17</f>
        <v>0</v>
      </c>
      <c r="F13" s="397" t="e">
        <f>"0"&amp;('Auto-Calibration record'!H15-200000)</f>
        <v>#N/A</v>
      </c>
      <c r="G13" s="415"/>
      <c r="H13" s="415"/>
      <c r="I13" s="415"/>
      <c r="J13" s="415"/>
      <c r="K13" s="415"/>
      <c r="L13" s="415"/>
    </row>
    <row r="14" spans="1:12" x14ac:dyDescent="0.35">
      <c r="B14" s="307" t="s">
        <v>636</v>
      </c>
      <c r="C14" s="415"/>
      <c r="D14" s="561" t="str">
        <f>'Auto-Calibration record'!H14</f>
        <v>CML4W0M003</v>
      </c>
      <c r="E14" s="561"/>
      <c r="F14" s="561"/>
      <c r="G14" s="415"/>
      <c r="H14" s="415"/>
      <c r="I14" s="415"/>
      <c r="J14" s="415"/>
      <c r="K14" s="415"/>
      <c r="L14" s="415"/>
    </row>
    <row r="15" spans="1:12" x14ac:dyDescent="0.35">
      <c r="B15" s="307" t="s">
        <v>30</v>
      </c>
      <c r="C15" s="415"/>
      <c r="D15" s="164" t="s">
        <v>635</v>
      </c>
      <c r="E15" s="418" t="e">
        <f>F13</f>
        <v>#N/A</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2" t="s">
        <v>637</v>
      </c>
      <c r="C17" s="562"/>
      <c r="D17" s="562"/>
      <c r="E17" s="562"/>
      <c r="F17" s="562"/>
      <c r="G17" s="562"/>
      <c r="H17" s="562"/>
      <c r="I17" s="562"/>
      <c r="J17" s="419"/>
      <c r="K17" s="419"/>
      <c r="L17" s="419"/>
    </row>
    <row r="18" spans="1:12" ht="28.5" customHeight="1" x14ac:dyDescent="0.35">
      <c r="B18" s="562" t="s">
        <v>638</v>
      </c>
      <c r="C18" s="562"/>
      <c r="D18" s="562"/>
      <c r="E18" s="562"/>
      <c r="F18" s="562"/>
      <c r="G18" s="562"/>
      <c r="H18" s="562"/>
      <c r="I18" s="562"/>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55" t="s">
        <v>639</v>
      </c>
      <c r="C20" s="555"/>
      <c r="D20" s="555"/>
      <c r="E20" s="555"/>
      <c r="F20" s="555"/>
      <c r="G20" s="555"/>
      <c r="H20" s="555"/>
      <c r="I20" s="555"/>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640</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641</v>
      </c>
      <c r="D25" s="560" t="e">
        <f>'Auto-Calibration record'!H16</f>
        <v>#N/A</v>
      </c>
      <c r="E25" s="560"/>
      <c r="G25" s="307" t="s">
        <v>642</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643</v>
      </c>
    </row>
    <row r="30" spans="1:12" ht="13.9" x14ac:dyDescent="0.35">
      <c r="A30" s="68" t="s">
        <v>644</v>
      </c>
      <c r="C30" s="66"/>
      <c r="D30" s="6"/>
    </row>
    <row r="32" spans="1:12" ht="27.75" x14ac:dyDescent="0.75">
      <c r="A32" s="61" t="s">
        <v>624</v>
      </c>
    </row>
    <row r="33" spans="1:12" ht="17.649999999999999" x14ac:dyDescent="0.5">
      <c r="A33" s="62" t="s">
        <v>625</v>
      </c>
    </row>
    <row r="35" spans="1:12" x14ac:dyDescent="0.35">
      <c r="A35" s="63" t="s">
        <v>626</v>
      </c>
      <c r="B35" s="63"/>
      <c r="C35" s="63" t="s">
        <v>627</v>
      </c>
      <c r="D35" s="63"/>
      <c r="E35" s="63" t="s">
        <v>628</v>
      </c>
      <c r="F35" s="63"/>
      <c r="G35" s="63"/>
      <c r="H35" s="63"/>
      <c r="I35" s="63"/>
    </row>
    <row r="36" spans="1:12" ht="25.5" thickBot="1" x14ac:dyDescent="0.75">
      <c r="A36" s="64"/>
      <c r="B36" s="64"/>
      <c r="C36" s="65" t="s">
        <v>629</v>
      </c>
      <c r="D36" s="64"/>
      <c r="E36" s="64"/>
      <c r="F36" s="64"/>
      <c r="G36" s="64"/>
      <c r="H36" s="64"/>
      <c r="I36" s="64"/>
      <c r="J36" s="153"/>
      <c r="K36" s="60"/>
    </row>
    <row r="37" spans="1:12" ht="13.15" thickTop="1" x14ac:dyDescent="0.35"/>
    <row r="39" spans="1:12" s="59" customFormat="1" ht="17.649999999999999" thickBot="1" x14ac:dyDescent="0.5">
      <c r="A39" s="70" t="s">
        <v>645</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646</v>
      </c>
      <c r="D41" s="71"/>
      <c r="E41" s="556" t="str">
        <f>'Auto-Calibration record'!H14</f>
        <v>CML4W0M003</v>
      </c>
      <c r="F41" s="557"/>
      <c r="G41" s="183"/>
    </row>
    <row r="42" spans="1:12" x14ac:dyDescent="0.35">
      <c r="A42" s="59"/>
      <c r="C42" s="421" t="s">
        <v>647</v>
      </c>
      <c r="D42" s="422"/>
      <c r="E42" s="165" t="s">
        <v>635</v>
      </c>
      <c r="F42" s="150" t="e">
        <f>E15</f>
        <v>#N/A</v>
      </c>
    </row>
    <row r="43" spans="1:12" x14ac:dyDescent="0.35">
      <c r="A43" s="59"/>
      <c r="C43" s="85" t="s">
        <v>648</v>
      </c>
      <c r="D43" s="71"/>
      <c r="E43" s="558" t="s">
        <v>649</v>
      </c>
      <c r="F43" s="559"/>
      <c r="G43" s="59"/>
    </row>
    <row r="44" spans="1:12" x14ac:dyDescent="0.35">
      <c r="C44" s="86" t="s">
        <v>650</v>
      </c>
      <c r="D44" s="73"/>
      <c r="E44" s="558">
        <f>'Auto-Calibration record'!B17</f>
        <v>0</v>
      </c>
      <c r="F44" s="559"/>
      <c r="G44" s="59"/>
      <c r="H44" s="4"/>
      <c r="I44" s="4"/>
      <c r="J44" s="4"/>
      <c r="K44" s="4"/>
      <c r="L44" s="4"/>
    </row>
    <row r="45" spans="1:12" x14ac:dyDescent="0.35">
      <c r="C45" s="85" t="s">
        <v>651</v>
      </c>
      <c r="D45" s="71"/>
      <c r="E45" s="558" t="e">
        <f>'Auto-Calibration record'!B11</f>
        <v>#N/A</v>
      </c>
      <c r="F45" s="559"/>
      <c r="G45" s="59"/>
    </row>
    <row r="46" spans="1:12" x14ac:dyDescent="0.35">
      <c r="A46" s="59"/>
      <c r="C46" s="85" t="s">
        <v>652</v>
      </c>
      <c r="D46" s="71"/>
      <c r="E46" s="558" t="s">
        <v>653</v>
      </c>
      <c r="F46" s="559"/>
      <c r="G46" s="59"/>
    </row>
    <row r="47" spans="1:12" s="2" customFormat="1" x14ac:dyDescent="0.35">
      <c r="A47" s="1"/>
      <c r="C47" s="85" t="s">
        <v>654</v>
      </c>
      <c r="D47" s="71"/>
      <c r="E47" s="558" t="s">
        <v>655</v>
      </c>
      <c r="F47" s="559"/>
      <c r="G47" s="59"/>
    </row>
    <row r="48" spans="1:12" x14ac:dyDescent="0.35">
      <c r="B48" s="59"/>
      <c r="C48" s="59"/>
      <c r="D48" s="4"/>
      <c r="E48" s="4"/>
      <c r="F48" s="4"/>
    </row>
    <row r="49" spans="1:10" s="59" customFormat="1" x14ac:dyDescent="0.35">
      <c r="A49" s="74" t="s">
        <v>656</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657</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658</v>
      </c>
      <c r="C54" s="1"/>
    </row>
    <row r="55" spans="1:10" s="59" customFormat="1" ht="63.75" customHeight="1" x14ac:dyDescent="0.35">
      <c r="B55" s="75" t="s">
        <v>582</v>
      </c>
      <c r="C55" s="76" t="s">
        <v>583</v>
      </c>
      <c r="D55" s="566" t="s">
        <v>659</v>
      </c>
      <c r="E55" s="566"/>
      <c r="F55" s="78" t="s">
        <v>660</v>
      </c>
      <c r="G55" s="77" t="s">
        <v>586</v>
      </c>
      <c r="H55" s="79" t="s">
        <v>586</v>
      </c>
      <c r="I55" s="2"/>
    </row>
    <row r="56" spans="1:10" s="2" customFormat="1" x14ac:dyDescent="0.3">
      <c r="A56" s="59"/>
      <c r="B56" s="140" t="s">
        <v>661</v>
      </c>
      <c r="C56" s="141" t="s">
        <v>589</v>
      </c>
      <c r="D56" s="567" t="s">
        <v>662</v>
      </c>
      <c r="E56" s="567"/>
      <c r="F56" s="143" t="s">
        <v>662</v>
      </c>
      <c r="G56" s="142" t="s">
        <v>662</v>
      </c>
      <c r="H56" s="144" t="s">
        <v>591</v>
      </c>
      <c r="I56" s="80"/>
    </row>
    <row r="57" spans="1:10" x14ac:dyDescent="0.35">
      <c r="A57" s="59"/>
      <c r="B57" s="146">
        <v>4</v>
      </c>
      <c r="C57" s="145" t="e">
        <f>'Auto-Calibration record'!B65</f>
        <v>#N/A</v>
      </c>
      <c r="D57" s="564" t="e">
        <f>'Auto-Calibration record'!B68</f>
        <v>#N/A</v>
      </c>
      <c r="E57" s="565"/>
      <c r="F57" s="160" t="e">
        <f>'Auto-Calibration record'!I68</f>
        <v>#N/A</v>
      </c>
      <c r="G57" s="145" t="e">
        <f t="shared" ref="G57:G62" si="0">F57-D57</f>
        <v>#N/A</v>
      </c>
      <c r="H57" s="147" t="e">
        <f t="shared" ref="H57:H62" si="1">G57/D57</f>
        <v>#N/A</v>
      </c>
      <c r="I57" s="81"/>
    </row>
    <row r="58" spans="1:10" s="59" customFormat="1" x14ac:dyDescent="0.35">
      <c r="A58" s="2"/>
      <c r="B58" s="146">
        <v>6</v>
      </c>
      <c r="C58" s="145" t="e">
        <f>'Auto-Calibration record'!C65</f>
        <v>#N/A</v>
      </c>
      <c r="D58" s="564" t="e">
        <f>'Auto-Calibration record'!B69</f>
        <v>#N/A</v>
      </c>
      <c r="E58" s="565"/>
      <c r="F58" s="160" t="e">
        <f>'Auto-Calibration record'!I69</f>
        <v>#N/A</v>
      </c>
      <c r="G58" s="145" t="e">
        <f t="shared" si="0"/>
        <v>#N/A</v>
      </c>
      <c r="H58" s="147" t="e">
        <f t="shared" si="1"/>
        <v>#N/A</v>
      </c>
      <c r="I58" s="81"/>
    </row>
    <row r="59" spans="1:10" x14ac:dyDescent="0.35">
      <c r="B59" s="146">
        <v>14</v>
      </c>
      <c r="C59" s="145" t="e">
        <f>'Auto-Calibration record'!D65</f>
        <v>#N/A</v>
      </c>
      <c r="D59" s="564" t="e">
        <f>'Auto-Calibration record'!B70</f>
        <v>#N/A</v>
      </c>
      <c r="E59" s="565"/>
      <c r="F59" s="160" t="e">
        <f>'Auto-Calibration record'!I70</f>
        <v>#N/A</v>
      </c>
      <c r="G59" s="145" t="e">
        <f t="shared" si="0"/>
        <v>#N/A</v>
      </c>
      <c r="H59" s="147" t="e">
        <f t="shared" si="1"/>
        <v>#N/A</v>
      </c>
      <c r="I59" s="81"/>
    </row>
    <row r="60" spans="1:10" x14ac:dyDescent="0.35">
      <c r="A60" s="59"/>
      <c r="B60" s="146">
        <v>21</v>
      </c>
      <c r="C60" s="145" t="e">
        <f>'Auto-Calibration record'!E65</f>
        <v>#N/A</v>
      </c>
      <c r="D60" s="564" t="e">
        <f>'Auto-Calibration record'!B71</f>
        <v>#N/A</v>
      </c>
      <c r="E60" s="565"/>
      <c r="F60" s="160" t="e">
        <f>'Auto-Calibration record'!I71</f>
        <v>#N/A</v>
      </c>
      <c r="G60" s="145" t="e">
        <f t="shared" si="0"/>
        <v>#N/A</v>
      </c>
      <c r="H60" s="147" t="e">
        <f t="shared" si="1"/>
        <v>#N/A</v>
      </c>
      <c r="I60" s="81"/>
    </row>
    <row r="61" spans="1:10" x14ac:dyDescent="0.35">
      <c r="B61" s="146">
        <v>25</v>
      </c>
      <c r="C61" s="145" t="e">
        <f>'Auto-Calibration record'!F65</f>
        <v>#N/A</v>
      </c>
      <c r="D61" s="564" t="e">
        <f>'Auto-Calibration record'!B72</f>
        <v>#N/A</v>
      </c>
      <c r="E61" s="565"/>
      <c r="F61" s="160" t="e">
        <f>'Auto-Calibration record'!I72</f>
        <v>#N/A</v>
      </c>
      <c r="G61" s="145" t="e">
        <f t="shared" si="0"/>
        <v>#N/A</v>
      </c>
      <c r="H61" s="147" t="e">
        <f t="shared" si="1"/>
        <v>#N/A</v>
      </c>
      <c r="I61" s="81"/>
    </row>
    <row r="62" spans="1:10" x14ac:dyDescent="0.35">
      <c r="A62" s="2"/>
      <c r="B62" s="146">
        <v>38</v>
      </c>
      <c r="C62" s="145" t="e">
        <f>'Auto-Calibration record'!G65</f>
        <v>#N/A</v>
      </c>
      <c r="D62" s="564" t="e">
        <f>'Auto-Calibration record'!B73</f>
        <v>#N/A</v>
      </c>
      <c r="E62" s="565"/>
      <c r="F62" s="160" t="e">
        <f>'Auto-Calibration record'!I73</f>
        <v>#N/A</v>
      </c>
      <c r="G62" s="145" t="e">
        <f t="shared" si="0"/>
        <v>#N/A</v>
      </c>
      <c r="H62" s="147" t="e">
        <f t="shared" si="1"/>
        <v>#N/A</v>
      </c>
      <c r="I62" s="81"/>
    </row>
    <row r="63" spans="1:10" x14ac:dyDescent="0.35">
      <c r="B63" s="146" t="s">
        <v>663</v>
      </c>
      <c r="C63" s="145" t="e">
        <f>'Auto-Calibration record'!H65</f>
        <v>#N/A</v>
      </c>
      <c r="D63" s="564" t="e">
        <f>'Auto-Calibration record'!B74</f>
        <v>#N/A</v>
      </c>
      <c r="E63" s="565"/>
      <c r="F63" s="160" t="e">
        <f>'Auto-Calibration record'!I74</f>
        <v>#N/A</v>
      </c>
      <c r="G63" s="423" t="s">
        <v>23</v>
      </c>
      <c r="H63" s="424" t="s">
        <v>23</v>
      </c>
      <c r="I63" s="81"/>
    </row>
    <row r="64" spans="1:10" ht="13.15" thickBot="1" x14ac:dyDescent="0.4">
      <c r="A64" s="59"/>
      <c r="B64" s="148" t="s">
        <v>664</v>
      </c>
      <c r="C64" s="149" t="e">
        <f>'Auto-Calibration record'!I65</f>
        <v>#N/A</v>
      </c>
      <c r="D64" s="564" t="e">
        <f>'Auto-Calibration record'!B75</f>
        <v>#N/A</v>
      </c>
      <c r="E64" s="565"/>
      <c r="F64" s="161" t="e">
        <f>'Auto-Calibration record'!I75</f>
        <v>#N/A</v>
      </c>
      <c r="G64" s="425" t="s">
        <v>23</v>
      </c>
      <c r="H64" s="426" t="s">
        <v>23</v>
      </c>
      <c r="I64" s="81"/>
    </row>
    <row r="65" spans="2:7" x14ac:dyDescent="0.35">
      <c r="B65" s="563" t="s">
        <v>665</v>
      </c>
      <c r="C65" s="563"/>
      <c r="D65" s="563"/>
      <c r="E65" s="563"/>
      <c r="F65" s="563"/>
      <c r="G65" s="563"/>
    </row>
    <row r="67" spans="2:7" x14ac:dyDescent="0.35">
      <c r="B67" s="84" t="s">
        <v>666</v>
      </c>
      <c r="C67" s="82" t="e">
        <f>'Auto-Calibration record'!H16</f>
        <v>#N/A</v>
      </c>
    </row>
    <row r="72" spans="2:7" x14ac:dyDescent="0.35">
      <c r="F72" s="6" t="s">
        <v>643</v>
      </c>
    </row>
    <row r="74" spans="2:7" x14ac:dyDescent="0.35">
      <c r="B74" s="83" t="s">
        <v>667</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563</v>
      </c>
      <c r="C2" s="83"/>
    </row>
    <row r="3" spans="1:16" ht="13.5" x14ac:dyDescent="0.35">
      <c r="B3" s="87" t="s">
        <v>617</v>
      </c>
      <c r="C3" s="83"/>
    </row>
    <row r="4" spans="1:16" ht="13.5" x14ac:dyDescent="0.35">
      <c r="B4" s="87" t="s">
        <v>618</v>
      </c>
      <c r="C4" s="83"/>
    </row>
    <row r="5" spans="1:16" ht="13.5" x14ac:dyDescent="0.35">
      <c r="B5" s="87" t="s">
        <v>566</v>
      </c>
      <c r="C5" s="83"/>
    </row>
    <row r="6" spans="1:16" ht="13.5" x14ac:dyDescent="0.35">
      <c r="B6" s="87" t="s">
        <v>619</v>
      </c>
      <c r="C6" s="83"/>
    </row>
    <row r="7" spans="1:16" ht="15" x14ac:dyDescent="0.4">
      <c r="B7" s="87" t="s">
        <v>620</v>
      </c>
      <c r="C7" s="83"/>
      <c r="D7" s="88"/>
    </row>
    <row r="8" spans="1:16" ht="13.5" x14ac:dyDescent="0.35">
      <c r="B8" s="53" t="s">
        <v>569</v>
      </c>
      <c r="C8" s="83"/>
    </row>
    <row r="9" spans="1:16" ht="13.5" x14ac:dyDescent="0.35">
      <c r="B9" s="53"/>
      <c r="C9" s="83"/>
    </row>
    <row r="10" spans="1:16" ht="37.5" customHeight="1" x14ac:dyDescent="0.85">
      <c r="B10" s="541" t="s">
        <v>570</v>
      </c>
      <c r="C10" s="541"/>
      <c r="D10" s="541"/>
      <c r="E10" s="541"/>
      <c r="F10" s="541"/>
      <c r="G10" s="541"/>
      <c r="H10" s="541"/>
      <c r="I10" s="541"/>
      <c r="J10" s="541"/>
      <c r="K10" s="541"/>
      <c r="L10" s="541"/>
      <c r="M10" s="541"/>
      <c r="N10" s="541"/>
      <c r="O10" s="541"/>
      <c r="P10" s="541"/>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4" t="s">
        <v>668</v>
      </c>
      <c r="C13" s="554"/>
      <c r="D13" s="554"/>
      <c r="E13" s="554"/>
      <c r="F13" s="554"/>
      <c r="G13" s="554"/>
      <c r="H13" s="554"/>
      <c r="I13" s="554"/>
      <c r="J13" s="554"/>
      <c r="K13" s="554"/>
      <c r="L13" s="554"/>
      <c r="M13" s="554"/>
      <c r="N13" s="554"/>
      <c r="O13" s="554"/>
      <c r="P13" s="91"/>
    </row>
    <row r="14" spans="1:16" ht="77.25" customHeight="1" x14ac:dyDescent="0.35">
      <c r="A14" s="92"/>
      <c r="B14" s="554" t="s">
        <v>572</v>
      </c>
      <c r="C14" s="554"/>
      <c r="D14" s="554"/>
      <c r="E14" s="554"/>
      <c r="F14" s="554"/>
      <c r="G14" s="554"/>
      <c r="H14" s="554"/>
      <c r="I14" s="554"/>
      <c r="J14" s="554"/>
      <c r="K14" s="554"/>
      <c r="L14" s="554"/>
      <c r="M14" s="554"/>
      <c r="N14" s="554"/>
      <c r="O14" s="554"/>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25" t="str">
        <f>'Auto-Calibration record'!H14</f>
        <v>CML4W0M003</v>
      </c>
      <c r="E17" s="525"/>
      <c r="F17" s="525"/>
      <c r="K17" s="95" t="s">
        <v>574</v>
      </c>
      <c r="L17" s="96"/>
      <c r="M17" s="96"/>
      <c r="N17" s="97"/>
      <c r="O17" s="54" t="str">
        <f>'Auto-Calibration record'!H18</f>
        <v>12798M</v>
      </c>
    </row>
    <row r="18" spans="2:15" ht="25.9" customHeight="1" x14ac:dyDescent="0.45">
      <c r="B18" s="131" t="s">
        <v>575</v>
      </c>
      <c r="C18" s="132"/>
      <c r="D18" s="529" t="e">
        <f>'Auto-Calibration record'!#REF!&amp;'Auto-Calibration record'!H15</f>
        <v>#REF!</v>
      </c>
      <c r="E18" s="530"/>
      <c r="F18" s="531"/>
      <c r="K18" s="98" t="s">
        <v>576</v>
      </c>
      <c r="L18" s="99"/>
      <c r="M18" s="99"/>
      <c r="N18" s="100"/>
      <c r="O18" s="55" t="e">
        <f>'Auto-Calibration record'!H16</f>
        <v>#N/A</v>
      </c>
    </row>
    <row r="19" spans="2:15" ht="25.9" customHeight="1" x14ac:dyDescent="0.45">
      <c r="B19" s="131" t="s">
        <v>577</v>
      </c>
      <c r="C19" s="132"/>
      <c r="D19" s="529" t="e">
        <f>'Auto-Calibration record'!H17</f>
        <v>#N/A</v>
      </c>
      <c r="E19" s="530"/>
      <c r="F19" s="531"/>
      <c r="K19" s="95" t="s">
        <v>578</v>
      </c>
      <c r="L19" s="96"/>
      <c r="M19" s="96"/>
      <c r="N19" s="97"/>
      <c r="O19" s="162" t="e">
        <f>'Auto-Calibration record'!H19</f>
        <v>#N/A</v>
      </c>
    </row>
    <row r="20" spans="2:15" ht="25.5" customHeight="1" x14ac:dyDescent="0.45">
      <c r="B20" s="101"/>
      <c r="D20" s="126"/>
      <c r="E20" s="133"/>
      <c r="F20" s="127"/>
      <c r="K20" s="101"/>
      <c r="L20" s="102"/>
      <c r="M20" s="102"/>
      <c r="N20" s="102"/>
      <c r="O20" s="58"/>
    </row>
    <row r="21" spans="2:15" ht="34.5" customHeight="1" x14ac:dyDescent="0.45">
      <c r="B21" s="101"/>
      <c r="D21" s="135" t="s">
        <v>669</v>
      </c>
      <c r="E21" s="573" t="s">
        <v>670</v>
      </c>
      <c r="F21" s="573"/>
      <c r="G21" s="573" t="s">
        <v>671</v>
      </c>
      <c r="H21" s="573"/>
      <c r="I21" s="573" t="s">
        <v>672</v>
      </c>
      <c r="J21" s="573"/>
      <c r="M21" s="102"/>
      <c r="N21" s="102"/>
      <c r="O21" s="128"/>
    </row>
    <row r="22" spans="2:15" ht="17.649999999999999" x14ac:dyDescent="0.45">
      <c r="B22" s="101"/>
      <c r="D22" s="134" t="s">
        <v>673</v>
      </c>
      <c r="E22" s="568" t="s">
        <v>674</v>
      </c>
      <c r="F22" s="568"/>
      <c r="G22" s="568" t="s">
        <v>675</v>
      </c>
      <c r="H22" s="568"/>
      <c r="I22" s="568">
        <v>5226</v>
      </c>
      <c r="J22" s="568"/>
      <c r="M22" s="102"/>
      <c r="N22" s="102"/>
      <c r="O22" s="128"/>
    </row>
    <row r="23" spans="2:15" ht="14.25" customHeight="1" x14ac:dyDescent="0.45">
      <c r="B23" s="101"/>
      <c r="D23" s="134" t="s">
        <v>676</v>
      </c>
      <c r="E23" s="568" t="s">
        <v>674</v>
      </c>
      <c r="F23" s="568"/>
      <c r="G23" s="568" t="s">
        <v>675</v>
      </c>
      <c r="H23" s="568"/>
      <c r="I23" s="568">
        <v>5306</v>
      </c>
      <c r="J23" s="568"/>
      <c r="M23" s="102"/>
      <c r="N23" s="102"/>
      <c r="O23" s="128"/>
    </row>
    <row r="24" spans="2:15" ht="14.25" customHeight="1" x14ac:dyDescent="0.45">
      <c r="B24" s="101"/>
      <c r="D24" s="134" t="s">
        <v>677</v>
      </c>
      <c r="E24" s="568" t="s">
        <v>674</v>
      </c>
      <c r="F24" s="568"/>
      <c r="G24" s="568" t="s">
        <v>675</v>
      </c>
      <c r="H24" s="568"/>
      <c r="I24" s="568">
        <v>5326</v>
      </c>
      <c r="J24" s="568"/>
      <c r="M24" s="102"/>
      <c r="N24" s="102"/>
      <c r="O24" s="128"/>
    </row>
    <row r="25" spans="2:15" ht="14.25" customHeight="1" x14ac:dyDescent="0.45">
      <c r="B25" s="101"/>
      <c r="D25" s="134" t="s">
        <v>678</v>
      </c>
      <c r="E25" s="568" t="s">
        <v>674</v>
      </c>
      <c r="F25" s="568"/>
      <c r="G25" s="568" t="s">
        <v>675</v>
      </c>
      <c r="H25" s="568"/>
      <c r="I25" s="568">
        <v>5529</v>
      </c>
      <c r="J25" s="568"/>
      <c r="M25" s="102"/>
      <c r="N25" s="102"/>
      <c r="O25" s="128"/>
    </row>
    <row r="26" spans="2:15" ht="14.25" customHeight="1" x14ac:dyDescent="0.45">
      <c r="B26" s="101"/>
      <c r="D26" s="126"/>
      <c r="E26" s="127"/>
      <c r="K26" s="101"/>
      <c r="L26" s="102"/>
      <c r="M26" s="102"/>
      <c r="N26" s="102"/>
      <c r="O26" s="128"/>
    </row>
    <row r="27" spans="2:15" ht="15" x14ac:dyDescent="0.4">
      <c r="B27" s="103" t="s">
        <v>579</v>
      </c>
    </row>
    <row r="28" spans="2:15" ht="15" x14ac:dyDescent="0.4">
      <c r="B28" s="103" t="s">
        <v>580</v>
      </c>
      <c r="O28" s="104"/>
    </row>
    <row r="29" spans="2:15" ht="15" x14ac:dyDescent="0.4">
      <c r="B29" s="103" t="s">
        <v>581</v>
      </c>
    </row>
    <row r="30" spans="2:15" ht="15" x14ac:dyDescent="0.4">
      <c r="B30" s="103"/>
    </row>
    <row r="31" spans="2:15" ht="13.15" x14ac:dyDescent="0.4">
      <c r="B31" s="105"/>
    </row>
    <row r="32" spans="2:15" s="106" customFormat="1" ht="67.5" customHeight="1" x14ac:dyDescent="0.35">
      <c r="D32" s="526" t="s">
        <v>582</v>
      </c>
      <c r="E32" s="526"/>
      <c r="F32" s="526" t="s">
        <v>583</v>
      </c>
      <c r="G32" s="526"/>
      <c r="H32" s="526" t="s">
        <v>584</v>
      </c>
      <c r="I32" s="526"/>
      <c r="J32" s="107" t="s">
        <v>585</v>
      </c>
      <c r="K32" s="107" t="s">
        <v>586</v>
      </c>
      <c r="L32" s="107" t="s">
        <v>587</v>
      </c>
    </row>
    <row r="33" spans="2:12" s="108" customFormat="1" ht="25.9" customHeight="1" x14ac:dyDescent="0.35">
      <c r="D33" s="527" t="s">
        <v>588</v>
      </c>
      <c r="E33" s="527"/>
      <c r="F33" s="527" t="s">
        <v>589</v>
      </c>
      <c r="G33" s="527"/>
      <c r="H33" s="527" t="s">
        <v>590</v>
      </c>
      <c r="I33" s="527"/>
      <c r="J33" s="109" t="s">
        <v>590</v>
      </c>
      <c r="K33" s="109" t="s">
        <v>590</v>
      </c>
      <c r="L33" s="109" t="s">
        <v>591</v>
      </c>
    </row>
    <row r="34" spans="2:12" s="108" customFormat="1" ht="25.9" customHeight="1" x14ac:dyDescent="0.35">
      <c r="D34" s="540" t="s">
        <v>592</v>
      </c>
      <c r="E34" s="540"/>
      <c r="F34" s="528" t="e">
        <f>'Auto-Calibration record'!B65</f>
        <v>#N/A</v>
      </c>
      <c r="G34" s="528"/>
      <c r="H34" s="523" t="e">
        <f>'Auto-Calibration record'!B68</f>
        <v>#N/A</v>
      </c>
      <c r="I34" s="569"/>
      <c r="J34" s="158" t="e">
        <f>'Auto-Calibration record'!I68</f>
        <v>#N/A</v>
      </c>
      <c r="K34" s="159" t="e">
        <f t="shared" ref="K34:K39" si="0">J34-H34</f>
        <v>#N/A</v>
      </c>
      <c r="L34" s="111" t="e">
        <f t="shared" ref="L34:L39" si="1">K34/H34</f>
        <v>#N/A</v>
      </c>
    </row>
    <row r="35" spans="2:12" s="108" customFormat="1" ht="25.9" customHeight="1" x14ac:dyDescent="0.35">
      <c r="D35" s="540" t="s">
        <v>593</v>
      </c>
      <c r="E35" s="540"/>
      <c r="F35" s="528" t="e">
        <f>'Auto-Calibration record'!C65</f>
        <v>#N/A</v>
      </c>
      <c r="G35" s="528"/>
      <c r="H35" s="523" t="e">
        <f>'Auto-Calibration record'!B69</f>
        <v>#N/A</v>
      </c>
      <c r="I35" s="569"/>
      <c r="J35" s="158" t="e">
        <f>'Auto-Calibration record'!I69</f>
        <v>#N/A</v>
      </c>
      <c r="K35" s="159" t="e">
        <f t="shared" si="0"/>
        <v>#N/A</v>
      </c>
      <c r="L35" s="111" t="e">
        <f t="shared" si="1"/>
        <v>#N/A</v>
      </c>
    </row>
    <row r="36" spans="2:12" s="108" customFormat="1" ht="25.9" customHeight="1" x14ac:dyDescent="0.35">
      <c r="D36" s="540" t="s">
        <v>594</v>
      </c>
      <c r="E36" s="540"/>
      <c r="F36" s="528" t="e">
        <f>'Auto-Calibration record'!D65</f>
        <v>#N/A</v>
      </c>
      <c r="G36" s="528"/>
      <c r="H36" s="523" t="e">
        <f>'Auto-Calibration record'!B70</f>
        <v>#N/A</v>
      </c>
      <c r="I36" s="569"/>
      <c r="J36" s="158" t="e">
        <f>'Auto-Calibration record'!I70</f>
        <v>#N/A</v>
      </c>
      <c r="K36" s="159" t="e">
        <f t="shared" si="0"/>
        <v>#N/A</v>
      </c>
      <c r="L36" s="111" t="e">
        <f t="shared" si="1"/>
        <v>#N/A</v>
      </c>
    </row>
    <row r="37" spans="2:12" s="108" customFormat="1" ht="25.9" customHeight="1" x14ac:dyDescent="0.35">
      <c r="D37" s="540" t="s">
        <v>595</v>
      </c>
      <c r="E37" s="540"/>
      <c r="F37" s="528" t="e">
        <f>'Auto-Calibration record'!E65</f>
        <v>#N/A</v>
      </c>
      <c r="G37" s="528"/>
      <c r="H37" s="523" t="e">
        <f>'Auto-Calibration record'!B71</f>
        <v>#N/A</v>
      </c>
      <c r="I37" s="569"/>
      <c r="J37" s="158" t="e">
        <f>'Auto-Calibration record'!I71</f>
        <v>#N/A</v>
      </c>
      <c r="K37" s="159" t="e">
        <f t="shared" si="0"/>
        <v>#N/A</v>
      </c>
      <c r="L37" s="111" t="e">
        <f t="shared" si="1"/>
        <v>#N/A</v>
      </c>
    </row>
    <row r="38" spans="2:12" s="108" customFormat="1" ht="25.9" customHeight="1" x14ac:dyDescent="0.35">
      <c r="D38" s="540" t="s">
        <v>596</v>
      </c>
      <c r="E38" s="540"/>
      <c r="F38" s="528" t="e">
        <f>'Auto-Calibration record'!F65</f>
        <v>#N/A</v>
      </c>
      <c r="G38" s="528"/>
      <c r="H38" s="523" t="e">
        <f>'Auto-Calibration record'!B72</f>
        <v>#N/A</v>
      </c>
      <c r="I38" s="569"/>
      <c r="J38" s="158" t="e">
        <f>'Auto-Calibration record'!I72</f>
        <v>#N/A</v>
      </c>
      <c r="K38" s="159" t="e">
        <f t="shared" si="0"/>
        <v>#N/A</v>
      </c>
      <c r="L38" s="111" t="e">
        <f t="shared" si="1"/>
        <v>#N/A</v>
      </c>
    </row>
    <row r="39" spans="2:12" s="108" customFormat="1" ht="25.9" customHeight="1" x14ac:dyDescent="0.35">
      <c r="D39" s="540" t="s">
        <v>597</v>
      </c>
      <c r="E39" s="540"/>
      <c r="F39" s="528" t="e">
        <f>'Auto-Calibration record'!G65</f>
        <v>#N/A</v>
      </c>
      <c r="G39" s="528"/>
      <c r="H39" s="523" t="e">
        <f>'Auto-Calibration record'!B73</f>
        <v>#N/A</v>
      </c>
      <c r="I39" s="569"/>
      <c r="J39" s="158" t="e">
        <f>'Auto-Calibration record'!I73</f>
        <v>#N/A</v>
      </c>
      <c r="K39" s="159" t="e">
        <f t="shared" si="0"/>
        <v>#N/A</v>
      </c>
      <c r="L39" s="111" t="e">
        <f t="shared" si="1"/>
        <v>#N/A</v>
      </c>
    </row>
    <row r="40" spans="2:12" s="108" customFormat="1" ht="25.9" customHeight="1" x14ac:dyDescent="0.35">
      <c r="D40" s="540" t="s">
        <v>598</v>
      </c>
      <c r="E40" s="540"/>
      <c r="F40" s="528" t="e">
        <f>'Auto-Calibration record'!H65</f>
        <v>#N/A</v>
      </c>
      <c r="G40" s="528"/>
      <c r="H40" s="523" t="e">
        <f>'Auto-Calibration record'!B74</f>
        <v>#N/A</v>
      </c>
      <c r="I40" s="569"/>
      <c r="J40" s="158" t="e">
        <f>'Auto-Calibration record'!I74</f>
        <v>#N/A</v>
      </c>
      <c r="K40" s="159" t="s">
        <v>23</v>
      </c>
      <c r="L40" s="112" t="s">
        <v>23</v>
      </c>
    </row>
    <row r="41" spans="2:12" s="102" customFormat="1" ht="25.9" customHeight="1" x14ac:dyDescent="0.45">
      <c r="D41" s="540" t="s">
        <v>599</v>
      </c>
      <c r="E41" s="540"/>
      <c r="F41" s="536" t="e">
        <f>'Auto-Calibration record'!I65</f>
        <v>#N/A</v>
      </c>
      <c r="G41" s="536"/>
      <c r="H41" s="523" t="e">
        <f>'Auto-Calibration record'!B75</f>
        <v>#N/A</v>
      </c>
      <c r="I41" s="569"/>
      <c r="J41" s="158" t="e">
        <f>'Auto-Calibration record'!I75</f>
        <v>#N/A</v>
      </c>
      <c r="K41" s="159" t="s">
        <v>23</v>
      </c>
      <c r="L41" s="112" t="s">
        <v>23</v>
      </c>
    </row>
    <row r="42" spans="2:12" ht="20.25" x14ac:dyDescent="0.55000000000000004">
      <c r="D42" s="113" t="s">
        <v>600</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601</v>
      </c>
      <c r="E44" s="526" t="s">
        <v>602</v>
      </c>
      <c r="F44" s="526"/>
      <c r="G44" s="526" t="s">
        <v>603</v>
      </c>
      <c r="H44" s="526"/>
      <c r="I44" s="108"/>
      <c r="J44" s="107" t="s">
        <v>679</v>
      </c>
      <c r="K44" s="107" t="s">
        <v>680</v>
      </c>
      <c r="L44" s="107" t="s">
        <v>603</v>
      </c>
    </row>
    <row r="45" spans="2:12" ht="25.9" customHeight="1" x14ac:dyDescent="0.35">
      <c r="B45" s="115"/>
      <c r="D45" s="109" t="s">
        <v>589</v>
      </c>
      <c r="E45" s="527" t="s">
        <v>589</v>
      </c>
      <c r="F45" s="527"/>
      <c r="G45" s="527" t="s">
        <v>604</v>
      </c>
      <c r="H45" s="527"/>
      <c r="I45" s="116"/>
      <c r="J45" s="109" t="s">
        <v>589</v>
      </c>
      <c r="K45" s="109" t="s">
        <v>589</v>
      </c>
      <c r="L45" s="109" t="s">
        <v>604</v>
      </c>
    </row>
    <row r="46" spans="2:12" ht="25.9" customHeight="1" x14ac:dyDescent="0.35">
      <c r="B46" s="115"/>
      <c r="D46" s="129">
        <f>'Auto-Calibration record'!B17</f>
        <v>0</v>
      </c>
      <c r="E46" s="523" t="e">
        <f>F34-D46</f>
        <v>#N/A</v>
      </c>
      <c r="F46" s="523"/>
      <c r="G46" s="532" t="e">
        <f>F34/D46</f>
        <v>#N/A</v>
      </c>
      <c r="H46" s="532"/>
      <c r="I46" s="116"/>
      <c r="J46" s="129" t="e">
        <f>'Auto-Calibration record'!B11</f>
        <v>#N/A</v>
      </c>
      <c r="K46" s="159" t="e">
        <f>F35-J46</f>
        <v>#N/A</v>
      </c>
      <c r="L46" s="151" t="e">
        <f>F35/J46</f>
        <v>#N/A</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605</v>
      </c>
      <c r="C78" s="121"/>
      <c r="D78" s="130" t="s">
        <v>606</v>
      </c>
      <c r="H78" s="1"/>
      <c r="I78" s="1"/>
      <c r="K78" s="545" t="s">
        <v>607</v>
      </c>
      <c r="L78" s="546"/>
      <c r="M78" s="546"/>
      <c r="N78" s="546"/>
      <c r="O78" s="547"/>
    </row>
    <row r="79" spans="2:16" s="88" customFormat="1" ht="25.9" customHeight="1" x14ac:dyDescent="0.4">
      <c r="H79" s="1"/>
      <c r="I79" s="1"/>
      <c r="K79" s="548"/>
      <c r="L79" s="549"/>
      <c r="M79" s="549"/>
      <c r="N79" s="549"/>
      <c r="O79" s="550"/>
    </row>
    <row r="80" spans="2:16" s="88" customFormat="1" ht="25.9" customHeight="1" x14ac:dyDescent="0.4">
      <c r="B80" s="120" t="s">
        <v>608</v>
      </c>
      <c r="C80" s="121"/>
      <c r="D80" s="570" t="s">
        <v>609</v>
      </c>
      <c r="E80" s="571"/>
      <c r="F80" s="571"/>
      <c r="G80" s="572"/>
      <c r="H80" s="1"/>
      <c r="I80" s="1"/>
      <c r="K80" s="548"/>
      <c r="L80" s="549"/>
      <c r="M80" s="549"/>
      <c r="N80" s="549"/>
      <c r="O80" s="550"/>
    </row>
    <row r="81" spans="2:16" s="88" customFormat="1" ht="25.9" customHeight="1" x14ac:dyDescent="0.4">
      <c r="K81" s="551"/>
      <c r="L81" s="552"/>
      <c r="M81" s="552"/>
      <c r="N81" s="552"/>
      <c r="O81" s="553"/>
    </row>
    <row r="82" spans="2:16" s="88" customFormat="1" ht="25.9" customHeight="1" x14ac:dyDescent="0.4">
      <c r="B82" s="120" t="s">
        <v>610</v>
      </c>
      <c r="C82" s="121"/>
      <c r="D82" s="537"/>
      <c r="E82" s="538"/>
      <c r="F82" s="539"/>
      <c r="K82" s="122" t="s">
        <v>611</v>
      </c>
      <c r="L82" s="533" t="s">
        <v>612</v>
      </c>
      <c r="M82" s="534"/>
      <c r="N82" s="534"/>
      <c r="O82" s="535"/>
      <c r="P82" s="123"/>
    </row>
    <row r="83" spans="2:16" ht="25.9" customHeight="1" x14ac:dyDescent="0.4">
      <c r="H83" s="88"/>
      <c r="I83" s="88"/>
      <c r="J83" s="88"/>
      <c r="K83" s="88"/>
    </row>
    <row r="84" spans="2:16" ht="15" x14ac:dyDescent="0.4">
      <c r="B84" s="115" t="s">
        <v>613</v>
      </c>
      <c r="H84" s="88"/>
      <c r="I84" s="88"/>
      <c r="J84" s="88"/>
      <c r="K84" s="88"/>
    </row>
    <row r="85" spans="2:16" ht="15" x14ac:dyDescent="0.4">
      <c r="B85" s="115" t="s">
        <v>614</v>
      </c>
      <c r="H85" s="88"/>
      <c r="I85" s="88"/>
      <c r="J85" s="88"/>
      <c r="K85" s="88"/>
    </row>
    <row r="86" spans="2:16" x14ac:dyDescent="0.35">
      <c r="B86" s="115" t="s">
        <v>615</v>
      </c>
    </row>
    <row r="89" spans="2:16" x14ac:dyDescent="0.35">
      <c r="O89" s="124" t="s">
        <v>616</v>
      </c>
    </row>
    <row r="90" spans="2:16" x14ac:dyDescent="0.35">
      <c r="O90" s="124" t="s">
        <v>524</v>
      </c>
    </row>
    <row r="91" spans="2:16" x14ac:dyDescent="0.35">
      <c r="O91" s="124" t="s">
        <v>19</v>
      </c>
    </row>
    <row r="92" spans="2:16" x14ac:dyDescent="0.35">
      <c r="B92" s="125" t="s">
        <v>681</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49" priority="4" stopIfTrue="1" operator="equal">
      <formula>"PASS"</formula>
    </cfRule>
    <cfRule type="cellIs" dxfId="48" priority="5" stopIfTrue="1" operator="equal">
      <formula>"FAIL"</formula>
    </cfRule>
  </conditionalFormatting>
  <conditionalFormatting sqref="G46 L46">
    <cfRule type="cellIs" dxfId="47" priority="7" stopIfTrue="1" operator="greaterThanOrEqual">
      <formula>1.19</formula>
    </cfRule>
    <cfRule type="cellIs" dxfId="46" priority="8" stopIfTrue="1" operator="lessThan">
      <formula>1.19</formula>
    </cfRule>
  </conditionalFormatting>
  <conditionalFormatting sqref="K78">
    <cfRule type="cellIs" dxfId="45" priority="9" stopIfTrue="1" operator="equal">
      <formula>"FAIL"</formula>
    </cfRule>
    <cfRule type="cellIs" dxfId="44" priority="10" stopIfTrue="1" operator="equal">
      <formula>"PASS - VERIFIED"</formula>
    </cfRule>
  </conditionalFormatting>
  <conditionalFormatting sqref="L34:L39">
    <cfRule type="cellIs" dxfId="43" priority="1" operator="between">
      <formula>-0.1</formula>
      <formula>0.1</formula>
    </cfRule>
    <cfRule type="cellIs" dxfId="42" priority="2" operator="lessThan">
      <formula>-0.1</formula>
    </cfRule>
    <cfRule type="cellIs" dxfId="41" priority="3" operator="greaterThan">
      <formula>0.1</formula>
    </cfRule>
  </conditionalFormatting>
  <conditionalFormatting sqref="O28">
    <cfRule type="cellIs" dxfId="4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563</v>
      </c>
      <c r="C2" s="83"/>
    </row>
    <row r="3" spans="1:16" ht="13.5" x14ac:dyDescent="0.35">
      <c r="B3" s="87" t="s">
        <v>617</v>
      </c>
      <c r="C3" s="83"/>
    </row>
    <row r="4" spans="1:16" ht="13.5" x14ac:dyDescent="0.35">
      <c r="B4" s="87" t="s">
        <v>618</v>
      </c>
      <c r="C4" s="83"/>
    </row>
    <row r="5" spans="1:16" ht="13.5" x14ac:dyDescent="0.35">
      <c r="B5" s="87" t="s">
        <v>566</v>
      </c>
      <c r="C5" s="83"/>
    </row>
    <row r="6" spans="1:16" ht="13.5" x14ac:dyDescent="0.35">
      <c r="B6" s="87" t="s">
        <v>619</v>
      </c>
      <c r="C6" s="83"/>
    </row>
    <row r="7" spans="1:16" ht="15" x14ac:dyDescent="0.4">
      <c r="B7" s="87" t="s">
        <v>620</v>
      </c>
      <c r="C7" s="83"/>
      <c r="D7" s="88"/>
    </row>
    <row r="8" spans="1:16" ht="13.5" x14ac:dyDescent="0.35">
      <c r="B8" s="53" t="s">
        <v>569</v>
      </c>
      <c r="C8" s="83"/>
    </row>
    <row r="9" spans="1:16" ht="13.5" x14ac:dyDescent="0.35">
      <c r="B9" s="53"/>
      <c r="C9" s="83"/>
    </row>
    <row r="10" spans="1:16" ht="37.5" customHeight="1" x14ac:dyDescent="0.85">
      <c r="B10" s="541" t="s">
        <v>570</v>
      </c>
      <c r="C10" s="541"/>
      <c r="D10" s="541"/>
      <c r="E10" s="541"/>
      <c r="F10" s="541"/>
      <c r="G10" s="541"/>
      <c r="H10" s="541"/>
      <c r="I10" s="541"/>
      <c r="J10" s="541"/>
      <c r="K10" s="541"/>
      <c r="L10" s="541"/>
      <c r="M10" s="541"/>
      <c r="N10" s="541"/>
      <c r="O10" s="541"/>
      <c r="P10" s="541"/>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4" t="s">
        <v>682</v>
      </c>
      <c r="C13" s="554"/>
      <c r="D13" s="554"/>
      <c r="E13" s="554"/>
      <c r="F13" s="554"/>
      <c r="G13" s="554"/>
      <c r="H13" s="554"/>
      <c r="I13" s="554"/>
      <c r="J13" s="554"/>
      <c r="K13" s="554"/>
      <c r="L13" s="554"/>
      <c r="M13" s="554"/>
      <c r="N13" s="554"/>
      <c r="O13" s="554"/>
      <c r="P13" s="91"/>
    </row>
    <row r="14" spans="1:16" ht="77.25" customHeight="1" x14ac:dyDescent="0.35">
      <c r="A14" s="92"/>
      <c r="B14" s="554" t="s">
        <v>572</v>
      </c>
      <c r="C14" s="554"/>
      <c r="D14" s="554"/>
      <c r="E14" s="554"/>
      <c r="F14" s="554"/>
      <c r="G14" s="554"/>
      <c r="H14" s="554"/>
      <c r="I14" s="554"/>
      <c r="J14" s="554"/>
      <c r="K14" s="554"/>
      <c r="L14" s="554"/>
      <c r="M14" s="554"/>
      <c r="N14" s="554"/>
      <c r="O14" s="554"/>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25" t="str">
        <f>'Auto-Calibration record'!H14</f>
        <v>CML4W0M003</v>
      </c>
      <c r="E17" s="525"/>
      <c r="F17" s="525"/>
      <c r="K17" s="95" t="s">
        <v>574</v>
      </c>
      <c r="L17" s="96"/>
      <c r="M17" s="96"/>
      <c r="N17" s="97"/>
      <c r="O17" s="54" t="str">
        <f>'Auto-Calibration record'!H18</f>
        <v>12798M</v>
      </c>
    </row>
    <row r="18" spans="2:15" ht="25.9" customHeight="1" x14ac:dyDescent="0.45">
      <c r="B18" s="131" t="s">
        <v>575</v>
      </c>
      <c r="C18" s="132"/>
      <c r="D18" s="529" t="e">
        <f>'Auto-Calibration record'!#REF!&amp;'Auto-Calibration record'!H15</f>
        <v>#REF!</v>
      </c>
      <c r="E18" s="530"/>
      <c r="F18" s="531"/>
      <c r="K18" s="98" t="s">
        <v>576</v>
      </c>
      <c r="L18" s="99"/>
      <c r="M18" s="99"/>
      <c r="N18" s="100"/>
      <c r="O18" s="55" t="e">
        <f>'Auto-Calibration record'!H16</f>
        <v>#N/A</v>
      </c>
    </row>
    <row r="19" spans="2:15" ht="25.9" customHeight="1" x14ac:dyDescent="0.45">
      <c r="B19" s="131" t="s">
        <v>577</v>
      </c>
      <c r="C19" s="132"/>
      <c r="D19" s="529" t="e">
        <f>'Auto-Calibration record'!H17</f>
        <v>#N/A</v>
      </c>
      <c r="E19" s="530"/>
      <c r="F19" s="531"/>
      <c r="K19" s="95" t="s">
        <v>578</v>
      </c>
      <c r="L19" s="96"/>
      <c r="M19" s="96"/>
      <c r="N19" s="97"/>
      <c r="O19" s="56" t="e">
        <f>'Auto-Calibration record'!H19</f>
        <v>#N/A</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6" t="s">
        <v>582</v>
      </c>
      <c r="E26" s="526"/>
      <c r="F26" s="526" t="s">
        <v>583</v>
      </c>
      <c r="G26" s="526"/>
      <c r="H26" s="526" t="s">
        <v>584</v>
      </c>
      <c r="I26" s="526"/>
      <c r="J26" s="107" t="s">
        <v>585</v>
      </c>
      <c r="K26" s="107" t="s">
        <v>586</v>
      </c>
      <c r="L26" s="107" t="s">
        <v>587</v>
      </c>
    </row>
    <row r="27" spans="2:15" s="108" customFormat="1" ht="25.9" customHeight="1" x14ac:dyDescent="0.35">
      <c r="D27" s="527" t="s">
        <v>588</v>
      </c>
      <c r="E27" s="527"/>
      <c r="F27" s="527" t="s">
        <v>589</v>
      </c>
      <c r="G27" s="527"/>
      <c r="H27" s="527" t="s">
        <v>590</v>
      </c>
      <c r="I27" s="527"/>
      <c r="J27" s="109" t="s">
        <v>590</v>
      </c>
      <c r="K27" s="109" t="s">
        <v>590</v>
      </c>
      <c r="L27" s="109" t="s">
        <v>591</v>
      </c>
    </row>
    <row r="28" spans="2:15" s="108" customFormat="1" ht="25.9" customHeight="1" x14ac:dyDescent="0.35">
      <c r="D28" s="540" t="s">
        <v>592</v>
      </c>
      <c r="E28" s="540"/>
      <c r="F28" s="528" t="e">
        <f>'Auto-Calibration record'!B65</f>
        <v>#N/A</v>
      </c>
      <c r="G28" s="528"/>
      <c r="H28" s="523" t="e">
        <f>'Auto-Calibration record'!B68</f>
        <v>#N/A</v>
      </c>
      <c r="I28" s="569"/>
      <c r="J28" s="158" t="e">
        <f>'Auto-Calibration record'!I68</f>
        <v>#N/A</v>
      </c>
      <c r="K28" s="159" t="e">
        <f t="shared" ref="K28:K33" si="0">J28-H28</f>
        <v>#N/A</v>
      </c>
      <c r="L28" s="111" t="e">
        <f t="shared" ref="L28:L33" si="1">K28/H28</f>
        <v>#N/A</v>
      </c>
    </row>
    <row r="29" spans="2:15" s="108" customFormat="1" ht="25.9" customHeight="1" x14ac:dyDescent="0.35">
      <c r="D29" s="540" t="s">
        <v>593</v>
      </c>
      <c r="E29" s="540"/>
      <c r="F29" s="528" t="e">
        <f>'Auto-Calibration record'!C65</f>
        <v>#N/A</v>
      </c>
      <c r="G29" s="528"/>
      <c r="H29" s="523" t="e">
        <f>'Auto-Calibration record'!B69</f>
        <v>#N/A</v>
      </c>
      <c r="I29" s="569"/>
      <c r="J29" s="158" t="e">
        <f>'Auto-Calibration record'!I69</f>
        <v>#N/A</v>
      </c>
      <c r="K29" s="159" t="e">
        <f t="shared" si="0"/>
        <v>#N/A</v>
      </c>
      <c r="L29" s="111" t="e">
        <f t="shared" si="1"/>
        <v>#N/A</v>
      </c>
    </row>
    <row r="30" spans="2:15" s="108" customFormat="1" ht="25.9" customHeight="1" x14ac:dyDescent="0.35">
      <c r="D30" s="540" t="s">
        <v>594</v>
      </c>
      <c r="E30" s="540"/>
      <c r="F30" s="528" t="e">
        <f>'Auto-Calibration record'!D65</f>
        <v>#N/A</v>
      </c>
      <c r="G30" s="528"/>
      <c r="H30" s="523" t="e">
        <f>'Auto-Calibration record'!B70</f>
        <v>#N/A</v>
      </c>
      <c r="I30" s="569"/>
      <c r="J30" s="158" t="e">
        <f>'Auto-Calibration record'!I70</f>
        <v>#N/A</v>
      </c>
      <c r="K30" s="159" t="e">
        <f t="shared" si="0"/>
        <v>#N/A</v>
      </c>
      <c r="L30" s="111" t="e">
        <f t="shared" si="1"/>
        <v>#N/A</v>
      </c>
    </row>
    <row r="31" spans="2:15" s="108" customFormat="1" ht="25.9" customHeight="1" x14ac:dyDescent="0.35">
      <c r="D31" s="540" t="s">
        <v>595</v>
      </c>
      <c r="E31" s="540"/>
      <c r="F31" s="528" t="e">
        <f>'Auto-Calibration record'!E65</f>
        <v>#N/A</v>
      </c>
      <c r="G31" s="528"/>
      <c r="H31" s="523" t="e">
        <f>'Auto-Calibration record'!B71</f>
        <v>#N/A</v>
      </c>
      <c r="I31" s="569"/>
      <c r="J31" s="158" t="e">
        <f>'Auto-Calibration record'!I71</f>
        <v>#N/A</v>
      </c>
      <c r="K31" s="159" t="e">
        <f t="shared" si="0"/>
        <v>#N/A</v>
      </c>
      <c r="L31" s="111" t="e">
        <f t="shared" si="1"/>
        <v>#N/A</v>
      </c>
    </row>
    <row r="32" spans="2:15" s="108" customFormat="1" ht="25.9" customHeight="1" x14ac:dyDescent="0.35">
      <c r="D32" s="540" t="s">
        <v>596</v>
      </c>
      <c r="E32" s="540"/>
      <c r="F32" s="528" t="e">
        <f>'Auto-Calibration record'!F65</f>
        <v>#N/A</v>
      </c>
      <c r="G32" s="528"/>
      <c r="H32" s="523" t="e">
        <f>'Auto-Calibration record'!B72</f>
        <v>#N/A</v>
      </c>
      <c r="I32" s="569"/>
      <c r="J32" s="158" t="e">
        <f>'Auto-Calibration record'!I72</f>
        <v>#N/A</v>
      </c>
      <c r="K32" s="159" t="e">
        <f t="shared" si="0"/>
        <v>#N/A</v>
      </c>
      <c r="L32" s="111" t="e">
        <f t="shared" si="1"/>
        <v>#N/A</v>
      </c>
    </row>
    <row r="33" spans="2:14" s="108" customFormat="1" ht="25.9" customHeight="1" x14ac:dyDescent="0.35">
      <c r="D33" s="540" t="s">
        <v>597</v>
      </c>
      <c r="E33" s="540"/>
      <c r="F33" s="528" t="e">
        <f>'Auto-Calibration record'!G65</f>
        <v>#N/A</v>
      </c>
      <c r="G33" s="528"/>
      <c r="H33" s="523" t="e">
        <f>'Auto-Calibration record'!B73</f>
        <v>#N/A</v>
      </c>
      <c r="I33" s="569"/>
      <c r="J33" s="158" t="e">
        <f>'Auto-Calibration record'!I73</f>
        <v>#N/A</v>
      </c>
      <c r="K33" s="159" t="e">
        <f t="shared" si="0"/>
        <v>#N/A</v>
      </c>
      <c r="L33" s="111" t="e">
        <f t="shared" si="1"/>
        <v>#N/A</v>
      </c>
    </row>
    <row r="34" spans="2:14" s="108" customFormat="1" ht="25.9" customHeight="1" x14ac:dyDescent="0.35">
      <c r="D34" s="540" t="s">
        <v>598</v>
      </c>
      <c r="E34" s="540"/>
      <c r="F34" s="528" t="e">
        <f>'Auto-Calibration record'!H65</f>
        <v>#N/A</v>
      </c>
      <c r="G34" s="528"/>
      <c r="H34" s="523" t="e">
        <f>'Auto-Calibration record'!B74</f>
        <v>#N/A</v>
      </c>
      <c r="I34" s="569"/>
      <c r="J34" s="158" t="e">
        <f>'Auto-Calibration record'!I74</f>
        <v>#N/A</v>
      </c>
      <c r="K34" s="159" t="s">
        <v>23</v>
      </c>
      <c r="L34" s="112" t="s">
        <v>23</v>
      </c>
    </row>
    <row r="35" spans="2:14" s="102" customFormat="1" ht="25.9" customHeight="1" x14ac:dyDescent="0.45">
      <c r="D35" s="540" t="s">
        <v>599</v>
      </c>
      <c r="E35" s="540"/>
      <c r="F35" s="536" t="e">
        <f>'Auto-Calibration record'!I65</f>
        <v>#N/A</v>
      </c>
      <c r="G35" s="536"/>
      <c r="H35" s="523" t="e">
        <f>'Auto-Calibration record'!B75</f>
        <v>#N/A</v>
      </c>
      <c r="I35" s="569"/>
      <c r="J35" s="158" t="e">
        <f>'Auto-Calibration record'!I75</f>
        <v>#N/A</v>
      </c>
      <c r="K35" s="159" t="s">
        <v>23</v>
      </c>
      <c r="L35" s="112" t="s">
        <v>23</v>
      </c>
    </row>
    <row r="36" spans="2:14" ht="20.25" x14ac:dyDescent="0.55000000000000004">
      <c r="D36" s="113" t="s">
        <v>600</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601</v>
      </c>
      <c r="E38" s="526" t="s">
        <v>602</v>
      </c>
      <c r="F38" s="526"/>
      <c r="G38" s="526" t="s">
        <v>603</v>
      </c>
      <c r="H38" s="526"/>
      <c r="I38" s="108"/>
      <c r="J38" s="107" t="s">
        <v>679</v>
      </c>
      <c r="K38" s="107" t="s">
        <v>680</v>
      </c>
      <c r="L38" s="107" t="s">
        <v>603</v>
      </c>
      <c r="N38" s="152"/>
    </row>
    <row r="39" spans="2:14" ht="25.9" customHeight="1" x14ac:dyDescent="0.35">
      <c r="B39" s="115"/>
      <c r="D39" s="109" t="s">
        <v>589</v>
      </c>
      <c r="E39" s="527" t="s">
        <v>589</v>
      </c>
      <c r="F39" s="527"/>
      <c r="G39" s="527" t="s">
        <v>604</v>
      </c>
      <c r="H39" s="527"/>
      <c r="I39" s="116"/>
      <c r="J39" s="109" t="s">
        <v>589</v>
      </c>
      <c r="K39" s="109" t="s">
        <v>589</v>
      </c>
      <c r="L39" s="109" t="s">
        <v>604</v>
      </c>
    </row>
    <row r="40" spans="2:14" ht="25.9" customHeight="1" x14ac:dyDescent="0.35">
      <c r="B40" s="115"/>
      <c r="D40" s="129">
        <f>'Auto-Calibration record'!B17</f>
        <v>0</v>
      </c>
      <c r="E40" s="523" t="e">
        <f>F28-D40</f>
        <v>#N/A</v>
      </c>
      <c r="F40" s="523"/>
      <c r="G40" s="532" t="e">
        <f>F28/D40</f>
        <v>#N/A</v>
      </c>
      <c r="H40" s="532"/>
      <c r="I40" s="116"/>
      <c r="J40" s="129" t="e">
        <f>'Auto-Calibration record'!B11</f>
        <v>#N/A</v>
      </c>
      <c r="K40" s="159" t="e">
        <f>F29-J40</f>
        <v>#N/A</v>
      </c>
      <c r="L40" s="151" t="e">
        <f>F29/J40</f>
        <v>#N/A</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45" t="s">
        <v>607</v>
      </c>
      <c r="L72" s="546"/>
      <c r="M72" s="546"/>
      <c r="N72" s="546"/>
      <c r="O72" s="547"/>
    </row>
    <row r="73" spans="2:16" s="88" customFormat="1" ht="25.9" customHeight="1" x14ac:dyDescent="0.4">
      <c r="H73" s="1"/>
      <c r="I73" s="1"/>
      <c r="K73" s="548"/>
      <c r="L73" s="549"/>
      <c r="M73" s="549"/>
      <c r="N73" s="549"/>
      <c r="O73" s="550"/>
    </row>
    <row r="74" spans="2:16" s="88" customFormat="1" ht="25.9" customHeight="1" x14ac:dyDescent="0.4">
      <c r="B74" s="120" t="s">
        <v>608</v>
      </c>
      <c r="C74" s="121"/>
      <c r="D74" s="570" t="s">
        <v>609</v>
      </c>
      <c r="E74" s="571"/>
      <c r="F74" s="571"/>
      <c r="G74" s="572"/>
      <c r="H74" s="1"/>
      <c r="I74" s="1"/>
      <c r="K74" s="548"/>
      <c r="L74" s="549"/>
      <c r="M74" s="549"/>
      <c r="N74" s="549"/>
      <c r="O74" s="550"/>
    </row>
    <row r="75" spans="2:16" s="88" customFormat="1" ht="25.9" customHeight="1" x14ac:dyDescent="0.4">
      <c r="K75" s="551"/>
      <c r="L75" s="552"/>
      <c r="M75" s="552"/>
      <c r="N75" s="552"/>
      <c r="O75" s="553"/>
    </row>
    <row r="76" spans="2:16" s="88" customFormat="1" ht="25.9" customHeight="1" x14ac:dyDescent="0.4">
      <c r="B76" s="120" t="s">
        <v>610</v>
      </c>
      <c r="C76" s="121"/>
      <c r="D76" s="537"/>
      <c r="E76" s="538"/>
      <c r="F76" s="539"/>
      <c r="K76" s="122" t="s">
        <v>611</v>
      </c>
      <c r="L76" s="533" t="s">
        <v>612</v>
      </c>
      <c r="M76" s="534"/>
      <c r="N76" s="534"/>
      <c r="O76" s="535"/>
      <c r="P76" s="123"/>
    </row>
    <row r="77" spans="2:16" ht="25.9" customHeight="1" x14ac:dyDescent="0.4">
      <c r="H77" s="88"/>
      <c r="I77" s="88"/>
      <c r="J77" s="88"/>
      <c r="K77" s="88"/>
    </row>
    <row r="78" spans="2:16" ht="15" x14ac:dyDescent="0.4">
      <c r="B78" s="115" t="s">
        <v>613</v>
      </c>
      <c r="H78" s="88"/>
      <c r="I78" s="88"/>
      <c r="J78" s="88"/>
      <c r="K78" s="88"/>
    </row>
    <row r="79" spans="2:16" ht="15" x14ac:dyDescent="0.4">
      <c r="B79" s="115" t="s">
        <v>614</v>
      </c>
      <c r="H79" s="88"/>
      <c r="I79" s="88"/>
      <c r="J79" s="88"/>
      <c r="K79" s="88"/>
    </row>
    <row r="80" spans="2:16" x14ac:dyDescent="0.35">
      <c r="B80" s="115" t="s">
        <v>615</v>
      </c>
    </row>
    <row r="83" spans="2:15" x14ac:dyDescent="0.35">
      <c r="O83" s="124" t="s">
        <v>616</v>
      </c>
    </row>
    <row r="84" spans="2:15" x14ac:dyDescent="0.35">
      <c r="O84" s="124" t="s">
        <v>524</v>
      </c>
    </row>
    <row r="85" spans="2:15" x14ac:dyDescent="0.35">
      <c r="O85" s="124" t="s">
        <v>19</v>
      </c>
    </row>
    <row r="86" spans="2:15" x14ac:dyDescent="0.35">
      <c r="B86" s="125" t="s">
        <v>681</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39" priority="2" stopIfTrue="1" operator="equal">
      <formula>"PASS"</formula>
    </cfRule>
    <cfRule type="cellIs" dxfId="38" priority="3" stopIfTrue="1" operator="equal">
      <formula>"FAIL"</formula>
    </cfRule>
  </conditionalFormatting>
  <conditionalFormatting sqref="G40 L40">
    <cfRule type="cellIs" dxfId="37" priority="5" stopIfTrue="1" operator="greaterThanOrEqual">
      <formula>1.19</formula>
    </cfRule>
    <cfRule type="cellIs" dxfId="36" priority="6" stopIfTrue="1" operator="lessThan">
      <formula>1.19</formula>
    </cfRule>
  </conditionalFormatting>
  <conditionalFormatting sqref="K72">
    <cfRule type="cellIs" dxfId="35" priority="7" stopIfTrue="1" operator="equal">
      <formula>"FAIL"</formula>
    </cfRule>
    <cfRule type="cellIs" dxfId="34" priority="8" stopIfTrue="1" operator="equal">
      <formula>"PASS - VERIFIED"</formula>
    </cfRule>
  </conditionalFormatting>
  <conditionalFormatting sqref="L28:L33">
    <cfRule type="cellIs" dxfId="33" priority="1" operator="between">
      <formula>-0.1</formula>
      <formula>0.1</formula>
    </cfRule>
  </conditionalFormatting>
  <conditionalFormatting sqref="O22">
    <cfRule type="cellIs" dxfId="3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1" t="s">
        <v>570</v>
      </c>
      <c r="C10" s="541"/>
      <c r="D10" s="541"/>
      <c r="E10" s="541"/>
      <c r="F10" s="541"/>
      <c r="G10" s="541"/>
      <c r="H10" s="541"/>
      <c r="I10" s="541"/>
      <c r="J10" s="541"/>
      <c r="K10" s="541"/>
      <c r="L10" s="541"/>
      <c r="M10" s="541"/>
      <c r="N10" s="541"/>
      <c r="O10" s="541"/>
      <c r="P10" s="541"/>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4" t="s">
        <v>682</v>
      </c>
      <c r="C13" s="554"/>
      <c r="D13" s="554"/>
      <c r="E13" s="554"/>
      <c r="F13" s="554"/>
      <c r="G13" s="554"/>
      <c r="H13" s="554"/>
      <c r="I13" s="554"/>
      <c r="J13" s="554"/>
      <c r="K13" s="554"/>
      <c r="L13" s="554"/>
      <c r="M13" s="554"/>
      <c r="N13" s="554"/>
      <c r="O13" s="554"/>
      <c r="P13" s="91"/>
    </row>
    <row r="14" spans="1:16" ht="77.25" customHeight="1" x14ac:dyDescent="0.35">
      <c r="A14" s="92"/>
      <c r="B14" s="554" t="s">
        <v>572</v>
      </c>
      <c r="C14" s="554"/>
      <c r="D14" s="554"/>
      <c r="E14" s="554"/>
      <c r="F14" s="554"/>
      <c r="G14" s="554"/>
      <c r="H14" s="554"/>
      <c r="I14" s="554"/>
      <c r="J14" s="554"/>
      <c r="K14" s="554"/>
      <c r="L14" s="554"/>
      <c r="M14" s="554"/>
      <c r="N14" s="554"/>
      <c r="O14" s="554"/>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25" t="str">
        <f>'Auto-Calibration record'!H14</f>
        <v>CML4W0M003</v>
      </c>
      <c r="E17" s="525"/>
      <c r="F17" s="525"/>
      <c r="K17" s="95" t="s">
        <v>574</v>
      </c>
      <c r="L17" s="96"/>
      <c r="M17" s="96"/>
      <c r="N17" s="97"/>
      <c r="O17" s="54" t="str">
        <f>'Auto-Calibration record'!H18</f>
        <v>12798M</v>
      </c>
    </row>
    <row r="18" spans="2:15" ht="25.9" customHeight="1" x14ac:dyDescent="0.45">
      <c r="B18" s="131" t="s">
        <v>575</v>
      </c>
      <c r="C18" s="132"/>
      <c r="D18" s="529" t="e">
        <f>'Auto-Calibration record'!#REF!&amp;'Auto-Calibration record'!H15</f>
        <v>#REF!</v>
      </c>
      <c r="E18" s="530"/>
      <c r="F18" s="531"/>
      <c r="K18" s="98" t="s">
        <v>576</v>
      </c>
      <c r="L18" s="99"/>
      <c r="M18" s="99"/>
      <c r="N18" s="100"/>
      <c r="O18" s="55" t="e">
        <f>'Auto-Calibration record'!H16</f>
        <v>#N/A</v>
      </c>
    </row>
    <row r="19" spans="2:15" ht="25.9" customHeight="1" x14ac:dyDescent="0.45">
      <c r="B19" s="131" t="s">
        <v>577</v>
      </c>
      <c r="C19" s="132"/>
      <c r="D19" s="529" t="e">
        <f>'Auto-Calibration record'!H17</f>
        <v>#N/A</v>
      </c>
      <c r="E19" s="530"/>
      <c r="F19" s="531"/>
      <c r="K19" s="95" t="s">
        <v>578</v>
      </c>
      <c r="L19" s="96"/>
      <c r="M19" s="96"/>
      <c r="N19" s="97"/>
      <c r="O19" s="56" t="e">
        <f>'Auto-Calibration record'!H19</f>
        <v>#N/A</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6" t="s">
        <v>582</v>
      </c>
      <c r="E26" s="526"/>
      <c r="F26" s="526" t="s">
        <v>583</v>
      </c>
      <c r="G26" s="526"/>
      <c r="H26" s="526" t="s">
        <v>584</v>
      </c>
      <c r="I26" s="526"/>
      <c r="J26" s="107" t="s">
        <v>585</v>
      </c>
      <c r="K26" s="107" t="s">
        <v>586</v>
      </c>
      <c r="L26" s="107" t="s">
        <v>587</v>
      </c>
    </row>
    <row r="27" spans="2:15" s="108" customFormat="1" ht="25.9" customHeight="1" x14ac:dyDescent="0.35">
      <c r="D27" s="527" t="s">
        <v>588</v>
      </c>
      <c r="E27" s="527"/>
      <c r="F27" s="527" t="s">
        <v>589</v>
      </c>
      <c r="G27" s="527"/>
      <c r="H27" s="527" t="s">
        <v>590</v>
      </c>
      <c r="I27" s="527"/>
      <c r="J27" s="109" t="s">
        <v>590</v>
      </c>
      <c r="K27" s="109" t="s">
        <v>590</v>
      </c>
      <c r="L27" s="109" t="s">
        <v>591</v>
      </c>
    </row>
    <row r="28" spans="2:15" s="108" customFormat="1" ht="25.9" customHeight="1" x14ac:dyDescent="0.35">
      <c r="D28" s="540" t="s">
        <v>592</v>
      </c>
      <c r="E28" s="540"/>
      <c r="F28" s="528" t="e">
        <f>'Auto-Calibration record'!B65</f>
        <v>#N/A</v>
      </c>
      <c r="G28" s="528"/>
      <c r="H28" s="523" t="e">
        <f>'Auto-Calibration record'!B68</f>
        <v>#N/A</v>
      </c>
      <c r="I28" s="569"/>
      <c r="J28" s="158" t="e">
        <f>'Auto-Calibration record'!I68</f>
        <v>#N/A</v>
      </c>
      <c r="K28" s="159" t="e">
        <f t="shared" ref="K28:K33" si="0">J28-H28</f>
        <v>#N/A</v>
      </c>
      <c r="L28" s="111" t="e">
        <f t="shared" ref="L28:L33" si="1">K28/H28</f>
        <v>#N/A</v>
      </c>
    </row>
    <row r="29" spans="2:15" s="108" customFormat="1" ht="25.9" customHeight="1" x14ac:dyDescent="0.35">
      <c r="D29" s="540" t="s">
        <v>593</v>
      </c>
      <c r="E29" s="540"/>
      <c r="F29" s="528" t="e">
        <f>'Auto-Calibration record'!C65</f>
        <v>#N/A</v>
      </c>
      <c r="G29" s="528"/>
      <c r="H29" s="523" t="e">
        <f>'Auto-Calibration record'!B69</f>
        <v>#N/A</v>
      </c>
      <c r="I29" s="569"/>
      <c r="J29" s="158" t="e">
        <f>'Auto-Calibration record'!I69</f>
        <v>#N/A</v>
      </c>
      <c r="K29" s="159" t="e">
        <f t="shared" si="0"/>
        <v>#N/A</v>
      </c>
      <c r="L29" s="111" t="e">
        <f t="shared" si="1"/>
        <v>#N/A</v>
      </c>
    </row>
    <row r="30" spans="2:15" s="108" customFormat="1" ht="25.9" customHeight="1" x14ac:dyDescent="0.35">
      <c r="D30" s="540" t="s">
        <v>594</v>
      </c>
      <c r="E30" s="540"/>
      <c r="F30" s="528" t="e">
        <f>'Auto-Calibration record'!D65</f>
        <v>#N/A</v>
      </c>
      <c r="G30" s="528"/>
      <c r="H30" s="523" t="e">
        <f>'Auto-Calibration record'!B70</f>
        <v>#N/A</v>
      </c>
      <c r="I30" s="569"/>
      <c r="J30" s="158" t="e">
        <f>'Auto-Calibration record'!I70</f>
        <v>#N/A</v>
      </c>
      <c r="K30" s="159" t="e">
        <f t="shared" si="0"/>
        <v>#N/A</v>
      </c>
      <c r="L30" s="111" t="e">
        <f t="shared" si="1"/>
        <v>#N/A</v>
      </c>
    </row>
    <row r="31" spans="2:15" s="108" customFormat="1" ht="25.9" customHeight="1" x14ac:dyDescent="0.35">
      <c r="D31" s="540" t="s">
        <v>595</v>
      </c>
      <c r="E31" s="540"/>
      <c r="F31" s="528" t="e">
        <f>'Auto-Calibration record'!E65</f>
        <v>#N/A</v>
      </c>
      <c r="G31" s="528"/>
      <c r="H31" s="523" t="e">
        <f>'Auto-Calibration record'!B71</f>
        <v>#N/A</v>
      </c>
      <c r="I31" s="569"/>
      <c r="J31" s="158" t="e">
        <f>'Auto-Calibration record'!I71</f>
        <v>#N/A</v>
      </c>
      <c r="K31" s="159" t="e">
        <f t="shared" si="0"/>
        <v>#N/A</v>
      </c>
      <c r="L31" s="111" t="e">
        <f t="shared" si="1"/>
        <v>#N/A</v>
      </c>
    </row>
    <row r="32" spans="2:15" s="108" customFormat="1" ht="25.9" customHeight="1" x14ac:dyDescent="0.35">
      <c r="D32" s="540" t="s">
        <v>596</v>
      </c>
      <c r="E32" s="540"/>
      <c r="F32" s="528" t="e">
        <f>'Auto-Calibration record'!F65</f>
        <v>#N/A</v>
      </c>
      <c r="G32" s="528"/>
      <c r="H32" s="523" t="e">
        <f>'Auto-Calibration record'!B72</f>
        <v>#N/A</v>
      </c>
      <c r="I32" s="569"/>
      <c r="J32" s="158" t="e">
        <f>'Auto-Calibration record'!I72</f>
        <v>#N/A</v>
      </c>
      <c r="K32" s="159" t="e">
        <f t="shared" si="0"/>
        <v>#N/A</v>
      </c>
      <c r="L32" s="111" t="e">
        <f t="shared" si="1"/>
        <v>#N/A</v>
      </c>
    </row>
    <row r="33" spans="2:12" s="108" customFormat="1" ht="25.9" customHeight="1" x14ac:dyDescent="0.35">
      <c r="D33" s="540" t="s">
        <v>597</v>
      </c>
      <c r="E33" s="540"/>
      <c r="F33" s="528" t="e">
        <f>'Auto-Calibration record'!G65</f>
        <v>#N/A</v>
      </c>
      <c r="G33" s="528"/>
      <c r="H33" s="523" t="e">
        <f>'Auto-Calibration record'!B73</f>
        <v>#N/A</v>
      </c>
      <c r="I33" s="569"/>
      <c r="J33" s="158" t="e">
        <f>'Auto-Calibration record'!I73</f>
        <v>#N/A</v>
      </c>
      <c r="K33" s="159" t="e">
        <f t="shared" si="0"/>
        <v>#N/A</v>
      </c>
      <c r="L33" s="111" t="e">
        <f t="shared" si="1"/>
        <v>#N/A</v>
      </c>
    </row>
    <row r="34" spans="2:12" s="108" customFormat="1" ht="25.9" customHeight="1" x14ac:dyDescent="0.35">
      <c r="D34" s="540" t="s">
        <v>598</v>
      </c>
      <c r="E34" s="540"/>
      <c r="F34" s="528" t="e">
        <f>'Auto-Calibration record'!H65</f>
        <v>#N/A</v>
      </c>
      <c r="G34" s="528"/>
      <c r="H34" s="523" t="e">
        <f>'Auto-Calibration record'!B74</f>
        <v>#N/A</v>
      </c>
      <c r="I34" s="569"/>
      <c r="J34" s="158" t="e">
        <f>'Auto-Calibration record'!I74</f>
        <v>#N/A</v>
      </c>
      <c r="K34" s="159" t="s">
        <v>23</v>
      </c>
      <c r="L34" s="112" t="s">
        <v>23</v>
      </c>
    </row>
    <row r="35" spans="2:12" s="102" customFormat="1" ht="25.9" customHeight="1" x14ac:dyDescent="0.45">
      <c r="D35" s="540" t="s">
        <v>599</v>
      </c>
      <c r="E35" s="540"/>
      <c r="F35" s="536" t="e">
        <f>'Auto-Calibration record'!I65</f>
        <v>#N/A</v>
      </c>
      <c r="G35" s="536"/>
      <c r="H35" s="523" t="e">
        <f>'Auto-Calibration record'!B75</f>
        <v>#N/A</v>
      </c>
      <c r="I35" s="569"/>
      <c r="J35" s="158" t="e">
        <f>'Auto-Calibration record'!I75</f>
        <v>#N/A</v>
      </c>
      <c r="K35" s="159" t="s">
        <v>23</v>
      </c>
      <c r="L35" s="112" t="s">
        <v>23</v>
      </c>
    </row>
    <row r="36" spans="2:12" ht="20.25" x14ac:dyDescent="0.55000000000000004">
      <c r="D36" s="113" t="s">
        <v>600</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601</v>
      </c>
      <c r="E38" s="526" t="s">
        <v>602</v>
      </c>
      <c r="F38" s="526"/>
      <c r="G38" s="526" t="s">
        <v>603</v>
      </c>
      <c r="H38" s="526"/>
      <c r="I38" s="108"/>
      <c r="J38" s="107" t="s">
        <v>679</v>
      </c>
      <c r="K38" s="107" t="s">
        <v>680</v>
      </c>
      <c r="L38" s="107" t="s">
        <v>603</v>
      </c>
    </row>
    <row r="39" spans="2:12" ht="25.9" customHeight="1" x14ac:dyDescent="0.35">
      <c r="B39" s="115"/>
      <c r="D39" s="109" t="s">
        <v>589</v>
      </c>
      <c r="E39" s="527" t="s">
        <v>589</v>
      </c>
      <c r="F39" s="527"/>
      <c r="G39" s="527" t="s">
        <v>604</v>
      </c>
      <c r="H39" s="527"/>
      <c r="I39" s="116"/>
      <c r="J39" s="109" t="s">
        <v>589</v>
      </c>
      <c r="K39" s="109" t="s">
        <v>589</v>
      </c>
      <c r="L39" s="109" t="s">
        <v>604</v>
      </c>
    </row>
    <row r="40" spans="2:12" ht="25.9" customHeight="1" x14ac:dyDescent="0.35">
      <c r="B40" s="115"/>
      <c r="D40" s="129">
        <f>'Auto-Calibration record'!B17</f>
        <v>0</v>
      </c>
      <c r="E40" s="523" t="e">
        <f>F28-D40</f>
        <v>#N/A</v>
      </c>
      <c r="F40" s="523"/>
      <c r="G40" s="532" t="e">
        <f>F28/D40</f>
        <v>#N/A</v>
      </c>
      <c r="H40" s="532"/>
      <c r="I40" s="116"/>
      <c r="J40" s="129" t="e">
        <f>'Auto-Calibration record'!B11</f>
        <v>#N/A</v>
      </c>
      <c r="K40" s="159" t="e">
        <f>F29-J40</f>
        <v>#N/A</v>
      </c>
      <c r="L40" s="151" t="e">
        <f>F29/J40</f>
        <v>#N/A</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45" t="s">
        <v>607</v>
      </c>
      <c r="L72" s="546"/>
      <c r="M72" s="546"/>
      <c r="N72" s="546"/>
      <c r="O72" s="547"/>
    </row>
    <row r="73" spans="2:16" s="88" customFormat="1" ht="25.9" customHeight="1" x14ac:dyDescent="0.4">
      <c r="H73" s="1"/>
      <c r="I73" s="1"/>
      <c r="K73" s="548"/>
      <c r="L73" s="549"/>
      <c r="M73" s="549"/>
      <c r="N73" s="549"/>
      <c r="O73" s="550"/>
    </row>
    <row r="74" spans="2:16" s="88" customFormat="1" ht="25.9" customHeight="1" x14ac:dyDescent="0.4">
      <c r="B74" s="120" t="s">
        <v>608</v>
      </c>
      <c r="C74" s="121"/>
      <c r="D74" s="570" t="s">
        <v>609</v>
      </c>
      <c r="E74" s="571"/>
      <c r="F74" s="571"/>
      <c r="G74" s="572"/>
      <c r="H74" s="1"/>
      <c r="I74" s="1"/>
      <c r="K74" s="548"/>
      <c r="L74" s="549"/>
      <c r="M74" s="549"/>
      <c r="N74" s="549"/>
      <c r="O74" s="550"/>
    </row>
    <row r="75" spans="2:16" s="88" customFormat="1" ht="25.9" customHeight="1" x14ac:dyDescent="0.4">
      <c r="K75" s="551"/>
      <c r="L75" s="552"/>
      <c r="M75" s="552"/>
      <c r="N75" s="552"/>
      <c r="O75" s="553"/>
    </row>
    <row r="76" spans="2:16" s="88" customFormat="1" ht="25.9" customHeight="1" x14ac:dyDescent="0.4">
      <c r="B76" s="120" t="s">
        <v>610</v>
      </c>
      <c r="C76" s="121"/>
      <c r="D76" s="537"/>
      <c r="E76" s="538"/>
      <c r="F76" s="539"/>
      <c r="K76" s="122" t="s">
        <v>611</v>
      </c>
      <c r="L76" s="533" t="s">
        <v>612</v>
      </c>
      <c r="M76" s="534"/>
      <c r="N76" s="534"/>
      <c r="O76" s="535"/>
      <c r="P76" s="123"/>
    </row>
    <row r="77" spans="2:16" ht="25.9" customHeight="1" x14ac:dyDescent="0.4">
      <c r="H77" s="88"/>
      <c r="I77" s="88"/>
      <c r="J77" s="88"/>
      <c r="K77" s="88"/>
    </row>
    <row r="78" spans="2:16" ht="15" x14ac:dyDescent="0.4">
      <c r="B78" s="115" t="s">
        <v>613</v>
      </c>
      <c r="H78" s="88"/>
      <c r="I78" s="88"/>
      <c r="J78" s="88"/>
      <c r="K78" s="88"/>
    </row>
    <row r="79" spans="2:16" ht="15" x14ac:dyDescent="0.4">
      <c r="B79" s="115" t="s">
        <v>614</v>
      </c>
      <c r="H79" s="88"/>
      <c r="I79" s="88"/>
      <c r="J79" s="88"/>
      <c r="K79" s="88"/>
    </row>
    <row r="80" spans="2:16" x14ac:dyDescent="0.35">
      <c r="B80" s="115" t="s">
        <v>615</v>
      </c>
    </row>
    <row r="83" spans="2:15" x14ac:dyDescent="0.35">
      <c r="O83" s="124" t="s">
        <v>616</v>
      </c>
    </row>
    <row r="84" spans="2:15" x14ac:dyDescent="0.35">
      <c r="O84" s="124" t="s">
        <v>524</v>
      </c>
    </row>
    <row r="85" spans="2:15" x14ac:dyDescent="0.35">
      <c r="O85" s="124" t="s">
        <v>19</v>
      </c>
    </row>
    <row r="86" spans="2:15" x14ac:dyDescent="0.35">
      <c r="B86" s="125" t="s">
        <v>681</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31" priority="2" stopIfTrue="1" operator="equal">
      <formula>"PASS"</formula>
    </cfRule>
    <cfRule type="cellIs" dxfId="30" priority="3" stopIfTrue="1" operator="equal">
      <formula>"FAIL"</formula>
    </cfRule>
  </conditionalFormatting>
  <conditionalFormatting sqref="G40 L40">
    <cfRule type="cellIs" dxfId="29" priority="5" stopIfTrue="1" operator="greaterThanOrEqual">
      <formula>1.19</formula>
    </cfRule>
    <cfRule type="cellIs" dxfId="28" priority="6" stopIfTrue="1" operator="lessThan">
      <formula>1.19</formula>
    </cfRule>
  </conditionalFormatting>
  <conditionalFormatting sqref="K72">
    <cfRule type="cellIs" dxfId="27" priority="7" stopIfTrue="1" operator="equal">
      <formula>"FAIL"</formula>
    </cfRule>
    <cfRule type="cellIs" dxfId="26" priority="8" stopIfTrue="1" operator="equal">
      <formula>"PASS - VERIFIED"</formula>
    </cfRule>
  </conditionalFormatting>
  <conditionalFormatting sqref="L28:L33">
    <cfRule type="cellIs" dxfId="25" priority="1" operator="between">
      <formula>-0.1</formula>
      <formula>0.1</formula>
    </cfRule>
  </conditionalFormatting>
  <conditionalFormatting sqref="O22">
    <cfRule type="cellIs" dxfId="2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563</v>
      </c>
      <c r="C2" s="83"/>
    </row>
    <row r="3" spans="1:16" ht="13.5" x14ac:dyDescent="0.35">
      <c r="B3" s="87" t="s">
        <v>617</v>
      </c>
      <c r="C3" s="83"/>
    </row>
    <row r="4" spans="1:16" ht="13.5" x14ac:dyDescent="0.35">
      <c r="B4" s="87" t="s">
        <v>618</v>
      </c>
      <c r="C4" s="83"/>
    </row>
    <row r="5" spans="1:16" ht="13.5" x14ac:dyDescent="0.35">
      <c r="B5" s="87" t="s">
        <v>566</v>
      </c>
      <c r="C5" s="83"/>
    </row>
    <row r="6" spans="1:16" ht="13.5" x14ac:dyDescent="0.35">
      <c r="B6" s="87" t="s">
        <v>619</v>
      </c>
      <c r="C6" s="83"/>
    </row>
    <row r="7" spans="1:16" ht="15" x14ac:dyDescent="0.4">
      <c r="B7" s="87" t="s">
        <v>620</v>
      </c>
      <c r="C7" s="83"/>
      <c r="D7" s="88"/>
    </row>
    <row r="8" spans="1:16" ht="13.5" x14ac:dyDescent="0.35">
      <c r="B8" s="53" t="s">
        <v>569</v>
      </c>
      <c r="C8" s="83"/>
    </row>
    <row r="9" spans="1:16" ht="13.5" x14ac:dyDescent="0.35">
      <c r="B9" s="53"/>
      <c r="C9" s="83"/>
    </row>
    <row r="10" spans="1:16" ht="37.5" customHeight="1" x14ac:dyDescent="0.85">
      <c r="B10" s="541" t="s">
        <v>570</v>
      </c>
      <c r="C10" s="541"/>
      <c r="D10" s="541"/>
      <c r="E10" s="541"/>
      <c r="F10" s="541"/>
      <c r="G10" s="541"/>
      <c r="H10" s="541"/>
      <c r="I10" s="541"/>
      <c r="J10" s="541"/>
      <c r="K10" s="541"/>
      <c r="L10" s="541"/>
      <c r="M10" s="541"/>
      <c r="N10" s="541"/>
      <c r="O10" s="541"/>
      <c r="P10" s="541"/>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4" t="s">
        <v>668</v>
      </c>
      <c r="C13" s="554"/>
      <c r="D13" s="554"/>
      <c r="E13" s="554"/>
      <c r="F13" s="554"/>
      <c r="G13" s="554"/>
      <c r="H13" s="554"/>
      <c r="I13" s="554"/>
      <c r="J13" s="554"/>
      <c r="K13" s="554"/>
      <c r="L13" s="554"/>
      <c r="M13" s="554"/>
      <c r="N13" s="554"/>
      <c r="O13" s="554"/>
      <c r="P13" s="91"/>
    </row>
    <row r="14" spans="1:16" ht="77.25" customHeight="1" x14ac:dyDescent="0.35">
      <c r="A14" s="92"/>
      <c r="B14" s="554" t="s">
        <v>572</v>
      </c>
      <c r="C14" s="554"/>
      <c r="D14" s="554"/>
      <c r="E14" s="554"/>
      <c r="F14" s="554"/>
      <c r="G14" s="554"/>
      <c r="H14" s="554"/>
      <c r="I14" s="554"/>
      <c r="J14" s="554"/>
      <c r="K14" s="554"/>
      <c r="L14" s="554"/>
      <c r="M14" s="554"/>
      <c r="N14" s="554"/>
      <c r="O14" s="554"/>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25" t="str">
        <f>'Auto-Calibration record'!H14</f>
        <v>CML4W0M003</v>
      </c>
      <c r="E17" s="525"/>
      <c r="F17" s="525"/>
      <c r="K17" s="95" t="s">
        <v>574</v>
      </c>
      <c r="L17" s="96"/>
      <c r="M17" s="96"/>
      <c r="N17" s="97"/>
      <c r="O17" s="54" t="str">
        <f>'Auto-Calibration record'!H18</f>
        <v>12798M</v>
      </c>
    </row>
    <row r="18" spans="2:15" ht="25.9" customHeight="1" x14ac:dyDescent="0.45">
      <c r="B18" s="131" t="s">
        <v>575</v>
      </c>
      <c r="C18" s="132"/>
      <c r="D18" s="529" t="e">
        <f>'Auto-Calibration record'!#REF!&amp;'Auto-Calibration record'!H15</f>
        <v>#REF!</v>
      </c>
      <c r="E18" s="530"/>
      <c r="F18" s="531"/>
      <c r="K18" s="98" t="s">
        <v>576</v>
      </c>
      <c r="L18" s="99"/>
      <c r="M18" s="99"/>
      <c r="N18" s="100"/>
      <c r="O18" s="55" t="e">
        <f>'Auto-Calibration record'!H16</f>
        <v>#N/A</v>
      </c>
    </row>
    <row r="19" spans="2:15" ht="25.9" customHeight="1" x14ac:dyDescent="0.45">
      <c r="B19" s="131" t="s">
        <v>577</v>
      </c>
      <c r="C19" s="132"/>
      <c r="D19" s="529" t="e">
        <f>'Auto-Calibration record'!H17</f>
        <v>#N/A</v>
      </c>
      <c r="E19" s="530"/>
      <c r="F19" s="531"/>
      <c r="K19" s="95" t="s">
        <v>578</v>
      </c>
      <c r="L19" s="96"/>
      <c r="M19" s="96"/>
      <c r="N19" s="97"/>
      <c r="O19" s="56" t="e">
        <f>'Auto-Calibration record'!H19</f>
        <v>#N/A</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6" t="s">
        <v>582</v>
      </c>
      <c r="E26" s="526"/>
      <c r="F26" s="526" t="s">
        <v>583</v>
      </c>
      <c r="G26" s="526"/>
      <c r="H26" s="526" t="s">
        <v>584</v>
      </c>
      <c r="I26" s="526"/>
      <c r="J26" s="107" t="s">
        <v>585</v>
      </c>
      <c r="K26" s="107" t="s">
        <v>586</v>
      </c>
      <c r="L26" s="107" t="s">
        <v>587</v>
      </c>
    </row>
    <row r="27" spans="2:15" s="108" customFormat="1" ht="25.9" customHeight="1" x14ac:dyDescent="0.35">
      <c r="D27" s="527" t="s">
        <v>588</v>
      </c>
      <c r="E27" s="527"/>
      <c r="F27" s="527" t="s">
        <v>589</v>
      </c>
      <c r="G27" s="527"/>
      <c r="H27" s="527" t="s">
        <v>590</v>
      </c>
      <c r="I27" s="527"/>
      <c r="J27" s="109" t="s">
        <v>590</v>
      </c>
      <c r="K27" s="109" t="s">
        <v>590</v>
      </c>
      <c r="L27" s="109" t="s">
        <v>591</v>
      </c>
    </row>
    <row r="28" spans="2:15" s="108" customFormat="1" ht="25.9" customHeight="1" x14ac:dyDescent="0.35">
      <c r="D28" s="540" t="s">
        <v>592</v>
      </c>
      <c r="E28" s="540"/>
      <c r="F28" s="528" t="e">
        <f>'Auto-Calibration record'!B65</f>
        <v>#N/A</v>
      </c>
      <c r="G28" s="528"/>
      <c r="H28" s="523" t="e">
        <f>'Auto-Calibration record'!B68</f>
        <v>#N/A</v>
      </c>
      <c r="I28" s="569"/>
      <c r="J28" s="158" t="e">
        <f>'Auto-Calibration record'!I68</f>
        <v>#N/A</v>
      </c>
      <c r="K28" s="159" t="e">
        <f t="shared" ref="K28:K33" si="0">J28-H28</f>
        <v>#N/A</v>
      </c>
      <c r="L28" s="111" t="e">
        <f t="shared" ref="L28:L33" si="1">K28/H28</f>
        <v>#N/A</v>
      </c>
    </row>
    <row r="29" spans="2:15" s="108" customFormat="1" ht="25.9" customHeight="1" x14ac:dyDescent="0.35">
      <c r="D29" s="540" t="s">
        <v>593</v>
      </c>
      <c r="E29" s="540"/>
      <c r="F29" s="528" t="e">
        <f>'Auto-Calibration record'!C65</f>
        <v>#N/A</v>
      </c>
      <c r="G29" s="528"/>
      <c r="H29" s="523" t="e">
        <f>'Auto-Calibration record'!B69</f>
        <v>#N/A</v>
      </c>
      <c r="I29" s="569"/>
      <c r="J29" s="158" t="e">
        <f>'Auto-Calibration record'!I69</f>
        <v>#N/A</v>
      </c>
      <c r="K29" s="159" t="e">
        <f t="shared" si="0"/>
        <v>#N/A</v>
      </c>
      <c r="L29" s="111" t="e">
        <f t="shared" si="1"/>
        <v>#N/A</v>
      </c>
    </row>
    <row r="30" spans="2:15" s="108" customFormat="1" ht="25.9" customHeight="1" x14ac:dyDescent="0.35">
      <c r="D30" s="540" t="s">
        <v>594</v>
      </c>
      <c r="E30" s="540"/>
      <c r="F30" s="528" t="e">
        <f>'Auto-Calibration record'!D65</f>
        <v>#N/A</v>
      </c>
      <c r="G30" s="528"/>
      <c r="H30" s="523" t="e">
        <f>'Auto-Calibration record'!B70</f>
        <v>#N/A</v>
      </c>
      <c r="I30" s="569"/>
      <c r="J30" s="158" t="e">
        <f>'Auto-Calibration record'!I70</f>
        <v>#N/A</v>
      </c>
      <c r="K30" s="159" t="e">
        <f t="shared" si="0"/>
        <v>#N/A</v>
      </c>
      <c r="L30" s="111" t="e">
        <f t="shared" si="1"/>
        <v>#N/A</v>
      </c>
    </row>
    <row r="31" spans="2:15" s="108" customFormat="1" ht="25.9" customHeight="1" x14ac:dyDescent="0.35">
      <c r="D31" s="540" t="s">
        <v>595</v>
      </c>
      <c r="E31" s="540"/>
      <c r="F31" s="528" t="e">
        <f>'Auto-Calibration record'!E65</f>
        <v>#N/A</v>
      </c>
      <c r="G31" s="528"/>
      <c r="H31" s="523" t="e">
        <f>'Auto-Calibration record'!B71</f>
        <v>#N/A</v>
      </c>
      <c r="I31" s="569"/>
      <c r="J31" s="158" t="e">
        <f>'Auto-Calibration record'!I71</f>
        <v>#N/A</v>
      </c>
      <c r="K31" s="159" t="e">
        <f t="shared" si="0"/>
        <v>#N/A</v>
      </c>
      <c r="L31" s="111" t="e">
        <f t="shared" si="1"/>
        <v>#N/A</v>
      </c>
    </row>
    <row r="32" spans="2:15" s="108" customFormat="1" ht="25.9" customHeight="1" x14ac:dyDescent="0.35">
      <c r="D32" s="540" t="s">
        <v>596</v>
      </c>
      <c r="E32" s="540"/>
      <c r="F32" s="528" t="e">
        <f>'Auto-Calibration record'!F65</f>
        <v>#N/A</v>
      </c>
      <c r="G32" s="528"/>
      <c r="H32" s="523" t="e">
        <f>'Auto-Calibration record'!B72</f>
        <v>#N/A</v>
      </c>
      <c r="I32" s="569"/>
      <c r="J32" s="158" t="e">
        <f>'Auto-Calibration record'!I72</f>
        <v>#N/A</v>
      </c>
      <c r="K32" s="159" t="e">
        <f t="shared" si="0"/>
        <v>#N/A</v>
      </c>
      <c r="L32" s="111" t="e">
        <f t="shared" si="1"/>
        <v>#N/A</v>
      </c>
    </row>
    <row r="33" spans="2:12" s="108" customFormat="1" ht="25.9" customHeight="1" x14ac:dyDescent="0.35">
      <c r="D33" s="540" t="s">
        <v>597</v>
      </c>
      <c r="E33" s="540"/>
      <c r="F33" s="528" t="e">
        <f>'Auto-Calibration record'!G65</f>
        <v>#N/A</v>
      </c>
      <c r="G33" s="528"/>
      <c r="H33" s="523" t="e">
        <f>'Auto-Calibration record'!B73</f>
        <v>#N/A</v>
      </c>
      <c r="I33" s="569"/>
      <c r="J33" s="158" t="e">
        <f>'Auto-Calibration record'!I73</f>
        <v>#N/A</v>
      </c>
      <c r="K33" s="159" t="e">
        <f t="shared" si="0"/>
        <v>#N/A</v>
      </c>
      <c r="L33" s="111" t="e">
        <f t="shared" si="1"/>
        <v>#N/A</v>
      </c>
    </row>
    <row r="34" spans="2:12" s="108" customFormat="1" ht="25.9" customHeight="1" x14ac:dyDescent="0.35">
      <c r="D34" s="540" t="s">
        <v>598</v>
      </c>
      <c r="E34" s="540"/>
      <c r="F34" s="528" t="e">
        <f>'Auto-Calibration record'!H65</f>
        <v>#N/A</v>
      </c>
      <c r="G34" s="528"/>
      <c r="H34" s="523" t="e">
        <f>'Auto-Calibration record'!B74</f>
        <v>#N/A</v>
      </c>
      <c r="I34" s="569"/>
      <c r="J34" s="158" t="e">
        <f>'Auto-Calibration record'!I74</f>
        <v>#N/A</v>
      </c>
      <c r="K34" s="159" t="s">
        <v>23</v>
      </c>
      <c r="L34" s="112" t="s">
        <v>23</v>
      </c>
    </row>
    <row r="35" spans="2:12" s="102" customFormat="1" ht="25.9" customHeight="1" x14ac:dyDescent="0.45">
      <c r="D35" s="540" t="s">
        <v>599</v>
      </c>
      <c r="E35" s="540"/>
      <c r="F35" s="536" t="e">
        <f>'Auto-Calibration record'!I65</f>
        <v>#N/A</v>
      </c>
      <c r="G35" s="536"/>
      <c r="H35" s="523" t="e">
        <f>'Auto-Calibration record'!B75</f>
        <v>#N/A</v>
      </c>
      <c r="I35" s="569"/>
      <c r="J35" s="158" t="e">
        <f>'Auto-Calibration record'!I75</f>
        <v>#N/A</v>
      </c>
      <c r="K35" s="159" t="s">
        <v>23</v>
      </c>
      <c r="L35" s="112" t="s">
        <v>23</v>
      </c>
    </row>
    <row r="36" spans="2:12" ht="20.25" x14ac:dyDescent="0.55000000000000004">
      <c r="D36" s="113" t="s">
        <v>600</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601</v>
      </c>
      <c r="E38" s="526" t="s">
        <v>602</v>
      </c>
      <c r="F38" s="526"/>
      <c r="G38" s="526" t="s">
        <v>603</v>
      </c>
      <c r="H38" s="526"/>
      <c r="I38" s="108"/>
      <c r="J38" s="107" t="s">
        <v>679</v>
      </c>
      <c r="K38" s="107" t="s">
        <v>680</v>
      </c>
      <c r="L38" s="107" t="s">
        <v>603</v>
      </c>
    </row>
    <row r="39" spans="2:12" ht="25.9" customHeight="1" x14ac:dyDescent="0.35">
      <c r="B39" s="115"/>
      <c r="D39" s="109" t="s">
        <v>589</v>
      </c>
      <c r="E39" s="527" t="s">
        <v>589</v>
      </c>
      <c r="F39" s="527"/>
      <c r="G39" s="527" t="s">
        <v>604</v>
      </c>
      <c r="H39" s="527"/>
      <c r="I39" s="116"/>
      <c r="J39" s="109" t="s">
        <v>589</v>
      </c>
      <c r="K39" s="109" t="s">
        <v>589</v>
      </c>
      <c r="L39" s="109" t="s">
        <v>604</v>
      </c>
    </row>
    <row r="40" spans="2:12" ht="25.9" customHeight="1" x14ac:dyDescent="0.35">
      <c r="B40" s="115"/>
      <c r="D40" s="129">
        <f>'Auto-Calibration record'!B17</f>
        <v>0</v>
      </c>
      <c r="E40" s="523" t="e">
        <f>F28-D40</f>
        <v>#N/A</v>
      </c>
      <c r="F40" s="523"/>
      <c r="G40" s="532" t="e">
        <f>F28/D40</f>
        <v>#N/A</v>
      </c>
      <c r="H40" s="532"/>
      <c r="I40" s="116"/>
      <c r="J40" s="129" t="e">
        <f>'Auto-Calibration record'!B11</f>
        <v>#N/A</v>
      </c>
      <c r="K40" s="159" t="e">
        <f>F29-J40</f>
        <v>#N/A</v>
      </c>
      <c r="L40" s="151" t="e">
        <f>F29/J40</f>
        <v>#N/A</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45" t="s">
        <v>607</v>
      </c>
      <c r="L72" s="546"/>
      <c r="M72" s="546"/>
      <c r="N72" s="546"/>
      <c r="O72" s="547"/>
    </row>
    <row r="73" spans="2:16" s="88" customFormat="1" ht="25.9" customHeight="1" x14ac:dyDescent="0.4">
      <c r="H73" s="1"/>
      <c r="I73" s="1"/>
      <c r="K73" s="548"/>
      <c r="L73" s="549"/>
      <c r="M73" s="549"/>
      <c r="N73" s="549"/>
      <c r="O73" s="550"/>
    </row>
    <row r="74" spans="2:16" s="88" customFormat="1" ht="25.9" customHeight="1" x14ac:dyDescent="0.4">
      <c r="B74" s="120" t="s">
        <v>608</v>
      </c>
      <c r="C74" s="121"/>
      <c r="D74" s="570" t="s">
        <v>609</v>
      </c>
      <c r="E74" s="571"/>
      <c r="F74" s="571"/>
      <c r="G74" s="572"/>
      <c r="H74" s="1"/>
      <c r="I74" s="1"/>
      <c r="K74" s="548"/>
      <c r="L74" s="549"/>
      <c r="M74" s="549"/>
      <c r="N74" s="549"/>
      <c r="O74" s="550"/>
    </row>
    <row r="75" spans="2:16" s="88" customFormat="1" ht="25.9" customHeight="1" x14ac:dyDescent="0.4">
      <c r="K75" s="551"/>
      <c r="L75" s="552"/>
      <c r="M75" s="552"/>
      <c r="N75" s="552"/>
      <c r="O75" s="553"/>
    </row>
    <row r="76" spans="2:16" s="88" customFormat="1" ht="25.9" customHeight="1" x14ac:dyDescent="0.4">
      <c r="B76" s="120" t="s">
        <v>610</v>
      </c>
      <c r="C76" s="121"/>
      <c r="D76" s="537"/>
      <c r="E76" s="538"/>
      <c r="F76" s="539"/>
      <c r="K76" s="122" t="s">
        <v>611</v>
      </c>
      <c r="L76" s="533" t="s">
        <v>612</v>
      </c>
      <c r="M76" s="534"/>
      <c r="N76" s="534"/>
      <c r="O76" s="535"/>
      <c r="P76" s="123"/>
    </row>
    <row r="77" spans="2:16" ht="25.9" customHeight="1" x14ac:dyDescent="0.4">
      <c r="H77" s="88"/>
      <c r="I77" s="88"/>
      <c r="J77" s="88"/>
      <c r="K77" s="88"/>
    </row>
    <row r="78" spans="2:16" ht="17.649999999999999" x14ac:dyDescent="0.4">
      <c r="B78" s="115" t="s">
        <v>613</v>
      </c>
      <c r="H78" s="88"/>
      <c r="I78" s="88"/>
      <c r="J78" s="136" t="s">
        <v>683</v>
      </c>
      <c r="M78" s="574" t="s">
        <v>684</v>
      </c>
      <c r="N78" s="575"/>
      <c r="O78" s="576"/>
    </row>
    <row r="79" spans="2:16" ht="15" x14ac:dyDescent="0.4">
      <c r="B79" s="115" t="s">
        <v>614</v>
      </c>
      <c r="H79" s="88"/>
      <c r="I79" s="88"/>
      <c r="M79" s="577" t="s">
        <v>685</v>
      </c>
      <c r="N79" s="578"/>
      <c r="O79" s="579"/>
    </row>
    <row r="80" spans="2:16" ht="13.15" x14ac:dyDescent="0.35">
      <c r="B80" s="115" t="s">
        <v>615</v>
      </c>
      <c r="M80" s="577" t="s">
        <v>686</v>
      </c>
      <c r="N80" s="578"/>
      <c r="O80" s="579"/>
    </row>
    <row r="81" spans="2:15" ht="13.15" x14ac:dyDescent="0.35">
      <c r="M81" s="580" t="s">
        <v>687</v>
      </c>
      <c r="N81" s="581"/>
      <c r="O81" s="582"/>
    </row>
    <row r="83" spans="2:15" x14ac:dyDescent="0.35">
      <c r="O83" s="124" t="s">
        <v>616</v>
      </c>
    </row>
    <row r="84" spans="2:15" x14ac:dyDescent="0.35">
      <c r="O84" s="124" t="s">
        <v>524</v>
      </c>
    </row>
    <row r="85" spans="2:15" x14ac:dyDescent="0.35">
      <c r="O85" s="124" t="s">
        <v>19</v>
      </c>
    </row>
    <row r="86" spans="2:15" x14ac:dyDescent="0.35">
      <c r="B86" s="125" t="s">
        <v>681</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23" priority="2" stopIfTrue="1" operator="equal">
      <formula>"PASS"</formula>
    </cfRule>
    <cfRule type="cellIs" dxfId="22" priority="3" stopIfTrue="1" operator="equal">
      <formula>"FAIL"</formula>
    </cfRule>
  </conditionalFormatting>
  <conditionalFormatting sqref="G40 L40">
    <cfRule type="cellIs" dxfId="21" priority="5" stopIfTrue="1" operator="greaterThanOrEqual">
      <formula>1.19</formula>
    </cfRule>
    <cfRule type="cellIs" dxfId="20" priority="6" stopIfTrue="1" operator="lessThan">
      <formula>1.19</formula>
    </cfRule>
  </conditionalFormatting>
  <conditionalFormatting sqref="K72">
    <cfRule type="cellIs" dxfId="19" priority="7" stopIfTrue="1" operator="equal">
      <formula>"FAIL"</formula>
    </cfRule>
    <cfRule type="cellIs" dxfId="18" priority="8" stopIfTrue="1" operator="equal">
      <formula>"PASS - VERIFIED"</formula>
    </cfRule>
  </conditionalFormatting>
  <conditionalFormatting sqref="L28:L33">
    <cfRule type="cellIs" dxfId="17" priority="1" operator="between">
      <formula>-0.1</formula>
      <formula>0.1</formula>
    </cfRule>
  </conditionalFormatting>
  <conditionalFormatting sqref="O22">
    <cfRule type="cellIs" dxfId="1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1" t="s">
        <v>570</v>
      </c>
      <c r="C10" s="541"/>
      <c r="D10" s="541"/>
      <c r="E10" s="541"/>
      <c r="F10" s="541"/>
      <c r="G10" s="541"/>
      <c r="H10" s="541"/>
      <c r="I10" s="541"/>
      <c r="J10" s="541"/>
      <c r="K10" s="541"/>
      <c r="L10" s="541"/>
      <c r="M10" s="541"/>
      <c r="N10" s="541"/>
      <c r="O10" s="541"/>
      <c r="P10" s="541"/>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4" t="s">
        <v>682</v>
      </c>
      <c r="C13" s="554"/>
      <c r="D13" s="554"/>
      <c r="E13" s="554"/>
      <c r="F13" s="554"/>
      <c r="G13" s="554"/>
      <c r="H13" s="554"/>
      <c r="I13" s="554"/>
      <c r="J13" s="554"/>
      <c r="K13" s="554"/>
      <c r="L13" s="554"/>
      <c r="M13" s="554"/>
      <c r="N13" s="554"/>
      <c r="O13" s="554"/>
      <c r="P13" s="91"/>
    </row>
    <row r="14" spans="1:16" ht="66" customHeight="1" x14ac:dyDescent="0.35">
      <c r="A14" s="92"/>
      <c r="B14" s="554" t="s">
        <v>572</v>
      </c>
      <c r="C14" s="554"/>
      <c r="D14" s="554"/>
      <c r="E14" s="554"/>
      <c r="F14" s="554"/>
      <c r="G14" s="554"/>
      <c r="H14" s="554"/>
      <c r="I14" s="554"/>
      <c r="J14" s="554"/>
      <c r="K14" s="554"/>
      <c r="L14" s="554"/>
      <c r="M14" s="554"/>
      <c r="N14" s="554"/>
      <c r="O14" s="554"/>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25" t="str">
        <f>'Auto-Calibration record'!H14</f>
        <v>CML4W0M003</v>
      </c>
      <c r="E17" s="525"/>
      <c r="F17" s="525"/>
      <c r="K17" s="95" t="s">
        <v>574</v>
      </c>
      <c r="L17" s="96"/>
      <c r="M17" s="96"/>
      <c r="N17" s="97"/>
      <c r="O17" s="54" t="str">
        <f>'Auto-Calibration record'!H18</f>
        <v>12798M</v>
      </c>
    </row>
    <row r="18" spans="2:15" ht="25.9" customHeight="1" x14ac:dyDescent="0.45">
      <c r="B18" s="131" t="s">
        <v>575</v>
      </c>
      <c r="C18" s="132"/>
      <c r="D18" s="529" t="e">
        <f>'Auto-Calibration record'!#REF!&amp;'Auto-Calibration record'!H15</f>
        <v>#REF!</v>
      </c>
      <c r="E18" s="530"/>
      <c r="F18" s="531"/>
      <c r="K18" s="98" t="s">
        <v>576</v>
      </c>
      <c r="L18" s="99"/>
      <c r="M18" s="99"/>
      <c r="N18" s="100"/>
      <c r="O18" s="55" t="e">
        <f>'Auto-Calibration record'!H16</f>
        <v>#N/A</v>
      </c>
    </row>
    <row r="19" spans="2:15" ht="25.9" customHeight="1" x14ac:dyDescent="0.45">
      <c r="B19" s="131" t="s">
        <v>577</v>
      </c>
      <c r="C19" s="132"/>
      <c r="D19" s="529" t="e">
        <f>'Auto-Calibration record'!H17</f>
        <v>#N/A</v>
      </c>
      <c r="E19" s="530"/>
      <c r="F19" s="531"/>
      <c r="K19" s="95" t="s">
        <v>578</v>
      </c>
      <c r="L19" s="96"/>
      <c r="M19" s="96"/>
      <c r="N19" s="97"/>
      <c r="O19" s="56" t="e">
        <f>'Auto-Calibration record'!H19</f>
        <v>#N/A</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6" t="s">
        <v>582</v>
      </c>
      <c r="E26" s="526"/>
      <c r="F26" s="526" t="s">
        <v>583</v>
      </c>
      <c r="G26" s="526"/>
      <c r="H26" s="526" t="s">
        <v>584</v>
      </c>
      <c r="I26" s="526"/>
      <c r="J26" s="107" t="s">
        <v>585</v>
      </c>
      <c r="K26" s="107" t="s">
        <v>586</v>
      </c>
      <c r="L26" s="107" t="s">
        <v>587</v>
      </c>
    </row>
    <row r="27" spans="2:15" s="108" customFormat="1" ht="25.9" customHeight="1" x14ac:dyDescent="0.35">
      <c r="D27" s="527" t="s">
        <v>588</v>
      </c>
      <c r="E27" s="527"/>
      <c r="F27" s="527" t="s">
        <v>589</v>
      </c>
      <c r="G27" s="527"/>
      <c r="H27" s="527" t="s">
        <v>590</v>
      </c>
      <c r="I27" s="527"/>
      <c r="J27" s="109" t="s">
        <v>590</v>
      </c>
      <c r="K27" s="109" t="s">
        <v>590</v>
      </c>
      <c r="L27" s="109" t="s">
        <v>591</v>
      </c>
    </row>
    <row r="28" spans="2:15" s="108" customFormat="1" ht="25.9" customHeight="1" x14ac:dyDescent="0.35">
      <c r="D28" s="540" t="s">
        <v>592</v>
      </c>
      <c r="E28" s="540"/>
      <c r="F28" s="528" t="e">
        <f>'Auto-Calibration record'!B65</f>
        <v>#N/A</v>
      </c>
      <c r="G28" s="528"/>
      <c r="H28" s="523" t="e">
        <f>'Auto-Calibration record'!B68</f>
        <v>#N/A</v>
      </c>
      <c r="I28" s="569"/>
      <c r="J28" s="158" t="e">
        <f>'MP Calibration Certificate'!J28</f>
        <v>#N/A</v>
      </c>
      <c r="K28" s="159" t="e">
        <f t="shared" ref="K28:K33" si="0">J28-H28</f>
        <v>#N/A</v>
      </c>
      <c r="L28" s="111" t="e">
        <f t="shared" ref="L28:L33" si="1">K28/H28</f>
        <v>#N/A</v>
      </c>
    </row>
    <row r="29" spans="2:15" s="108" customFormat="1" ht="25.9" customHeight="1" x14ac:dyDescent="0.35">
      <c r="D29" s="540" t="s">
        <v>593</v>
      </c>
      <c r="E29" s="540"/>
      <c r="F29" s="528" t="e">
        <f>'Auto-Calibration record'!C65</f>
        <v>#N/A</v>
      </c>
      <c r="G29" s="528"/>
      <c r="H29" s="523" t="e">
        <f>'Auto-Calibration record'!B69</f>
        <v>#N/A</v>
      </c>
      <c r="I29" s="569"/>
      <c r="J29" s="158" t="e">
        <f>'MP Calibration Certificate'!J29</f>
        <v>#N/A</v>
      </c>
      <c r="K29" s="159" t="e">
        <f t="shared" si="0"/>
        <v>#N/A</v>
      </c>
      <c r="L29" s="111" t="e">
        <f t="shared" si="1"/>
        <v>#N/A</v>
      </c>
    </row>
    <row r="30" spans="2:15" s="108" customFormat="1" ht="25.9" customHeight="1" x14ac:dyDescent="0.35">
      <c r="D30" s="540" t="s">
        <v>594</v>
      </c>
      <c r="E30" s="540"/>
      <c r="F30" s="528" t="e">
        <f>'Auto-Calibration record'!D65</f>
        <v>#N/A</v>
      </c>
      <c r="G30" s="528"/>
      <c r="H30" s="523" t="e">
        <f>'Auto-Calibration record'!B70</f>
        <v>#N/A</v>
      </c>
      <c r="I30" s="569"/>
      <c r="J30" s="158" t="e">
        <f>'MP Calibration Certificate'!J30</f>
        <v>#N/A</v>
      </c>
      <c r="K30" s="159" t="e">
        <f t="shared" si="0"/>
        <v>#N/A</v>
      </c>
      <c r="L30" s="111" t="e">
        <f t="shared" si="1"/>
        <v>#N/A</v>
      </c>
    </row>
    <row r="31" spans="2:15" s="108" customFormat="1" ht="25.9" customHeight="1" x14ac:dyDescent="0.35">
      <c r="D31" s="540" t="s">
        <v>595</v>
      </c>
      <c r="E31" s="540"/>
      <c r="F31" s="528" t="e">
        <f>'Auto-Calibration record'!E65</f>
        <v>#N/A</v>
      </c>
      <c r="G31" s="528"/>
      <c r="H31" s="523" t="e">
        <f>'Auto-Calibration record'!B71</f>
        <v>#N/A</v>
      </c>
      <c r="I31" s="569"/>
      <c r="J31" s="158" t="e">
        <f>'MP Calibration Certificate'!J31</f>
        <v>#N/A</v>
      </c>
      <c r="K31" s="159" t="e">
        <f t="shared" si="0"/>
        <v>#N/A</v>
      </c>
      <c r="L31" s="111" t="e">
        <f t="shared" si="1"/>
        <v>#N/A</v>
      </c>
    </row>
    <row r="32" spans="2:15" s="108" customFormat="1" ht="25.9" customHeight="1" x14ac:dyDescent="0.35">
      <c r="D32" s="540" t="s">
        <v>596</v>
      </c>
      <c r="E32" s="540"/>
      <c r="F32" s="528" t="e">
        <f>'Auto-Calibration record'!F65</f>
        <v>#N/A</v>
      </c>
      <c r="G32" s="528"/>
      <c r="H32" s="523" t="e">
        <f>'Auto-Calibration record'!B72</f>
        <v>#N/A</v>
      </c>
      <c r="I32" s="569"/>
      <c r="J32" s="158" t="e">
        <f>'MP Calibration Certificate'!J32</f>
        <v>#N/A</v>
      </c>
      <c r="K32" s="159" t="e">
        <f t="shared" si="0"/>
        <v>#N/A</v>
      </c>
      <c r="L32" s="111" t="e">
        <f t="shared" si="1"/>
        <v>#N/A</v>
      </c>
    </row>
    <row r="33" spans="2:12" s="108" customFormat="1" ht="25.9" customHeight="1" x14ac:dyDescent="0.35">
      <c r="D33" s="540" t="s">
        <v>597</v>
      </c>
      <c r="E33" s="540"/>
      <c r="F33" s="528" t="e">
        <f>'Auto-Calibration record'!G65</f>
        <v>#N/A</v>
      </c>
      <c r="G33" s="528"/>
      <c r="H33" s="523" t="e">
        <f>'Auto-Calibration record'!B73</f>
        <v>#N/A</v>
      </c>
      <c r="I33" s="569"/>
      <c r="J33" s="158" t="e">
        <f>'MP Calibration Certificate'!J33</f>
        <v>#N/A</v>
      </c>
      <c r="K33" s="159" t="e">
        <f t="shared" si="0"/>
        <v>#N/A</v>
      </c>
      <c r="L33" s="111" t="e">
        <f t="shared" si="1"/>
        <v>#N/A</v>
      </c>
    </row>
    <row r="34" spans="2:12" s="108" customFormat="1" ht="25.9" customHeight="1" x14ac:dyDescent="0.35">
      <c r="D34" s="540" t="s">
        <v>598</v>
      </c>
      <c r="E34" s="540"/>
      <c r="F34" s="528" t="e">
        <f>'Auto-Calibration record'!H65</f>
        <v>#N/A</v>
      </c>
      <c r="G34" s="528"/>
      <c r="H34" s="523" t="e">
        <f>'Auto-Calibration record'!B74</f>
        <v>#N/A</v>
      </c>
      <c r="I34" s="569"/>
      <c r="J34" s="158" t="e">
        <f>'MP Calibration Certificate'!J34</f>
        <v>#N/A</v>
      </c>
      <c r="K34" s="159" t="s">
        <v>23</v>
      </c>
      <c r="L34" s="112" t="s">
        <v>23</v>
      </c>
    </row>
    <row r="35" spans="2:12" s="102" customFormat="1" ht="25.9" customHeight="1" x14ac:dyDescent="0.45">
      <c r="D35" s="540" t="s">
        <v>599</v>
      </c>
      <c r="E35" s="540"/>
      <c r="F35" s="536" t="e">
        <f>'Auto-Calibration record'!I65</f>
        <v>#N/A</v>
      </c>
      <c r="G35" s="536"/>
      <c r="H35" s="523" t="e">
        <f>'Auto-Calibration record'!B75</f>
        <v>#N/A</v>
      </c>
      <c r="I35" s="569"/>
      <c r="J35" s="158" t="e">
        <f>'MP Calibration Certificate'!J35</f>
        <v>#N/A</v>
      </c>
      <c r="K35" s="159" t="s">
        <v>23</v>
      </c>
      <c r="L35" s="112" t="s">
        <v>23</v>
      </c>
    </row>
    <row r="36" spans="2:12" ht="20.25" x14ac:dyDescent="0.55000000000000004">
      <c r="D36" s="113" t="s">
        <v>600</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601</v>
      </c>
      <c r="E38" s="526" t="s">
        <v>602</v>
      </c>
      <c r="F38" s="526"/>
      <c r="G38" s="526" t="s">
        <v>603</v>
      </c>
      <c r="H38" s="526"/>
      <c r="I38" s="108"/>
      <c r="J38" s="107" t="s">
        <v>679</v>
      </c>
      <c r="K38" s="107" t="s">
        <v>680</v>
      </c>
      <c r="L38" s="107" t="s">
        <v>603</v>
      </c>
    </row>
    <row r="39" spans="2:12" ht="25.9" customHeight="1" x14ac:dyDescent="0.35">
      <c r="B39" s="115"/>
      <c r="D39" s="109" t="s">
        <v>589</v>
      </c>
      <c r="E39" s="527" t="s">
        <v>589</v>
      </c>
      <c r="F39" s="527"/>
      <c r="G39" s="527" t="s">
        <v>604</v>
      </c>
      <c r="H39" s="527"/>
      <c r="I39" s="116"/>
      <c r="J39" s="109" t="s">
        <v>589</v>
      </c>
      <c r="K39" s="109" t="s">
        <v>589</v>
      </c>
      <c r="L39" s="109" t="s">
        <v>604</v>
      </c>
    </row>
    <row r="40" spans="2:12" ht="25.9" customHeight="1" x14ac:dyDescent="0.35">
      <c r="B40" s="115"/>
      <c r="D40" s="129">
        <f>'Auto-Calibration record'!B17</f>
        <v>0</v>
      </c>
      <c r="E40" s="523" t="e">
        <f>F28-D40</f>
        <v>#N/A</v>
      </c>
      <c r="F40" s="523"/>
      <c r="G40" s="532" t="e">
        <f>F28/D40</f>
        <v>#N/A</v>
      </c>
      <c r="H40" s="532"/>
      <c r="I40" s="116"/>
      <c r="J40" s="129" t="e">
        <f>'Auto-Calibration record'!B11</f>
        <v>#N/A</v>
      </c>
      <c r="K40" s="159" t="e">
        <f>F29-J40</f>
        <v>#N/A</v>
      </c>
      <c r="L40" s="151" t="e">
        <f>F29/J40</f>
        <v>#N/A</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45" t="s">
        <v>607</v>
      </c>
      <c r="L72" s="546"/>
      <c r="M72" s="546"/>
      <c r="N72" s="546"/>
      <c r="O72" s="547"/>
    </row>
    <row r="73" spans="2:16" s="88" customFormat="1" ht="25.9" customHeight="1" x14ac:dyDescent="0.4">
      <c r="H73" s="1"/>
      <c r="I73" s="1"/>
      <c r="K73" s="548"/>
      <c r="L73" s="549"/>
      <c r="M73" s="549"/>
      <c r="N73" s="549"/>
      <c r="O73" s="550"/>
    </row>
    <row r="74" spans="2:16" s="88" customFormat="1" ht="25.9" customHeight="1" x14ac:dyDescent="0.4">
      <c r="B74" s="120" t="s">
        <v>608</v>
      </c>
      <c r="C74" s="121"/>
      <c r="D74" s="570" t="s">
        <v>609</v>
      </c>
      <c r="E74" s="571"/>
      <c r="F74" s="571"/>
      <c r="G74" s="572"/>
      <c r="H74" s="1"/>
      <c r="I74" s="1"/>
      <c r="K74" s="548"/>
      <c r="L74" s="549"/>
      <c r="M74" s="549"/>
      <c r="N74" s="549"/>
      <c r="O74" s="550"/>
    </row>
    <row r="75" spans="2:16" s="88" customFormat="1" ht="25.9" customHeight="1" x14ac:dyDescent="0.4">
      <c r="K75" s="551"/>
      <c r="L75" s="552"/>
      <c r="M75" s="552"/>
      <c r="N75" s="552"/>
      <c r="O75" s="553"/>
    </row>
    <row r="76" spans="2:16" s="88" customFormat="1" ht="25.9" customHeight="1" x14ac:dyDescent="0.4">
      <c r="B76" s="120" t="s">
        <v>610</v>
      </c>
      <c r="C76" s="121"/>
      <c r="D76" s="537"/>
      <c r="E76" s="538"/>
      <c r="F76" s="539"/>
      <c r="K76" s="122" t="s">
        <v>611</v>
      </c>
      <c r="L76" s="533" t="s">
        <v>612</v>
      </c>
      <c r="M76" s="534"/>
      <c r="N76" s="534"/>
      <c r="O76" s="535"/>
      <c r="P76" s="123"/>
    </row>
    <row r="77" spans="2:16" ht="25.9" customHeight="1" x14ac:dyDescent="0.4">
      <c r="H77" s="88"/>
      <c r="I77" s="88"/>
      <c r="J77" s="88"/>
      <c r="K77" s="88"/>
    </row>
    <row r="78" spans="2:16" ht="15" x14ac:dyDescent="0.4">
      <c r="B78" s="115" t="s">
        <v>613</v>
      </c>
      <c r="H78" s="88"/>
      <c r="I78" s="88"/>
      <c r="J78" s="88"/>
      <c r="K78" s="88"/>
    </row>
    <row r="79" spans="2:16" ht="15" x14ac:dyDescent="0.4">
      <c r="B79" s="115" t="s">
        <v>614</v>
      </c>
      <c r="H79" s="88"/>
      <c r="I79" s="88"/>
      <c r="J79" s="88"/>
      <c r="K79" s="88"/>
    </row>
    <row r="80" spans="2:16" x14ac:dyDescent="0.35">
      <c r="B80" s="115" t="s">
        <v>615</v>
      </c>
    </row>
    <row r="83" spans="2:15" x14ac:dyDescent="0.35">
      <c r="O83" s="124" t="s">
        <v>616</v>
      </c>
    </row>
    <row r="84" spans="2:15" x14ac:dyDescent="0.35">
      <c r="O84" s="124" t="s">
        <v>524</v>
      </c>
    </row>
    <row r="85" spans="2:15" x14ac:dyDescent="0.35">
      <c r="O85" s="124" t="s">
        <v>19</v>
      </c>
    </row>
    <row r="86" spans="2:15" x14ac:dyDescent="0.35">
      <c r="B86" s="125" t="s">
        <v>681</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5" priority="2" stopIfTrue="1" operator="equal">
      <formula>"PASS"</formula>
    </cfRule>
    <cfRule type="cellIs" dxfId="14" priority="3" stopIfTrue="1" operator="equal">
      <formula>"FAIL"</formula>
    </cfRule>
  </conditionalFormatting>
  <conditionalFormatting sqref="G40 L40">
    <cfRule type="cellIs" dxfId="13" priority="5" stopIfTrue="1" operator="greaterThanOrEqual">
      <formula>1.19</formula>
    </cfRule>
    <cfRule type="cellIs" dxfId="12" priority="6" stopIfTrue="1" operator="lessThan">
      <formula>1.19</formula>
    </cfRule>
  </conditionalFormatting>
  <conditionalFormatting sqref="K72">
    <cfRule type="cellIs" dxfId="11" priority="7" stopIfTrue="1" operator="equal">
      <formula>"FAIL"</formula>
    </cfRule>
    <cfRule type="cellIs" dxfId="10" priority="8" stopIfTrue="1" operator="equal">
      <formula>"PASS - VERIFIED"</formula>
    </cfRule>
  </conditionalFormatting>
  <conditionalFormatting sqref="L28:L33">
    <cfRule type="cellIs" dxfId="9" priority="1" operator="between">
      <formula>-0.1</formula>
      <formula>0.1</formula>
    </cfRule>
  </conditionalFormatting>
  <conditionalFormatting sqref="O22">
    <cfRule type="cellIs" dxfId="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7"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563</v>
      </c>
      <c r="C2" s="83"/>
    </row>
    <row r="3" spans="1:16" ht="13.5" x14ac:dyDescent="0.35">
      <c r="B3" s="87" t="s">
        <v>617</v>
      </c>
      <c r="C3" s="83"/>
    </row>
    <row r="4" spans="1:16" ht="13.5" x14ac:dyDescent="0.35">
      <c r="B4" s="87" t="s">
        <v>618</v>
      </c>
      <c r="C4" s="83"/>
    </row>
    <row r="5" spans="1:16" ht="13.5" x14ac:dyDescent="0.35">
      <c r="B5" s="87" t="s">
        <v>566</v>
      </c>
      <c r="C5" s="83"/>
    </row>
    <row r="6" spans="1:16" ht="13.5" x14ac:dyDescent="0.35">
      <c r="B6" s="87" t="s">
        <v>619</v>
      </c>
      <c r="C6" s="83"/>
    </row>
    <row r="7" spans="1:16" ht="15" x14ac:dyDescent="0.4">
      <c r="B7" s="87" t="s">
        <v>620</v>
      </c>
      <c r="C7" s="83"/>
      <c r="D7" s="88"/>
    </row>
    <row r="8" spans="1:16" ht="13.5" x14ac:dyDescent="0.35">
      <c r="B8" s="53" t="s">
        <v>569</v>
      </c>
      <c r="C8" s="83"/>
    </row>
    <row r="9" spans="1:16" ht="13.5" x14ac:dyDescent="0.35">
      <c r="B9" s="53"/>
      <c r="C9" s="83"/>
    </row>
    <row r="10" spans="1:16" ht="37.5" customHeight="1" x14ac:dyDescent="0.85">
      <c r="B10" s="541" t="s">
        <v>570</v>
      </c>
      <c r="C10" s="541"/>
      <c r="D10" s="541"/>
      <c r="E10" s="541"/>
      <c r="F10" s="541"/>
      <c r="G10" s="541"/>
      <c r="H10" s="541"/>
      <c r="I10" s="541"/>
      <c r="J10" s="541"/>
      <c r="K10" s="541"/>
      <c r="L10" s="541"/>
      <c r="M10" s="541"/>
      <c r="N10" s="541"/>
      <c r="O10" s="541"/>
      <c r="P10" s="541"/>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4" t="s">
        <v>668</v>
      </c>
      <c r="C13" s="554"/>
      <c r="D13" s="554"/>
      <c r="E13" s="554"/>
      <c r="F13" s="554"/>
      <c r="G13" s="554"/>
      <c r="H13" s="554"/>
      <c r="I13" s="554"/>
      <c r="J13" s="554"/>
      <c r="K13" s="554"/>
      <c r="L13" s="554"/>
      <c r="M13" s="554"/>
      <c r="N13" s="554"/>
      <c r="O13" s="554"/>
      <c r="P13" s="91"/>
    </row>
    <row r="14" spans="1:16" ht="77.25" customHeight="1" x14ac:dyDescent="0.35">
      <c r="A14" s="92"/>
      <c r="B14" s="554" t="s">
        <v>572</v>
      </c>
      <c r="C14" s="554"/>
      <c r="D14" s="554"/>
      <c r="E14" s="554"/>
      <c r="F14" s="554"/>
      <c r="G14" s="554"/>
      <c r="H14" s="554"/>
      <c r="I14" s="554"/>
      <c r="J14" s="554"/>
      <c r="K14" s="554"/>
      <c r="L14" s="554"/>
      <c r="M14" s="554"/>
      <c r="N14" s="554"/>
      <c r="O14" s="554"/>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25" t="str">
        <f>'Auto-Calibration record'!H14</f>
        <v>CML4W0M003</v>
      </c>
      <c r="E17" s="525"/>
      <c r="F17" s="525"/>
      <c r="K17" s="95" t="s">
        <v>574</v>
      </c>
      <c r="L17" s="96"/>
      <c r="M17" s="96"/>
      <c r="N17" s="97"/>
      <c r="O17" s="54" t="str">
        <f>'Auto-Calibration record'!H18</f>
        <v>12798M</v>
      </c>
    </row>
    <row r="18" spans="2:15" ht="25.9" customHeight="1" x14ac:dyDescent="0.45">
      <c r="B18" s="131" t="s">
        <v>575</v>
      </c>
      <c r="C18" s="132"/>
      <c r="D18" s="529" t="e">
        <f>'Auto-Calibration record'!#REF!&amp;'Auto-Calibration record'!H15</f>
        <v>#REF!</v>
      </c>
      <c r="E18" s="530"/>
      <c r="F18" s="531"/>
      <c r="K18" s="98" t="s">
        <v>576</v>
      </c>
      <c r="L18" s="99"/>
      <c r="M18" s="99"/>
      <c r="N18" s="100"/>
      <c r="O18" s="55" t="e">
        <f>'Auto-Calibration record'!H16</f>
        <v>#N/A</v>
      </c>
    </row>
    <row r="19" spans="2:15" ht="25.9" customHeight="1" x14ac:dyDescent="0.45">
      <c r="B19" s="131" t="s">
        <v>577</v>
      </c>
      <c r="C19" s="132"/>
      <c r="D19" s="529" t="e">
        <f>'Auto-Calibration record'!H17</f>
        <v>#N/A</v>
      </c>
      <c r="E19" s="530"/>
      <c r="F19" s="531"/>
      <c r="K19" s="95" t="s">
        <v>578</v>
      </c>
      <c r="L19" s="96"/>
      <c r="M19" s="96"/>
      <c r="N19" s="97"/>
      <c r="O19" s="56" t="e">
        <f>'Auto-Calibration record'!H19</f>
        <v>#N/A</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6" t="s">
        <v>582</v>
      </c>
      <c r="E26" s="526"/>
      <c r="F26" s="526" t="s">
        <v>583</v>
      </c>
      <c r="G26" s="526"/>
      <c r="H26" s="526" t="s">
        <v>584</v>
      </c>
      <c r="I26" s="526"/>
      <c r="J26" s="107" t="s">
        <v>585</v>
      </c>
      <c r="K26" s="107" t="s">
        <v>586</v>
      </c>
      <c r="L26" s="107" t="s">
        <v>587</v>
      </c>
    </row>
    <row r="27" spans="2:15" s="108" customFormat="1" ht="25.9" customHeight="1" x14ac:dyDescent="0.35">
      <c r="D27" s="527" t="s">
        <v>588</v>
      </c>
      <c r="E27" s="527"/>
      <c r="F27" s="527" t="s">
        <v>589</v>
      </c>
      <c r="G27" s="527"/>
      <c r="H27" s="527" t="s">
        <v>590</v>
      </c>
      <c r="I27" s="527"/>
      <c r="J27" s="109" t="s">
        <v>590</v>
      </c>
      <c r="K27" s="109" t="s">
        <v>590</v>
      </c>
      <c r="L27" s="109" t="s">
        <v>591</v>
      </c>
    </row>
    <row r="28" spans="2:15" s="108" customFormat="1" ht="25.9" customHeight="1" x14ac:dyDescent="0.35">
      <c r="D28" s="540" t="s">
        <v>592</v>
      </c>
      <c r="E28" s="540"/>
      <c r="F28" s="528" t="e">
        <f>'Auto-Calibration record'!B65</f>
        <v>#N/A</v>
      </c>
      <c r="G28" s="528"/>
      <c r="H28" s="523" t="e">
        <f>'Auto-Calibration record'!B68</f>
        <v>#N/A</v>
      </c>
      <c r="I28" s="569"/>
      <c r="J28" s="158" t="e">
        <f>'Auto-Calibration record'!I68</f>
        <v>#N/A</v>
      </c>
      <c r="K28" s="159" t="e">
        <f t="shared" ref="K28:K33" si="0">J28-H28</f>
        <v>#N/A</v>
      </c>
      <c r="L28" s="111" t="e">
        <f t="shared" ref="L28:L33" si="1">K28/H28</f>
        <v>#N/A</v>
      </c>
    </row>
    <row r="29" spans="2:15" s="108" customFormat="1" ht="25.9" customHeight="1" x14ac:dyDescent="0.35">
      <c r="D29" s="540" t="s">
        <v>593</v>
      </c>
      <c r="E29" s="540"/>
      <c r="F29" s="528" t="e">
        <f>'Auto-Calibration record'!C65</f>
        <v>#N/A</v>
      </c>
      <c r="G29" s="528"/>
      <c r="H29" s="523" t="e">
        <f>'Auto-Calibration record'!B69</f>
        <v>#N/A</v>
      </c>
      <c r="I29" s="569"/>
      <c r="J29" s="158" t="e">
        <f>'Auto-Calibration record'!I69</f>
        <v>#N/A</v>
      </c>
      <c r="K29" s="159" t="e">
        <f t="shared" si="0"/>
        <v>#N/A</v>
      </c>
      <c r="L29" s="111" t="e">
        <f t="shared" si="1"/>
        <v>#N/A</v>
      </c>
    </row>
    <row r="30" spans="2:15" s="108" customFormat="1" ht="25.9" customHeight="1" x14ac:dyDescent="0.35">
      <c r="D30" s="540" t="s">
        <v>594</v>
      </c>
      <c r="E30" s="540"/>
      <c r="F30" s="528" t="e">
        <f>'Auto-Calibration record'!D65</f>
        <v>#N/A</v>
      </c>
      <c r="G30" s="528"/>
      <c r="H30" s="523" t="e">
        <f>'Auto-Calibration record'!B70</f>
        <v>#N/A</v>
      </c>
      <c r="I30" s="569"/>
      <c r="J30" s="158" t="e">
        <f>'Auto-Calibration record'!I70</f>
        <v>#N/A</v>
      </c>
      <c r="K30" s="159" t="e">
        <f t="shared" si="0"/>
        <v>#N/A</v>
      </c>
      <c r="L30" s="111" t="e">
        <f t="shared" si="1"/>
        <v>#N/A</v>
      </c>
    </row>
    <row r="31" spans="2:15" s="108" customFormat="1" ht="25.9" customHeight="1" x14ac:dyDescent="0.35">
      <c r="D31" s="540" t="s">
        <v>595</v>
      </c>
      <c r="E31" s="540"/>
      <c r="F31" s="528" t="e">
        <f>'Auto-Calibration record'!E65</f>
        <v>#N/A</v>
      </c>
      <c r="G31" s="528"/>
      <c r="H31" s="523" t="e">
        <f>'Auto-Calibration record'!B71</f>
        <v>#N/A</v>
      </c>
      <c r="I31" s="569"/>
      <c r="J31" s="158" t="e">
        <f>'Auto-Calibration record'!I71</f>
        <v>#N/A</v>
      </c>
      <c r="K31" s="159" t="e">
        <f t="shared" si="0"/>
        <v>#N/A</v>
      </c>
      <c r="L31" s="111" t="e">
        <f t="shared" si="1"/>
        <v>#N/A</v>
      </c>
    </row>
    <row r="32" spans="2:15" s="108" customFormat="1" ht="25.9" customHeight="1" x14ac:dyDescent="0.35">
      <c r="D32" s="540" t="s">
        <v>596</v>
      </c>
      <c r="E32" s="540"/>
      <c r="F32" s="528" t="e">
        <f>'Auto-Calibration record'!F65</f>
        <v>#N/A</v>
      </c>
      <c r="G32" s="528"/>
      <c r="H32" s="523" t="e">
        <f>'Auto-Calibration record'!B72</f>
        <v>#N/A</v>
      </c>
      <c r="I32" s="569"/>
      <c r="J32" s="158" t="e">
        <f>'Auto-Calibration record'!I72</f>
        <v>#N/A</v>
      </c>
      <c r="K32" s="159" t="e">
        <f t="shared" si="0"/>
        <v>#N/A</v>
      </c>
      <c r="L32" s="111" t="e">
        <f t="shared" si="1"/>
        <v>#N/A</v>
      </c>
    </row>
    <row r="33" spans="2:12" s="108" customFormat="1" ht="25.9" customHeight="1" x14ac:dyDescent="0.35">
      <c r="D33" s="540" t="s">
        <v>597</v>
      </c>
      <c r="E33" s="540"/>
      <c r="F33" s="528" t="e">
        <f>'Auto-Calibration record'!G65</f>
        <v>#N/A</v>
      </c>
      <c r="G33" s="528"/>
      <c r="H33" s="523" t="e">
        <f>'Auto-Calibration record'!B73</f>
        <v>#N/A</v>
      </c>
      <c r="I33" s="569"/>
      <c r="J33" s="158" t="e">
        <f>'Auto-Calibration record'!I73</f>
        <v>#N/A</v>
      </c>
      <c r="K33" s="159" t="e">
        <f t="shared" si="0"/>
        <v>#N/A</v>
      </c>
      <c r="L33" s="111" t="e">
        <f t="shared" si="1"/>
        <v>#N/A</v>
      </c>
    </row>
    <row r="34" spans="2:12" s="108" customFormat="1" ht="25.9" customHeight="1" x14ac:dyDescent="0.35">
      <c r="D34" s="540" t="s">
        <v>598</v>
      </c>
      <c r="E34" s="540"/>
      <c r="F34" s="528" t="e">
        <f>'Auto-Calibration record'!H65</f>
        <v>#N/A</v>
      </c>
      <c r="G34" s="528"/>
      <c r="H34" s="523" t="e">
        <f>'Auto-Calibration record'!B74</f>
        <v>#N/A</v>
      </c>
      <c r="I34" s="569"/>
      <c r="J34" s="158" t="e">
        <f>'Auto-Calibration record'!I74</f>
        <v>#N/A</v>
      </c>
      <c r="K34" s="159" t="s">
        <v>23</v>
      </c>
      <c r="L34" s="112" t="s">
        <v>23</v>
      </c>
    </row>
    <row r="35" spans="2:12" s="102" customFormat="1" ht="25.9" customHeight="1" x14ac:dyDescent="0.45">
      <c r="D35" s="540" t="s">
        <v>599</v>
      </c>
      <c r="E35" s="540"/>
      <c r="F35" s="536" t="e">
        <f>'Auto-Calibration record'!I65</f>
        <v>#N/A</v>
      </c>
      <c r="G35" s="536"/>
      <c r="H35" s="523" t="e">
        <f>'Auto-Calibration record'!B75</f>
        <v>#N/A</v>
      </c>
      <c r="I35" s="569"/>
      <c r="J35" s="158" t="e">
        <f>'Auto-Calibration record'!I75</f>
        <v>#N/A</v>
      </c>
      <c r="K35" s="159" t="s">
        <v>23</v>
      </c>
      <c r="L35" s="112" t="s">
        <v>23</v>
      </c>
    </row>
    <row r="36" spans="2:12" ht="20.25" x14ac:dyDescent="0.55000000000000004">
      <c r="D36" s="113" t="s">
        <v>600</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601</v>
      </c>
      <c r="E38" s="526" t="s">
        <v>602</v>
      </c>
      <c r="F38" s="526"/>
      <c r="G38" s="526" t="s">
        <v>603</v>
      </c>
      <c r="H38" s="526"/>
      <c r="I38" s="108"/>
      <c r="J38" s="107" t="s">
        <v>679</v>
      </c>
      <c r="K38" s="107" t="s">
        <v>680</v>
      </c>
      <c r="L38" s="107" t="s">
        <v>603</v>
      </c>
    </row>
    <row r="39" spans="2:12" ht="25.9" customHeight="1" x14ac:dyDescent="0.35">
      <c r="B39" s="115"/>
      <c r="D39" s="109" t="s">
        <v>589</v>
      </c>
      <c r="E39" s="527" t="s">
        <v>589</v>
      </c>
      <c r="F39" s="527"/>
      <c r="G39" s="527" t="s">
        <v>604</v>
      </c>
      <c r="H39" s="527"/>
      <c r="I39" s="116"/>
      <c r="J39" s="109" t="s">
        <v>589</v>
      </c>
      <c r="K39" s="109" t="s">
        <v>589</v>
      </c>
      <c r="L39" s="109" t="s">
        <v>604</v>
      </c>
    </row>
    <row r="40" spans="2:12" ht="25.9" customHeight="1" x14ac:dyDescent="0.35">
      <c r="B40" s="115"/>
      <c r="D40" s="129">
        <f>'Auto-Calibration record'!B17</f>
        <v>0</v>
      </c>
      <c r="E40" s="569" t="e">
        <f>F28-D40</f>
        <v>#N/A</v>
      </c>
      <c r="F40" s="569"/>
      <c r="G40" s="583" t="e">
        <f>F28/D40</f>
        <v>#N/A</v>
      </c>
      <c r="H40" s="583"/>
      <c r="I40" s="116"/>
      <c r="J40" s="129" t="e">
        <f>'Auto-Calibration record'!B11</f>
        <v>#N/A</v>
      </c>
      <c r="K40" s="110" t="e">
        <f>F29-J40</f>
        <v>#N/A</v>
      </c>
      <c r="L40" s="117" t="e">
        <f>F29/J40</f>
        <v>#N/A</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45" t="s">
        <v>607</v>
      </c>
      <c r="L72" s="546"/>
      <c r="M72" s="546"/>
      <c r="N72" s="546"/>
      <c r="O72" s="547"/>
    </row>
    <row r="73" spans="2:16" s="88" customFormat="1" ht="25.9" customHeight="1" x14ac:dyDescent="0.4">
      <c r="H73" s="1"/>
      <c r="I73" s="1"/>
      <c r="K73" s="548"/>
      <c r="L73" s="549"/>
      <c r="M73" s="549"/>
      <c r="N73" s="549"/>
      <c r="O73" s="550"/>
    </row>
    <row r="74" spans="2:16" s="88" customFormat="1" ht="25.9" customHeight="1" x14ac:dyDescent="0.4">
      <c r="B74" s="120" t="s">
        <v>608</v>
      </c>
      <c r="C74" s="121"/>
      <c r="D74" s="570" t="s">
        <v>609</v>
      </c>
      <c r="E74" s="571"/>
      <c r="F74" s="571"/>
      <c r="G74" s="572"/>
      <c r="H74" s="1"/>
      <c r="I74" s="1"/>
      <c r="K74" s="548"/>
      <c r="L74" s="549"/>
      <c r="M74" s="549"/>
      <c r="N74" s="549"/>
      <c r="O74" s="550"/>
    </row>
    <row r="75" spans="2:16" s="88" customFormat="1" ht="25.9" customHeight="1" x14ac:dyDescent="0.4">
      <c r="K75" s="551"/>
      <c r="L75" s="552"/>
      <c r="M75" s="552"/>
      <c r="N75" s="552"/>
      <c r="O75" s="553"/>
    </row>
    <row r="76" spans="2:16" s="88" customFormat="1" ht="25.9" customHeight="1" x14ac:dyDescent="0.4">
      <c r="B76" s="120" t="s">
        <v>610</v>
      </c>
      <c r="C76" s="121"/>
      <c r="D76" s="537"/>
      <c r="E76" s="538"/>
      <c r="F76" s="539"/>
      <c r="K76" s="122" t="s">
        <v>611</v>
      </c>
      <c r="L76" s="533" t="s">
        <v>612</v>
      </c>
      <c r="M76" s="534"/>
      <c r="N76" s="534"/>
      <c r="O76" s="535"/>
      <c r="P76" s="123"/>
    </row>
    <row r="77" spans="2:16" ht="25.9" customHeight="1" x14ac:dyDescent="0.4">
      <c r="B77" s="136" t="s">
        <v>688</v>
      </c>
      <c r="H77" s="88"/>
      <c r="I77" s="88"/>
      <c r="J77" s="88"/>
    </row>
    <row r="78" spans="2:16" ht="15" x14ac:dyDescent="0.4">
      <c r="B78" s="115" t="s">
        <v>613</v>
      </c>
      <c r="H78" s="88"/>
      <c r="I78" s="88"/>
      <c r="J78" s="88"/>
      <c r="K78" s="88"/>
    </row>
    <row r="79" spans="2:16" ht="15" x14ac:dyDescent="0.4">
      <c r="B79" s="115" t="s">
        <v>614</v>
      </c>
      <c r="H79" s="88"/>
      <c r="I79" s="88"/>
      <c r="J79" s="88"/>
      <c r="K79" s="88"/>
    </row>
    <row r="80" spans="2:16" x14ac:dyDescent="0.35">
      <c r="B80" s="115" t="s">
        <v>615</v>
      </c>
    </row>
    <row r="83" spans="2:15" x14ac:dyDescent="0.35">
      <c r="O83" s="124" t="s">
        <v>616</v>
      </c>
    </row>
    <row r="84" spans="2:15" x14ac:dyDescent="0.35">
      <c r="O84" s="124" t="s">
        <v>524</v>
      </c>
    </row>
    <row r="85" spans="2:15" x14ac:dyDescent="0.35">
      <c r="O85" s="124" t="s">
        <v>19</v>
      </c>
    </row>
    <row r="86" spans="2:15" x14ac:dyDescent="0.35">
      <c r="B86" s="125" t="s">
        <v>681</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7" priority="2" stopIfTrue="1" operator="equal">
      <formula>"PASS"</formula>
    </cfRule>
    <cfRule type="cellIs" dxfId="6" priority="3" stopIfTrue="1" operator="equal">
      <formula>"FAIL"</formula>
    </cfRule>
  </conditionalFormatting>
  <conditionalFormatting sqref="G40 L40">
    <cfRule type="cellIs" dxfId="5" priority="5" stopIfTrue="1" operator="greaterThanOrEqual">
      <formula>1.19</formula>
    </cfRule>
    <cfRule type="cellIs" dxfId="4" priority="6" stopIfTrue="1" operator="lessThan">
      <formula>1.19</formula>
    </cfRule>
  </conditionalFormatting>
  <conditionalFormatting sqref="K72">
    <cfRule type="cellIs" dxfId="3" priority="7" stopIfTrue="1" operator="equal">
      <formula>"FAIL"</formula>
    </cfRule>
    <cfRule type="cellIs" dxfId="2" priority="8" stopIfTrue="1" operator="equal">
      <formula>"PASS - VERIFIED"</formula>
    </cfRule>
  </conditionalFormatting>
  <conditionalFormatting sqref="L28:L33">
    <cfRule type="cellIs" dxfId="1" priority="1" operator="between">
      <formula>-0.1</formula>
      <formula>0.1</formula>
    </cfRule>
  </conditionalFormatting>
  <conditionalFormatting sqref="O22">
    <cfRule type="cellIs" dxfId="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16</vt:i4>
      </vt:variant>
      <vt:variant>
        <vt:lpstr>Charts</vt:lpstr>
      </vt:variant>
      <vt:variant>
        <vt:i4>2</vt:i4>
      </vt:variant>
      <vt:variant>
        <vt:lpstr>Named Ranges</vt:lpstr>
      </vt:variant>
      <vt:variant>
        <vt:i4>14</vt:i4>
      </vt:variant>
    </vt:vector>
  </HeadingPairs>
  <TitlesOfParts>
    <vt:vector size="32"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2026-05-04T13:23:11Z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