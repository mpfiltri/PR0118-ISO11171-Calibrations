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d:\mp\projects\PR0118 - ISO 11171 Calibrations\"/>
    </mc:Choice>
  </mc:AlternateContent>
  <xr:revisionPtr revIDLastSave="0" documentId="13_ncr:1_{957EBD29-DB85-4774-94C4-38ABA65E8942}" xr6:coauthVersionLast="47" xr6:coauthVersionMax="47" xr10:uidLastSave="{00000000-0000-0000-0000-000000000000}"/>
  <bookViews>
    <workbookView xWindow="-98" yWindow="-98" windowWidth="28996" windowHeight="17745" xr2:uid="{1CED0541-8FE6-43FC-8C99-84ADE5FEB82D}"/>
  </bookViews>
  <sheets>
    <sheet name="Annex E" sheetId="4" r:id="rId1"/>
    <sheet name="E - B1" sheetId="1" r:id="rId2"/>
    <sheet name="E - B2" sheetId="2" r:id="rId3"/>
    <sheet name="E - B3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C8" i="3"/>
  <c r="D8" i="3"/>
  <c r="E8" i="3"/>
  <c r="F8" i="3"/>
  <c r="B9" i="3"/>
  <c r="C9" i="3"/>
  <c r="D9" i="3"/>
  <c r="E9" i="3"/>
  <c r="F9" i="3"/>
  <c r="B10" i="3"/>
  <c r="C10" i="3"/>
  <c r="D10" i="3"/>
  <c r="E10" i="3"/>
  <c r="F10" i="3"/>
  <c r="B11" i="3"/>
  <c r="C11" i="3"/>
  <c r="D11" i="3"/>
  <c r="E11" i="3"/>
  <c r="F11" i="3"/>
  <c r="B12" i="3"/>
  <c r="C12" i="3"/>
  <c r="D12" i="3"/>
  <c r="E12" i="3"/>
  <c r="F12" i="3"/>
  <c r="B13" i="3"/>
  <c r="C13" i="3"/>
  <c r="D13" i="3"/>
  <c r="E13" i="3"/>
  <c r="F13" i="3"/>
  <c r="B14" i="3"/>
  <c r="C14" i="3"/>
  <c r="D14" i="3"/>
  <c r="E14" i="3"/>
  <c r="F14" i="3"/>
  <c r="B15" i="3"/>
  <c r="C15" i="3"/>
  <c r="D15" i="3"/>
  <c r="E15" i="3"/>
  <c r="F15" i="3"/>
  <c r="B8" i="2"/>
  <c r="D8" i="2"/>
  <c r="E8" i="2"/>
  <c r="F8" i="2"/>
  <c r="H8" i="2" s="1"/>
  <c r="B9" i="2"/>
  <c r="D9" i="2"/>
  <c r="E9" i="2"/>
  <c r="F9" i="2"/>
  <c r="B10" i="2"/>
  <c r="D10" i="2"/>
  <c r="E10" i="2"/>
  <c r="F10" i="2"/>
  <c r="B11" i="2"/>
  <c r="I11" i="2" s="1"/>
  <c r="D11" i="2"/>
  <c r="E11" i="2"/>
  <c r="F11" i="2"/>
  <c r="B12" i="2"/>
  <c r="G12" i="2" s="1"/>
  <c r="D12" i="2"/>
  <c r="E12" i="2"/>
  <c r="F12" i="2"/>
  <c r="B13" i="2"/>
  <c r="D13" i="2"/>
  <c r="E13" i="2"/>
  <c r="F13" i="2"/>
  <c r="B14" i="2"/>
  <c r="D14" i="2"/>
  <c r="E14" i="2"/>
  <c r="F14" i="2"/>
  <c r="B15" i="2"/>
  <c r="D15" i="2"/>
  <c r="E15" i="2"/>
  <c r="F15" i="2"/>
  <c r="B8" i="1"/>
  <c r="C8" i="1"/>
  <c r="D8" i="1"/>
  <c r="E8" i="1"/>
  <c r="F8" i="1"/>
  <c r="B9" i="1"/>
  <c r="C9" i="1"/>
  <c r="D9" i="1"/>
  <c r="E9" i="1"/>
  <c r="F9" i="1"/>
  <c r="B10" i="1"/>
  <c r="C10" i="1"/>
  <c r="D10" i="1"/>
  <c r="E10" i="1"/>
  <c r="F10" i="1"/>
  <c r="B11" i="1"/>
  <c r="C11" i="1"/>
  <c r="D11" i="1"/>
  <c r="E11" i="1"/>
  <c r="F11" i="1"/>
  <c r="B12" i="1"/>
  <c r="C12" i="1"/>
  <c r="D12" i="1"/>
  <c r="E12" i="1"/>
  <c r="F12" i="1"/>
  <c r="B13" i="1"/>
  <c r="C13" i="1"/>
  <c r="D13" i="1"/>
  <c r="E13" i="1"/>
  <c r="F13" i="1"/>
  <c r="B14" i="1"/>
  <c r="C14" i="1"/>
  <c r="D14" i="1"/>
  <c r="E14" i="1"/>
  <c r="F14" i="1"/>
  <c r="B15" i="1"/>
  <c r="C15" i="1"/>
  <c r="D15" i="1"/>
  <c r="E15" i="1"/>
  <c r="F15" i="1"/>
  <c r="M32" i="1"/>
  <c r="M34" i="1"/>
  <c r="H12" i="2" l="1"/>
  <c r="I12" i="2"/>
  <c r="I10" i="2"/>
  <c r="G9" i="2"/>
  <c r="H9" i="2" s="1"/>
  <c r="G11" i="2"/>
  <c r="H11" i="2" s="1"/>
  <c r="G10" i="2"/>
  <c r="H10" i="2" s="1"/>
  <c r="I9" i="2"/>
  <c r="H8" i="1"/>
  <c r="G9" i="1"/>
  <c r="B23" i="4" s="1"/>
  <c r="I9" i="1"/>
  <c r="G10" i="1"/>
  <c r="I10" i="1"/>
  <c r="G11" i="1"/>
  <c r="I11" i="1"/>
  <c r="G12" i="1"/>
  <c r="I12" i="1"/>
  <c r="H10" i="1" l="1"/>
  <c r="H12" i="1"/>
  <c r="H11" i="1"/>
  <c r="H9" i="1"/>
  <c r="K9" i="1"/>
  <c r="K10" i="1"/>
  <c r="K11" i="1"/>
  <c r="K12" i="1"/>
  <c r="L28" i="4"/>
  <c r="L27" i="4"/>
  <c r="L26" i="4"/>
  <c r="L25" i="4"/>
  <c r="L24" i="4"/>
  <c r="L23" i="4"/>
  <c r="K28" i="4"/>
  <c r="K27" i="4"/>
  <c r="K26" i="4"/>
  <c r="K25" i="4"/>
  <c r="K24" i="4"/>
  <c r="K23" i="4"/>
  <c r="K10" i="2" l="1"/>
  <c r="K11" i="2"/>
  <c r="K12" i="2"/>
  <c r="G12" i="3"/>
  <c r="K12" i="3" s="1"/>
  <c r="G9" i="3"/>
  <c r="K9" i="3" s="1"/>
  <c r="I11" i="3"/>
  <c r="G10" i="3"/>
  <c r="K10" i="3" s="1"/>
  <c r="H8" i="3"/>
  <c r="I10" i="3"/>
  <c r="G11" i="3"/>
  <c r="K11" i="3" s="1"/>
  <c r="M25" i="1"/>
  <c r="M24" i="1"/>
  <c r="R22" i="1"/>
  <c r="K9" i="2" l="1"/>
  <c r="H11" i="3"/>
  <c r="J12" i="2"/>
  <c r="H9" i="3"/>
  <c r="J9" i="3" s="1"/>
  <c r="H10" i="3"/>
  <c r="H12" i="3"/>
  <c r="I12" i="3"/>
  <c r="B25" i="4"/>
  <c r="B19" i="4"/>
  <c r="B15" i="4"/>
  <c r="B18" i="4" s="1"/>
  <c r="I15" i="3"/>
  <c r="G15" i="3"/>
  <c r="K15" i="3" s="1"/>
  <c r="I14" i="3"/>
  <c r="G14" i="3"/>
  <c r="I13" i="3"/>
  <c r="G13" i="3"/>
  <c r="D26" i="4"/>
  <c r="D25" i="4"/>
  <c r="D24" i="4"/>
  <c r="I15" i="2"/>
  <c r="G15" i="2"/>
  <c r="K15" i="2" s="1"/>
  <c r="I14" i="2"/>
  <c r="G14" i="2"/>
  <c r="I13" i="2"/>
  <c r="G13" i="2"/>
  <c r="K13" i="2" s="1"/>
  <c r="C25" i="4"/>
  <c r="C23" i="4"/>
  <c r="I15" i="1"/>
  <c r="G15" i="1"/>
  <c r="K15" i="1" s="1"/>
  <c r="I14" i="1"/>
  <c r="G14" i="1"/>
  <c r="B28" i="4" s="1"/>
  <c r="I13" i="1"/>
  <c r="G13" i="1"/>
  <c r="B24" i="4"/>
  <c r="K14" i="2" l="1"/>
  <c r="C28" i="4"/>
  <c r="B20" i="4"/>
  <c r="D27" i="4"/>
  <c r="K13" i="3"/>
  <c r="D28" i="4"/>
  <c r="K14" i="3"/>
  <c r="H13" i="1"/>
  <c r="J13" i="1" s="1"/>
  <c r="K13" i="1"/>
  <c r="H14" i="1"/>
  <c r="J14" i="1" s="1"/>
  <c r="K14" i="1"/>
  <c r="H13" i="2"/>
  <c r="D23" i="4"/>
  <c r="E23" i="4" s="1"/>
  <c r="H13" i="3"/>
  <c r="H15" i="3"/>
  <c r="J15" i="3" s="1"/>
  <c r="C26" i="4"/>
  <c r="H14" i="2"/>
  <c r="H15" i="2"/>
  <c r="J15" i="2" s="1"/>
  <c r="J11" i="1"/>
  <c r="E25" i="4"/>
  <c r="J12" i="1"/>
  <c r="B26" i="4"/>
  <c r="H14" i="3"/>
  <c r="B27" i="4"/>
  <c r="C27" i="4"/>
  <c r="C24" i="4"/>
  <c r="E24" i="4" s="1"/>
  <c r="H15" i="1"/>
  <c r="E28" i="4"/>
  <c r="J12" i="3"/>
  <c r="J24" i="4" l="1"/>
  <c r="M24" i="4"/>
  <c r="F24" i="4"/>
  <c r="J25" i="4"/>
  <c r="M25" i="4"/>
  <c r="F25" i="4"/>
  <c r="J23" i="4"/>
  <c r="M23" i="4"/>
  <c r="F23" i="4"/>
  <c r="I9" i="3" s="1"/>
  <c r="J28" i="4"/>
  <c r="F28" i="4"/>
  <c r="M28" i="4"/>
  <c r="J13" i="2"/>
  <c r="J10" i="2"/>
  <c r="J9" i="2"/>
  <c r="J11" i="2"/>
  <c r="E26" i="4"/>
  <c r="J10" i="3"/>
  <c r="J13" i="3"/>
  <c r="E27" i="4"/>
  <c r="J14" i="2"/>
  <c r="J11" i="3"/>
  <c r="J14" i="3"/>
  <c r="J9" i="1"/>
  <c r="J15" i="1"/>
  <c r="J10" i="1"/>
  <c r="J27" i="4" l="1"/>
  <c r="M27" i="4"/>
  <c r="J26" i="4"/>
  <c r="M26" i="4"/>
  <c r="F26" i="4"/>
  <c r="F27" i="4"/>
</calcChain>
</file>

<file path=xl/sharedStrings.xml><?xml version="1.0" encoding="utf-8"?>
<sst xmlns="http://schemas.openxmlformats.org/spreadsheetml/2006/main" count="181" uniqueCount="97">
  <si>
    <t>Data Preprocessing and Quality Assessment</t>
  </si>
  <si>
    <t>Portion 1</t>
  </si>
  <si>
    <t>Portion 2</t>
  </si>
  <si>
    <t>Portion 3</t>
  </si>
  <si>
    <t>Portion 4</t>
  </si>
  <si>
    <t>Portion 5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</si>
  <si>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</si>
  <si>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</si>
  <si>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</si>
  <si>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</si>
  <si>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</si>
  <si>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t>scanned_volume_ml</t>
  </si>
  <si>
    <t>count_4</t>
  </si>
  <si>
    <t>BOTTLE 1</t>
  </si>
  <si>
    <t>count_5</t>
  </si>
  <si>
    <t>count_6</t>
  </si>
  <si>
    <t>RM8632a</t>
  </si>
  <si>
    <t>count_7</t>
  </si>
  <si>
    <t>count_8</t>
  </si>
  <si>
    <t>count_9</t>
  </si>
  <si>
    <t>count_10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</si>
  <si>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</si>
  <si>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</si>
  <si>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</si>
  <si>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</si>
  <si>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</si>
  <si>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</si>
  <si>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</si>
  <si>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</si>
  <si>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</si>
  <si>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</si>
  <si>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</si>
  <si>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Date</t>
  </si>
  <si>
    <t>Partistan 34D</t>
  </si>
  <si>
    <t>Scanned ml</t>
  </si>
  <si>
    <t>Bottle Sampler</t>
  </si>
  <si>
    <t>APC Model</t>
  </si>
  <si>
    <t>APC S/N</t>
  </si>
  <si>
    <t>Sensor Model</t>
  </si>
  <si>
    <t>Sensor S/N</t>
  </si>
  <si>
    <t>Operator</t>
  </si>
  <si>
    <t>JMD</t>
  </si>
  <si>
    <t>Threshold Noise</t>
  </si>
  <si>
    <t>RM8632a mg/l</t>
  </si>
  <si>
    <t>Sample Volume Total</t>
  </si>
  <si>
    <t>ml</t>
  </si>
  <si>
    <t>Portions</t>
  </si>
  <si>
    <t>Portion Volume V</t>
  </si>
  <si>
    <t>Capture Fraction</t>
  </si>
  <si>
    <t>/100ml scanned</t>
  </si>
  <si>
    <t>Total scanned</t>
  </si>
  <si>
    <t>Portion scanned</t>
  </si>
  <si>
    <t>μm(c)</t>
  </si>
  <si>
    <t>B1 / ml</t>
  </si>
  <si>
    <t>B2 / ml</t>
  </si>
  <si>
    <t>B3 / ml</t>
  </si>
  <si>
    <t>AVERAGE</t>
  </si>
  <si>
    <t>Table A.1</t>
  </si>
  <si>
    <t>A.1 Lower</t>
  </si>
  <si>
    <t>A.1 Upper</t>
  </si>
  <si>
    <t>Deviation</t>
  </si>
  <si>
    <t>Median</t>
  </si>
  <si>
    <t>Minimum</t>
  </si>
  <si>
    <t>Maximum</t>
  </si>
  <si>
    <t>ANNEX E – VERIFICATION OF PARTICLE COUNTING ACCURACY</t>
  </si>
  <si>
    <t>BS110HP</t>
  </si>
  <si>
    <t>REF</t>
  </si>
  <si>
    <t>Concentrate Dilution Calculator</t>
  </si>
  <si>
    <t>Concentrate Manufacturing Calculator</t>
  </si>
  <si>
    <t>Concentrate</t>
  </si>
  <si>
    <t>mg/l</t>
  </si>
  <si>
    <t>Target Final Fluid Volume ml</t>
  </si>
  <si>
    <t>Final fluid volume</t>
  </si>
  <si>
    <t>Target Concentration mg/l</t>
  </si>
  <si>
    <t>Target concentration</t>
  </si>
  <si>
    <t>mg required</t>
  </si>
  <si>
    <t>Concentrate to add</t>
  </si>
  <si>
    <t>Diluent to add</t>
  </si>
  <si>
    <t>Alt Concentrate Dilution Calculator</t>
  </si>
  <si>
    <t>Concentrate mg/l</t>
  </si>
  <si>
    <t>Diluent volume ml</t>
  </si>
  <si>
    <t>Target concentration mg/l</t>
  </si>
  <si>
    <t>Added</t>
  </si>
  <si>
    <t>Final Concentration</t>
  </si>
  <si>
    <t>Lower Limit</t>
  </si>
  <si>
    <t>Upper Limit</t>
  </si>
  <si>
    <t>portion</t>
  </si>
  <si>
    <t>To make on rig. Measure out slightly more than amount needed to dose rig to 1.0mg/l. Add clean fluid to rig to make 1.0mg/l.</t>
  </si>
  <si>
    <t>E.g. If rig has 10.65l and end up measuring out 10.72mg into an empty bottle. Add 70ml of extra fluid to rig.</t>
  </si>
  <si>
    <t>#00009</t>
  </si>
  <si>
    <t>11171-00009</t>
  </si>
  <si>
    <t>LINKED / TRANSPOSED DATA</t>
  </si>
  <si>
    <t>A.1 Nominal</t>
  </si>
  <si>
    <r>
      <t xml:space="preserve">Mean counted </t>
    </r>
    <r>
      <rPr>
        <u/>
        <sz val="10"/>
        <rFont val="Arial"/>
        <family val="2"/>
      </rPr>
      <t>X</t>
    </r>
  </si>
  <si>
    <t>BOTTLE 2</t>
  </si>
  <si>
    <t>BOTTLE 3</t>
  </si>
  <si>
    <r>
      <t>CV</t>
    </r>
    <r>
      <rPr>
        <vertAlign val="subscript"/>
        <sz val="10"/>
        <rFont val="Arial"/>
        <family val="2"/>
      </rPr>
      <t xml:space="preserve">MAX </t>
    </r>
    <r>
      <rPr>
        <sz val="10"/>
        <rFont val="Arial"/>
        <family val="2"/>
      </rPr>
      <t>Table C.2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</si>
</sst>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yyyy\-mm\-dd"/>
  </numFmts>
  <fonts count="13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sz val="32"/>
      <name val="Arial"/>
      <family val="2"/>
    </font>
    <font>
      <vertAlign val="subscript"/>
      <sz val="10"/>
      <name val="Arial"/>
      <family val="2"/>
    </font>
    <font>
      <i/>
      <sz val="10"/>
      <name val="Arial"/>
      <family val="2"/>
    </font>
    <font>
      <sz val="20"/>
      <color rgb="FFC9211E"/>
      <name val="Arial Black"/>
      <family val="2"/>
    </font>
    <font>
      <b/>
      <sz val="11"/>
      <color rgb="FFFA7D00"/>
      <name val="Arial"/>
      <family val="2"/>
      <scheme val="minor"/>
    </font>
    <font>
      <sz val="10"/>
      <name val="Calibri"/>
      <family val="2"/>
    </font>
    <font>
      <sz val="10"/>
      <name val="Liberation Sans"/>
      <family val="2"/>
    </font>
    <font>
      <u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E7E7E7"/>
        <bgColor rgb="FFDDDDDD"/>
      </patternFill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</fills>
  <borders count="21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9" fillId="3" borderId="10" applyNumberFormat="0" applyAlignment="0" applyProtection="0"/>
    <xf numFmtId="0" fontId="1" fillId="4" borderId="0" applyNumberFormat="0" applyBorder="0" applyAlignment="0" applyProtection="0"/>
  </cellStyleXfs>
  <cellXfs count="7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3" fillId="0" borderId="0" xfId="0" applyNumberFormat="1" applyFont="1" applyAlignment="1">
      <alignment horizontal="right"/>
    </xf>
    <xf numFmtId="165" fontId="0" fillId="0" borderId="0" xfId="0" applyNumberFormat="1"/>
    <xf numFmtId="164" fontId="3" fillId="0" borderId="1" xfId="0" applyNumberFormat="1" applyFont="1" applyBorder="1"/>
    <xf numFmtId="1" fontId="0" fillId="0" borderId="1" xfId="0" applyNumberFormat="1" applyBorder="1" applyAlignment="1">
      <alignment horizontal="right"/>
    </xf>
    <xf numFmtId="165" fontId="0" fillId="0" borderId="1" xfId="0" applyNumberFormat="1" applyBorder="1"/>
    <xf numFmtId="0" fontId="5" fillId="0" borderId="0" xfId="0" applyFont="1"/>
    <xf numFmtId="1" fontId="0" fillId="0" borderId="0" xfId="0" applyNumberFormat="1" applyAlignment="1">
      <alignment horizontal="right"/>
    </xf>
    <xf numFmtId="166" fontId="0" fillId="0" borderId="0" xfId="0" applyNumberFormat="1"/>
    <xf numFmtId="1" fontId="0" fillId="0" borderId="2" xfId="0" applyNumberFormat="1" applyBorder="1" applyAlignment="1">
      <alignment horizontal="right"/>
    </xf>
    <xf numFmtId="165" fontId="0" fillId="0" borderId="2" xfId="0" applyNumberFormat="1" applyBorder="1"/>
    <xf numFmtId="1" fontId="0" fillId="0" borderId="0" xfId="0" applyNumberFormat="1"/>
    <xf numFmtId="164" fontId="3" fillId="0" borderId="0" xfId="0" applyNumberFormat="1" applyFont="1"/>
    <xf numFmtId="0" fontId="0" fillId="0" borderId="3" xfId="0" applyBorder="1"/>
    <xf numFmtId="0" fontId="0" fillId="0" borderId="1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1" xfId="0" applyBorder="1"/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8" xfId="0" applyBorder="1"/>
    <xf numFmtId="164" fontId="0" fillId="0" borderId="0" xfId="0" applyNumberFormat="1"/>
    <xf numFmtId="10" fontId="0" fillId="0" borderId="0" xfId="0" applyNumberFormat="1"/>
    <xf numFmtId="0" fontId="0" fillId="0" borderId="5" xfId="0" applyBorder="1"/>
    <xf numFmtId="0" fontId="0" fillId="0" borderId="2" xfId="0" applyBorder="1"/>
    <xf numFmtId="0" fontId="0" fillId="0" borderId="6" xfId="0" applyBorder="1"/>
    <xf numFmtId="10" fontId="3" fillId="0" borderId="0" xfId="0" applyNumberFormat="1" applyFo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6" fontId="3" fillId="0" borderId="0" xfId="0" applyNumberFormat="1" applyFont="1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0" borderId="9" xfId="0" applyBorder="1" applyAlignment="1">
      <alignment horizontal="right"/>
    </xf>
    <xf numFmtId="0" fontId="0" fillId="0" borderId="7" xfId="0" applyBorder="1" applyAlignment="1">
      <alignment horizontal="right"/>
    </xf>
    <xf numFmtId="1" fontId="7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right"/>
    </xf>
    <xf numFmtId="1" fontId="7" fillId="0" borderId="2" xfId="0" applyNumberFormat="1" applyFont="1" applyBorder="1"/>
    <xf numFmtId="1" fontId="0" fillId="0" borderId="2" xfId="0" applyNumberFormat="1" applyBorder="1"/>
    <xf numFmtId="0" fontId="7" fillId="0" borderId="2" xfId="0" applyFont="1" applyBorder="1" applyAlignment="1">
      <alignment horizontal="right"/>
    </xf>
    <xf numFmtId="164" fontId="7" fillId="0" borderId="0" xfId="0" applyNumberFormat="1" applyFont="1"/>
    <xf numFmtId="0" fontId="3" fillId="2" borderId="0" xfId="0" applyFont="1" applyFill="1"/>
    <xf numFmtId="0" fontId="8" fillId="0" borderId="0" xfId="0" applyFont="1"/>
    <xf numFmtId="0" fontId="3" fillId="0" borderId="11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0" fillId="0" borderId="0" xfId="0" applyFont="1"/>
    <xf numFmtId="0" fontId="1" fillId="4" borderId="0" xfId="3" applyBorder="1" applyAlignment="1">
      <alignment horizontal="right"/>
    </xf>
    <xf numFmtId="0" fontId="0" fillId="0" borderId="15" xfId="0" applyBorder="1"/>
    <xf numFmtId="2" fontId="1" fillId="4" borderId="0" xfId="3" applyNumberFormat="1" applyBorder="1" applyAlignment="1">
      <alignment horizontal="right"/>
    </xf>
    <xf numFmtId="2" fontId="9" fillId="3" borderId="10" xfId="2" applyNumberFormat="1" applyAlignment="1">
      <alignment horizontal="right"/>
    </xf>
    <xf numFmtId="164" fontId="9" fillId="3" borderId="10" xfId="2" applyNumberFormat="1" applyAlignment="1">
      <alignment horizontal="right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2" fontId="3" fillId="0" borderId="0" xfId="0" applyNumberFormat="1" applyFont="1" applyAlignment="1">
      <alignment horizontal="right"/>
    </xf>
    <xf numFmtId="2" fontId="0" fillId="0" borderId="9" xfId="0" applyNumberFormat="1" applyBorder="1" applyAlignment="1">
      <alignment horizontal="right"/>
    </xf>
    <xf numFmtId="165" fontId="0" fillId="0" borderId="0" xfId="1" applyNumberFormat="1" applyFont="1"/>
    <xf numFmtId="0" fontId="11" fillId="0" borderId="0" xfId="0" applyFont="1" applyAlignment="1">
      <alignment horizontal="right" vertical="center" wrapText="1"/>
    </xf>
    <xf numFmtId="2" fontId="0" fillId="0" borderId="0" xfId="0" applyNumberFormat="1"/>
    <xf numFmtId="2" fontId="0" fillId="0" borderId="0" xfId="1" applyNumberFormat="1" applyFont="1"/>
    <xf numFmtId="2" fontId="3" fillId="0" borderId="0" xfId="1" applyNumberFormat="1" applyFont="1"/>
    <xf numFmtId="9" fontId="0" fillId="0" borderId="0" xfId="1" applyFont="1"/>
    <xf numFmtId="165" fontId="0" fillId="0" borderId="2" xfId="1" applyNumberFormat="1" applyFont="1" applyBorder="1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0" borderId="20" xfId="0" applyBorder="1" applyAlignment="1">
      <alignment horizontal="right"/>
    </xf>
    <xf numFmtId="165" fontId="0" fillId="0" borderId="8" xfId="1" applyNumberFormat="1" applyFont="1" applyBorder="1"/>
    <xf numFmtId="165" fontId="0" fillId="0" borderId="6" xfId="1" applyNumberFormat="1" applyFont="1" applyBorder="1"/>
  </cellXfs>
  <cellStyles count="4">
    <cellStyle name="20% - Accent2" xfId="3" builtinId="34"/>
    <cellStyle name="Calculation" xfId="2" builtinId="22"/>
    <cellStyle name="Normal" xfId="0" builtinId="0"/>
    <cellStyle name="Percent" xfId="1" builtinId="5"/>
  </cellStyles>
  <dxfs count="15">
    <dxf>
      <font>
        <color rgb="FF0061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Particle</a:t>
            </a:r>
            <a:r>
              <a:rPr lang="en-GB" baseline="0"/>
              <a:t> Size DIstribution - Verification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'Annex E'!$J$22</c:f>
              <c:strCache>
                <c:ptCount val="1"/>
                <c:pt idx="0">
                  <c:v>Deviation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E'!$J$23:$J$28</c:f>
              <c:numCache>
                <c:formatCode>0.0%</c:formatCode>
                <c:ptCount val="6"/>
                <c:pt idx="0">
                  <c:v>-6.4847197687830788E-2</c:v>
                </c:pt>
                <c:pt idx="1">
                  <c:v>-6.2576185913668994E-2</c:v>
                </c:pt>
                <c:pt idx="2">
                  <c:v>1.3695625475168637E-2</c:v>
                </c:pt>
                <c:pt idx="3">
                  <c:v>9.3110957413181178E-2</c:v>
                </c:pt>
                <c:pt idx="4">
                  <c:v>1.8968845467334718E-2</c:v>
                </c:pt>
                <c:pt idx="5">
                  <c:v>-0.10492032339449531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49-4CEA-BAF5-476685F80A51}"/>
            </c:ext>
          </c:extLst>
        </c:ser>
        <c:ser>
          <c:idx val="1"/>
          <c:order val="1"/>
          <c:tx>
            <c:strRef>
              <c:f>'Annex E'!$K$22</c:f>
              <c:strCache>
                <c:ptCount val="1"/>
                <c:pt idx="0">
                  <c:v>Lower Limit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E'!$K$23:$K$28</c:f>
              <c:numCache>
                <c:formatCode>0.0%</c:formatCode>
                <c:ptCount val="6"/>
                <c:pt idx="0">
                  <c:v>-0.27730158730158733</c:v>
                </c:pt>
                <c:pt idx="1">
                  <c:v>-0.32949640287769782</c:v>
                </c:pt>
                <c:pt idx="2">
                  <c:v>-0.42477007970570202</c:v>
                </c:pt>
                <c:pt idx="3">
                  <c:v>-0.46271758898415166</c:v>
                </c:pt>
                <c:pt idx="4">
                  <c:v>-0.52598259034555528</c:v>
                </c:pt>
                <c:pt idx="5">
                  <c:v>-0.60973496432212027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49-4CEA-BAF5-476685F80A51}"/>
            </c:ext>
          </c:extLst>
        </c:ser>
        <c:ser>
          <c:idx val="2"/>
          <c:order val="2"/>
          <c:tx>
            <c:strRef>
              <c:f>'Annex E'!$L$22</c:f>
              <c:strCache>
                <c:ptCount val="1"/>
                <c:pt idx="0">
                  <c:v>Upper Limit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E'!$L$23:$L$28</c:f>
              <c:numCache>
                <c:formatCode>0.0%</c:formatCode>
                <c:ptCount val="6"/>
                <c:pt idx="0">
                  <c:v>0.38301587301587303</c:v>
                </c:pt>
                <c:pt idx="1">
                  <c:v>0.49151079136690645</c:v>
                </c:pt>
                <c:pt idx="2">
                  <c:v>0.73758430410790921</c:v>
                </c:pt>
                <c:pt idx="3">
                  <c:v>0.86152247336970655</c:v>
                </c:pt>
                <c:pt idx="4">
                  <c:v>1.1089422316011606</c:v>
                </c:pt>
                <c:pt idx="5">
                  <c:v>1.5616717635066262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49-4CEA-BAF5-476685F80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564496"/>
        <c:axId val="642555376"/>
      </c:lineChart>
      <c:catAx>
        <c:axId val="64256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55376"/>
        <c:crosses val="autoZero"/>
        <c:auto val="1"/>
        <c:lblAlgn val="ctr"/>
        <c:lblOffset val="200"/>
        <c:tickLblSkip val="1"/>
        <c:noMultiLvlLbl val="0"/>
      </c:catAx>
      <c:valAx>
        <c:axId val="64255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64496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Differences</a:t>
            </a:r>
            <a:r>
              <a:rPr lang="en-GB" baseline="0"/>
              <a:t> Between Runs (Ref. Table C.2)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'Annex E'!$F$22</c:f>
              <c:strCache>
                <c:ptCount val="1"/>
                <c:pt idx="0">
                  <c:v>CV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xVal>
          <c:yVal>
            <c:numRef>
              <c:f>'Annex E'!$F$23:$F$28</c:f>
              <c:numCache>
                <c:formatCode>0.0%</c:formatCode>
                <c:ptCount val="6"/>
                <c:pt idx="0">
                  <c:v>1.215028543533124E-3</c:v>
                </c:pt>
                <c:pt idx="1">
                  <c:v>2.3265526296478733E-4</c:v>
                </c:pt>
                <c:pt idx="2">
                  <c:v>1.9978067436273463E-3</c:v>
                </c:pt>
                <c:pt idx="3">
                  <c:v>1.5014602869926797E-3</c:v>
                </c:pt>
                <c:pt idx="4">
                  <c:v>4.4966801581109881E-3</c:v>
                </c:pt>
                <c:pt idx="5">
                  <c:v>1.1934506062433375E-2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27-4777-BF28-E6BC935F7597}"/>
            </c:ext>
          </c:extLst>
        </c:ser>
        <c:ser>
          <c:idx val="1"/>
          <c:order val="1"/>
          <c:tx>
            <c:strRef>
              <c:f>'Annex E'!$M$22</c:f>
              <c:strCache>
                <c:ptCount val="1"/>
                <c:pt idx="0">
                  <c:v>CVMAX Table C.2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xVal>
          <c:yVal>
            <c:numRef>
              <c:f>'Annex E'!$M$23:$M$28</c:f>
              <c:numCache>
                <c:formatCode>0.0%</c:formatCode>
                <c:ptCount val="6"/>
                <c:pt idx="0">
                  <c:v>7.8E-2</c:v>
                </c:pt>
                <c:pt idx="1">
                  <c:v>7.9000000000000001E-2</c:v>
                </c:pt>
                <c:pt idx="2">
                  <c:v>0.08</c:v>
                </c:pt>
                <c:pt idx="3">
                  <c:v>8.199999999999999E-2</c:v>
                </c:pt>
                <c:pt idx="4">
                  <c:v>8.900000000000001E-2</c:v>
                </c:pt>
                <c:pt idx="5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27-4777-BF28-E6BC935F7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42512"/>
        <c:axId val="181031952"/>
      </c:scatterChart>
      <c:valAx>
        <c:axId val="181042512"/>
        <c:scaling>
          <c:orientation val="minMax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31952"/>
        <c:crosses val="autoZero"/>
        <c:crossBetween val="midCat"/>
      </c:valAx>
      <c:valAx>
        <c:axId val="18103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42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8</xdr:col>
      <xdr:colOff>456240</xdr:colOff>
      <xdr:row>19</xdr:row>
      <xdr:rowOff>155681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3BAB690-53E1-4C78-B5CC-9697ED949F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14</xdr:col>
      <xdr:colOff>672352</xdr:colOff>
      <xdr:row>19</xdr:row>
      <xdr:rowOff>151279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2913CC4-9C32-48B5-BE08-687CC0F407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C4881-7118-4CA1-BCD2-99D4C68E29C2}">
  <sheetPr codeName="Sheet16"/>
  <dimension ref="A1:AMJ56"/>
  <sheetViews>
    <sheetView tabSelected="1" zoomScale="85" zoomScaleNormal="85" workbookViewId="0">
      <selection activeCell="M22" sqref="M22"/>
    </sheetView>
  </sheetViews>
  <sheetFormatPr defaultColWidth="11.53125" defaultRowHeight="12.75" x14ac:dyDescent="0.35"/>
  <cols>
    <col min="1" max="1" width="19.33203125" customWidth="1"/>
    <col min="2" max="2" width="10.796875" customWidth="1"/>
  </cols>
  <sheetData>
    <row r="1" spans="1:1024" ht="33.85" customHeight="1" x14ac:dyDescent="1.1000000000000001">
      <c r="A1" s="47" t="s">
        <v>64</v>
      </c>
      <c r="B1" s="32"/>
      <c r="C1" s="32"/>
      <c r="D1" s="32"/>
      <c r="E1" s="32"/>
      <c r="F1" s="32"/>
      <c r="G1" s="32"/>
      <c r="H1" s="32"/>
      <c r="I1" s="32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3"/>
      <c r="CK1" s="33"/>
      <c r="CL1" s="33"/>
      <c r="CM1" s="33"/>
      <c r="CN1" s="33"/>
      <c r="CO1" s="33"/>
      <c r="CP1" s="33"/>
      <c r="CQ1" s="33"/>
      <c r="CR1" s="33"/>
      <c r="CS1" s="33"/>
      <c r="CT1" s="33"/>
      <c r="CU1" s="33"/>
      <c r="CV1" s="33"/>
      <c r="CW1" s="33"/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3"/>
      <c r="DI1" s="33"/>
      <c r="DJ1" s="33"/>
      <c r="DK1" s="33"/>
      <c r="DL1" s="33"/>
      <c r="DM1" s="33"/>
      <c r="DN1" s="33"/>
      <c r="DO1" s="33"/>
      <c r="DP1" s="33"/>
      <c r="DQ1" s="33"/>
      <c r="DR1" s="33"/>
      <c r="DS1" s="33"/>
      <c r="DT1" s="33"/>
      <c r="DU1" s="33"/>
      <c r="DV1" s="33"/>
      <c r="DW1" s="33"/>
      <c r="DX1" s="33"/>
      <c r="DY1" s="33"/>
      <c r="DZ1" s="33"/>
      <c r="EA1" s="33"/>
      <c r="EB1" s="33"/>
      <c r="EC1" s="33"/>
      <c r="ED1" s="33"/>
      <c r="EE1" s="33"/>
      <c r="EF1" s="33"/>
      <c r="EG1" s="33"/>
      <c r="EH1" s="33"/>
      <c r="EI1" s="33"/>
      <c r="EJ1" s="33"/>
      <c r="EK1" s="33"/>
      <c r="EL1" s="33"/>
      <c r="EM1" s="33"/>
      <c r="EN1" s="33"/>
      <c r="EO1" s="33"/>
      <c r="EP1" s="33"/>
      <c r="EQ1" s="33"/>
      <c r="ER1" s="33"/>
      <c r="ES1" s="33"/>
      <c r="ET1" s="33"/>
      <c r="EU1" s="33"/>
      <c r="EV1" s="33"/>
      <c r="EW1" s="33"/>
      <c r="EX1" s="33"/>
      <c r="EY1" s="33"/>
      <c r="EZ1" s="33"/>
      <c r="FA1" s="33"/>
      <c r="FB1" s="33"/>
      <c r="FC1" s="33"/>
      <c r="FD1" s="33"/>
      <c r="FE1" s="33"/>
      <c r="FF1" s="33"/>
      <c r="FG1" s="33"/>
      <c r="FH1" s="33"/>
      <c r="FI1" s="33"/>
      <c r="FJ1" s="33"/>
      <c r="FK1" s="33"/>
      <c r="FL1" s="33"/>
      <c r="FM1" s="33"/>
      <c r="FN1" s="33"/>
      <c r="FO1" s="33"/>
      <c r="FP1" s="33"/>
      <c r="FQ1" s="33"/>
      <c r="FR1" s="33"/>
      <c r="FS1" s="33"/>
      <c r="FT1" s="33"/>
      <c r="FU1" s="33"/>
      <c r="FV1" s="33"/>
      <c r="FW1" s="33"/>
      <c r="FX1" s="33"/>
      <c r="FY1" s="33"/>
      <c r="FZ1" s="33"/>
      <c r="GA1" s="33"/>
      <c r="GB1" s="33"/>
      <c r="GC1" s="33"/>
      <c r="GD1" s="33"/>
      <c r="GE1" s="33"/>
      <c r="GF1" s="33"/>
      <c r="GG1" s="33"/>
      <c r="GH1" s="33"/>
      <c r="GI1" s="33"/>
      <c r="GJ1" s="33"/>
      <c r="GK1" s="33"/>
      <c r="GL1" s="33"/>
      <c r="GM1" s="33"/>
      <c r="GN1" s="33"/>
      <c r="GO1" s="33"/>
      <c r="GP1" s="33"/>
      <c r="GQ1" s="33"/>
      <c r="GR1" s="33"/>
      <c r="GS1" s="33"/>
      <c r="GT1" s="33"/>
      <c r="GU1" s="33"/>
      <c r="GV1" s="33"/>
      <c r="GW1" s="33"/>
      <c r="GX1" s="33"/>
      <c r="GY1" s="33"/>
      <c r="GZ1" s="33"/>
      <c r="HA1" s="33"/>
      <c r="HB1" s="33"/>
      <c r="HC1" s="33"/>
      <c r="HD1" s="33"/>
      <c r="HE1" s="33"/>
      <c r="HF1" s="33"/>
      <c r="HG1" s="33"/>
      <c r="HH1" s="33"/>
      <c r="HI1" s="33"/>
      <c r="HJ1" s="33"/>
      <c r="HK1" s="33"/>
      <c r="HL1" s="33"/>
      <c r="HM1" s="33"/>
      <c r="HN1" s="33"/>
      <c r="HO1" s="33"/>
      <c r="HP1" s="33"/>
      <c r="HQ1" s="33"/>
      <c r="HR1" s="33"/>
      <c r="HS1" s="33"/>
      <c r="HT1" s="33"/>
      <c r="HU1" s="33"/>
      <c r="HV1" s="33"/>
      <c r="HW1" s="33"/>
      <c r="HX1" s="33"/>
      <c r="HY1" s="33"/>
      <c r="HZ1" s="33"/>
      <c r="IA1" s="33"/>
      <c r="IB1" s="33"/>
      <c r="IC1" s="33"/>
      <c r="ID1" s="33"/>
      <c r="IE1" s="33"/>
      <c r="IF1" s="33"/>
      <c r="IG1" s="33"/>
      <c r="IH1" s="33"/>
      <c r="II1" s="33"/>
      <c r="IJ1" s="33"/>
      <c r="IK1" s="33"/>
      <c r="IL1" s="33"/>
      <c r="IM1" s="33"/>
      <c r="IN1" s="33"/>
      <c r="IO1" s="33"/>
      <c r="IP1" s="33"/>
      <c r="IQ1" s="33"/>
      <c r="IR1" s="33"/>
      <c r="IS1" s="33"/>
      <c r="IT1" s="33"/>
      <c r="IU1" s="33"/>
      <c r="IV1" s="33"/>
      <c r="IW1" s="33"/>
      <c r="IX1" s="33"/>
      <c r="IY1" s="33"/>
      <c r="IZ1" s="33"/>
      <c r="JA1" s="33"/>
      <c r="JB1" s="33"/>
      <c r="JC1" s="33"/>
      <c r="JD1" s="33"/>
      <c r="JE1" s="33"/>
      <c r="JF1" s="33"/>
      <c r="JG1" s="33"/>
      <c r="JH1" s="33"/>
      <c r="JI1" s="33"/>
      <c r="JJ1" s="33"/>
      <c r="JK1" s="33"/>
      <c r="JL1" s="33"/>
      <c r="JM1" s="33"/>
      <c r="JN1" s="33"/>
      <c r="JO1" s="33"/>
      <c r="JP1" s="33"/>
      <c r="JQ1" s="33"/>
      <c r="JR1" s="33"/>
      <c r="JS1" s="33"/>
      <c r="JT1" s="33"/>
      <c r="JU1" s="33"/>
      <c r="JV1" s="33"/>
      <c r="JW1" s="33"/>
      <c r="JX1" s="33"/>
      <c r="JY1" s="33"/>
      <c r="JZ1" s="33"/>
      <c r="KA1" s="33"/>
      <c r="KB1" s="33"/>
      <c r="KC1" s="33"/>
      <c r="KD1" s="33"/>
      <c r="KE1" s="33"/>
      <c r="KF1" s="33"/>
      <c r="KG1" s="33"/>
      <c r="KH1" s="33"/>
      <c r="KI1" s="33"/>
      <c r="KJ1" s="33"/>
      <c r="KK1" s="33"/>
      <c r="KL1" s="33"/>
      <c r="KM1" s="33"/>
      <c r="KN1" s="33"/>
      <c r="KO1" s="33"/>
      <c r="KP1" s="33"/>
      <c r="KQ1" s="33"/>
      <c r="KR1" s="33"/>
      <c r="KS1" s="33"/>
      <c r="KT1" s="33"/>
      <c r="KU1" s="33"/>
      <c r="KV1" s="33"/>
      <c r="KW1" s="33"/>
      <c r="KX1" s="33"/>
      <c r="KY1" s="33"/>
      <c r="KZ1" s="33"/>
      <c r="LA1" s="33"/>
      <c r="LB1" s="33"/>
      <c r="LC1" s="33"/>
      <c r="LD1" s="33"/>
      <c r="LE1" s="33"/>
      <c r="LF1" s="33"/>
      <c r="LG1" s="33"/>
      <c r="LH1" s="33"/>
      <c r="LI1" s="33"/>
      <c r="LJ1" s="33"/>
      <c r="LK1" s="33"/>
      <c r="LL1" s="33"/>
      <c r="LM1" s="33"/>
      <c r="LN1" s="33"/>
      <c r="LO1" s="33"/>
      <c r="LP1" s="33"/>
      <c r="LQ1" s="33"/>
      <c r="LR1" s="33"/>
      <c r="LS1" s="33"/>
      <c r="LT1" s="33"/>
      <c r="LU1" s="33"/>
      <c r="LV1" s="33"/>
      <c r="LW1" s="33"/>
      <c r="LX1" s="33"/>
      <c r="LY1" s="33"/>
      <c r="LZ1" s="33"/>
      <c r="MA1" s="33"/>
      <c r="MB1" s="33"/>
      <c r="MC1" s="33"/>
      <c r="MD1" s="33"/>
      <c r="ME1" s="33"/>
      <c r="MF1" s="33"/>
      <c r="MG1" s="33"/>
      <c r="MH1" s="33"/>
      <c r="MI1" s="33"/>
      <c r="MJ1" s="33"/>
      <c r="MK1" s="33"/>
      <c r="ML1" s="33"/>
      <c r="MM1" s="33"/>
      <c r="MN1" s="33"/>
      <c r="MO1" s="33"/>
      <c r="MP1" s="33"/>
      <c r="MQ1" s="33"/>
      <c r="MR1" s="33"/>
      <c r="MS1" s="33"/>
      <c r="MT1" s="33"/>
      <c r="MU1" s="33"/>
      <c r="MV1" s="33"/>
      <c r="MW1" s="33"/>
      <c r="MX1" s="33"/>
      <c r="MY1" s="33"/>
      <c r="MZ1" s="33"/>
      <c r="NA1" s="33"/>
      <c r="NB1" s="33"/>
      <c r="NC1" s="33"/>
      <c r="ND1" s="33"/>
      <c r="NE1" s="33"/>
      <c r="NF1" s="33"/>
      <c r="NG1" s="33"/>
      <c r="NH1" s="33"/>
      <c r="NI1" s="33"/>
      <c r="NJ1" s="33"/>
      <c r="NK1" s="33"/>
      <c r="NL1" s="33"/>
      <c r="NM1" s="33"/>
      <c r="NN1" s="33"/>
      <c r="NO1" s="33"/>
      <c r="NP1" s="33"/>
      <c r="NQ1" s="33"/>
      <c r="NR1" s="33"/>
      <c r="NS1" s="33"/>
      <c r="NT1" s="33"/>
      <c r="NU1" s="33"/>
      <c r="NV1" s="33"/>
      <c r="NW1" s="33"/>
      <c r="NX1" s="33"/>
      <c r="NY1" s="33"/>
      <c r="NZ1" s="33"/>
      <c r="OA1" s="33"/>
      <c r="OB1" s="33"/>
      <c r="OC1" s="33"/>
      <c r="OD1" s="33"/>
      <c r="OE1" s="33"/>
      <c r="OF1" s="33"/>
      <c r="OG1" s="33"/>
      <c r="OH1" s="33"/>
      <c r="OI1" s="33"/>
      <c r="OJ1" s="33"/>
      <c r="OK1" s="33"/>
      <c r="OL1" s="33"/>
      <c r="OM1" s="33"/>
      <c r="ON1" s="33"/>
      <c r="OO1" s="33"/>
      <c r="OP1" s="33"/>
      <c r="OQ1" s="33"/>
      <c r="OR1" s="33"/>
      <c r="OS1" s="33"/>
      <c r="OT1" s="33"/>
      <c r="OU1" s="33"/>
      <c r="OV1" s="33"/>
      <c r="OW1" s="33"/>
      <c r="OX1" s="33"/>
      <c r="OY1" s="33"/>
      <c r="OZ1" s="33"/>
      <c r="PA1" s="33"/>
      <c r="PB1" s="33"/>
      <c r="PC1" s="33"/>
      <c r="PD1" s="33"/>
      <c r="PE1" s="33"/>
      <c r="PF1" s="33"/>
      <c r="PG1" s="33"/>
      <c r="PH1" s="33"/>
      <c r="PI1" s="33"/>
      <c r="PJ1" s="33"/>
      <c r="PK1" s="33"/>
      <c r="PL1" s="33"/>
      <c r="PM1" s="33"/>
      <c r="PN1" s="33"/>
      <c r="PO1" s="33"/>
      <c r="PP1" s="33"/>
      <c r="PQ1" s="33"/>
      <c r="PR1" s="33"/>
      <c r="PS1" s="33"/>
      <c r="PT1" s="33"/>
      <c r="PU1" s="33"/>
      <c r="PV1" s="33"/>
      <c r="PW1" s="33"/>
      <c r="PX1" s="33"/>
      <c r="PY1" s="33"/>
      <c r="PZ1" s="33"/>
      <c r="QA1" s="33"/>
      <c r="QB1" s="33"/>
      <c r="QC1" s="33"/>
      <c r="QD1" s="33"/>
      <c r="QE1" s="33"/>
      <c r="QF1" s="33"/>
      <c r="QG1" s="33"/>
      <c r="QH1" s="33"/>
      <c r="QI1" s="33"/>
      <c r="QJ1" s="33"/>
      <c r="QK1" s="33"/>
      <c r="QL1" s="33"/>
      <c r="QM1" s="33"/>
      <c r="QN1" s="33"/>
      <c r="QO1" s="33"/>
      <c r="QP1" s="33"/>
      <c r="QQ1" s="33"/>
      <c r="QR1" s="33"/>
      <c r="QS1" s="33"/>
      <c r="QT1" s="33"/>
      <c r="QU1" s="33"/>
      <c r="QV1" s="33"/>
      <c r="QW1" s="33"/>
      <c r="QX1" s="33"/>
      <c r="QY1" s="33"/>
      <c r="QZ1" s="33"/>
      <c r="RA1" s="33"/>
      <c r="RB1" s="33"/>
      <c r="RC1" s="33"/>
      <c r="RD1" s="33"/>
      <c r="RE1" s="33"/>
      <c r="RF1" s="33"/>
      <c r="RG1" s="33"/>
      <c r="RH1" s="33"/>
      <c r="RI1" s="33"/>
      <c r="RJ1" s="33"/>
      <c r="RK1" s="33"/>
      <c r="RL1" s="33"/>
      <c r="RM1" s="33"/>
      <c r="RN1" s="33"/>
      <c r="RO1" s="33"/>
      <c r="RP1" s="33"/>
      <c r="RQ1" s="33"/>
      <c r="RR1" s="33"/>
      <c r="RS1" s="33"/>
      <c r="RT1" s="33"/>
      <c r="RU1" s="33"/>
      <c r="RV1" s="33"/>
      <c r="RW1" s="33"/>
      <c r="RX1" s="33"/>
      <c r="RY1" s="33"/>
      <c r="RZ1" s="33"/>
      <c r="SA1" s="33"/>
      <c r="SB1" s="33"/>
      <c r="SC1" s="33"/>
      <c r="SD1" s="33"/>
      <c r="SE1" s="33"/>
      <c r="SF1" s="33"/>
      <c r="SG1" s="33"/>
      <c r="SH1" s="33"/>
      <c r="SI1" s="33"/>
      <c r="SJ1" s="33"/>
      <c r="SK1" s="33"/>
      <c r="SL1" s="33"/>
      <c r="SM1" s="33"/>
      <c r="SN1" s="33"/>
      <c r="SO1" s="33"/>
      <c r="SP1" s="33"/>
      <c r="SQ1" s="33"/>
      <c r="SR1" s="33"/>
      <c r="SS1" s="33"/>
      <c r="ST1" s="33"/>
      <c r="SU1" s="33"/>
      <c r="SV1" s="33"/>
      <c r="SW1" s="33"/>
      <c r="SX1" s="33"/>
      <c r="SY1" s="33"/>
      <c r="SZ1" s="33"/>
      <c r="TA1" s="33"/>
      <c r="TB1" s="33"/>
      <c r="TC1" s="33"/>
      <c r="TD1" s="33"/>
      <c r="TE1" s="33"/>
      <c r="TF1" s="33"/>
      <c r="TG1" s="33"/>
      <c r="TH1" s="33"/>
      <c r="TI1" s="33"/>
      <c r="TJ1" s="33"/>
      <c r="TK1" s="33"/>
      <c r="TL1" s="33"/>
      <c r="TM1" s="33"/>
      <c r="TN1" s="33"/>
      <c r="TO1" s="33"/>
      <c r="TP1" s="33"/>
      <c r="TQ1" s="33"/>
      <c r="TR1" s="33"/>
      <c r="TS1" s="33"/>
      <c r="TT1" s="33"/>
      <c r="TU1" s="33"/>
      <c r="TV1" s="33"/>
      <c r="TW1" s="33"/>
      <c r="TX1" s="33"/>
      <c r="TY1" s="33"/>
      <c r="TZ1" s="33"/>
      <c r="UA1" s="33"/>
      <c r="UB1" s="33"/>
      <c r="UC1" s="33"/>
      <c r="UD1" s="33"/>
      <c r="UE1" s="33"/>
      <c r="UF1" s="33"/>
      <c r="UG1" s="33"/>
      <c r="UH1" s="33"/>
      <c r="UI1" s="33"/>
      <c r="UJ1" s="33"/>
      <c r="UK1" s="33"/>
      <c r="UL1" s="33"/>
      <c r="UM1" s="33"/>
      <c r="UN1" s="33"/>
      <c r="UO1" s="33"/>
      <c r="UP1" s="33"/>
      <c r="UQ1" s="33"/>
      <c r="UR1" s="33"/>
      <c r="US1" s="33"/>
      <c r="UT1" s="33"/>
      <c r="UU1" s="33"/>
      <c r="UV1" s="33"/>
      <c r="UW1" s="33"/>
      <c r="UX1" s="33"/>
      <c r="UY1" s="33"/>
      <c r="UZ1" s="33"/>
      <c r="VA1" s="33"/>
      <c r="VB1" s="33"/>
      <c r="VC1" s="33"/>
      <c r="VD1" s="33"/>
      <c r="VE1" s="33"/>
      <c r="VF1" s="33"/>
      <c r="VG1" s="33"/>
      <c r="VH1" s="33"/>
      <c r="VI1" s="33"/>
      <c r="VJ1" s="33"/>
      <c r="VK1" s="33"/>
      <c r="VL1" s="33"/>
      <c r="VM1" s="33"/>
      <c r="VN1" s="33"/>
      <c r="VO1" s="33"/>
      <c r="VP1" s="33"/>
      <c r="VQ1" s="33"/>
      <c r="VR1" s="33"/>
      <c r="VS1" s="33"/>
      <c r="VT1" s="33"/>
      <c r="VU1" s="33"/>
      <c r="VV1" s="33"/>
      <c r="VW1" s="33"/>
      <c r="VX1" s="33"/>
      <c r="VY1" s="33"/>
      <c r="VZ1" s="33"/>
      <c r="WA1" s="33"/>
      <c r="WB1" s="33"/>
      <c r="WC1" s="33"/>
      <c r="WD1" s="33"/>
      <c r="WE1" s="33"/>
      <c r="WF1" s="33"/>
      <c r="WG1" s="33"/>
      <c r="WH1" s="33"/>
      <c r="WI1" s="33"/>
      <c r="WJ1" s="33"/>
      <c r="WK1" s="33"/>
      <c r="WL1" s="33"/>
      <c r="WM1" s="33"/>
      <c r="WN1" s="33"/>
      <c r="WO1" s="33"/>
      <c r="WP1" s="33"/>
      <c r="WQ1" s="33"/>
      <c r="WR1" s="33"/>
      <c r="WS1" s="33"/>
      <c r="WT1" s="33"/>
      <c r="WU1" s="33"/>
      <c r="WV1" s="33"/>
      <c r="WW1" s="33"/>
      <c r="WX1" s="33"/>
      <c r="WY1" s="33"/>
      <c r="WZ1" s="33"/>
      <c r="XA1" s="33"/>
      <c r="XB1" s="33"/>
      <c r="XC1" s="33"/>
      <c r="XD1" s="33"/>
      <c r="XE1" s="33"/>
      <c r="XF1" s="33"/>
      <c r="XG1" s="33"/>
      <c r="XH1" s="33"/>
      <c r="XI1" s="33"/>
      <c r="XJ1" s="33"/>
      <c r="XK1" s="33"/>
      <c r="XL1" s="33"/>
      <c r="XM1" s="33"/>
      <c r="XN1" s="33"/>
      <c r="XO1" s="33"/>
      <c r="XP1" s="33"/>
      <c r="XQ1" s="33"/>
      <c r="XR1" s="33"/>
      <c r="XS1" s="33"/>
      <c r="XT1" s="33"/>
      <c r="XU1" s="33"/>
      <c r="XV1" s="33"/>
      <c r="XW1" s="33"/>
      <c r="XX1" s="33"/>
      <c r="XY1" s="33"/>
      <c r="XZ1" s="33"/>
      <c r="YA1" s="33"/>
      <c r="YB1" s="33"/>
      <c r="YC1" s="33"/>
      <c r="YD1" s="33"/>
      <c r="YE1" s="33"/>
      <c r="YF1" s="33"/>
      <c r="YG1" s="33"/>
      <c r="YH1" s="33"/>
      <c r="YI1" s="33"/>
      <c r="YJ1" s="33"/>
      <c r="YK1" s="33"/>
      <c r="YL1" s="33"/>
      <c r="YM1" s="33"/>
      <c r="YN1" s="33"/>
      <c r="YO1" s="33"/>
      <c r="YP1" s="33"/>
      <c r="YQ1" s="33"/>
      <c r="YR1" s="33"/>
      <c r="YS1" s="33"/>
      <c r="YT1" s="33"/>
      <c r="YU1" s="33"/>
      <c r="YV1" s="33"/>
      <c r="YW1" s="33"/>
      <c r="YX1" s="33"/>
      <c r="YY1" s="33"/>
      <c r="YZ1" s="33"/>
      <c r="ZA1" s="33"/>
      <c r="ZB1" s="33"/>
      <c r="ZC1" s="33"/>
      <c r="ZD1" s="33"/>
      <c r="ZE1" s="33"/>
      <c r="ZF1" s="33"/>
      <c r="ZG1" s="33"/>
      <c r="ZH1" s="33"/>
      <c r="ZI1" s="33"/>
      <c r="ZJ1" s="33"/>
      <c r="ZK1" s="33"/>
      <c r="ZL1" s="33"/>
      <c r="ZM1" s="33"/>
      <c r="ZN1" s="33"/>
      <c r="ZO1" s="33"/>
      <c r="ZP1" s="33"/>
      <c r="ZQ1" s="33"/>
      <c r="ZR1" s="33"/>
      <c r="ZS1" s="33"/>
      <c r="ZT1" s="33"/>
      <c r="ZU1" s="33"/>
      <c r="ZV1" s="33"/>
      <c r="ZW1" s="33"/>
      <c r="ZX1" s="33"/>
      <c r="ZY1" s="33"/>
      <c r="ZZ1" s="33"/>
      <c r="AAA1" s="33"/>
      <c r="AAB1" s="33"/>
      <c r="AAC1" s="33"/>
      <c r="AAD1" s="33"/>
      <c r="AAE1" s="33"/>
      <c r="AAF1" s="33"/>
      <c r="AAG1" s="33"/>
      <c r="AAH1" s="33"/>
      <c r="AAI1" s="33"/>
      <c r="AAJ1" s="33"/>
      <c r="AAK1" s="33"/>
      <c r="AAL1" s="33"/>
      <c r="AAM1" s="33"/>
      <c r="AAN1" s="33"/>
      <c r="AAO1" s="33"/>
      <c r="AAP1" s="33"/>
      <c r="AAQ1" s="33"/>
      <c r="AAR1" s="33"/>
      <c r="AAS1" s="33"/>
      <c r="AAT1" s="33"/>
      <c r="AAU1" s="33"/>
      <c r="AAV1" s="33"/>
      <c r="AAW1" s="33"/>
      <c r="AAX1" s="33"/>
      <c r="AAY1" s="33"/>
      <c r="AAZ1" s="33"/>
      <c r="ABA1" s="33"/>
      <c r="ABB1" s="33"/>
      <c r="ABC1" s="33"/>
      <c r="ABD1" s="33"/>
      <c r="ABE1" s="33"/>
      <c r="ABF1" s="33"/>
      <c r="ABG1" s="33"/>
      <c r="ABH1" s="33"/>
      <c r="ABI1" s="33"/>
      <c r="ABJ1" s="33"/>
      <c r="ABK1" s="33"/>
      <c r="ABL1" s="33"/>
      <c r="ABM1" s="33"/>
      <c r="ABN1" s="33"/>
      <c r="ABO1" s="33"/>
      <c r="ABP1" s="33"/>
      <c r="ABQ1" s="33"/>
      <c r="ABR1" s="33"/>
      <c r="ABS1" s="33"/>
      <c r="ABT1" s="33"/>
      <c r="ABU1" s="33"/>
      <c r="ABV1" s="33"/>
      <c r="ABW1" s="33"/>
      <c r="ABX1" s="33"/>
      <c r="ABY1" s="33"/>
      <c r="ABZ1" s="33"/>
      <c r="ACA1" s="33"/>
      <c r="ACB1" s="33"/>
      <c r="ACC1" s="33"/>
      <c r="ACD1" s="33"/>
      <c r="ACE1" s="33"/>
      <c r="ACF1" s="33"/>
      <c r="ACG1" s="33"/>
      <c r="ACH1" s="33"/>
      <c r="ACI1" s="33"/>
      <c r="ACJ1" s="33"/>
      <c r="ACK1" s="33"/>
      <c r="ACL1" s="33"/>
      <c r="ACM1" s="33"/>
      <c r="ACN1" s="33"/>
      <c r="ACO1" s="33"/>
      <c r="ACP1" s="33"/>
      <c r="ACQ1" s="33"/>
      <c r="ACR1" s="33"/>
      <c r="ACS1" s="33"/>
      <c r="ACT1" s="33"/>
      <c r="ACU1" s="33"/>
      <c r="ACV1" s="33"/>
      <c r="ACW1" s="33"/>
      <c r="ACX1" s="33"/>
      <c r="ACY1" s="33"/>
      <c r="ACZ1" s="33"/>
      <c r="ADA1" s="33"/>
      <c r="ADB1" s="33"/>
      <c r="ADC1" s="33"/>
      <c r="ADD1" s="33"/>
      <c r="ADE1" s="33"/>
      <c r="ADF1" s="33"/>
      <c r="ADG1" s="33"/>
      <c r="ADH1" s="33"/>
      <c r="ADI1" s="33"/>
      <c r="ADJ1" s="33"/>
      <c r="ADK1" s="33"/>
      <c r="ADL1" s="33"/>
      <c r="ADM1" s="33"/>
      <c r="ADN1" s="33"/>
      <c r="ADO1" s="33"/>
      <c r="ADP1" s="33"/>
      <c r="ADQ1" s="33"/>
      <c r="ADR1" s="33"/>
      <c r="ADS1" s="33"/>
      <c r="ADT1" s="33"/>
      <c r="ADU1" s="33"/>
      <c r="ADV1" s="33"/>
      <c r="ADW1" s="33"/>
      <c r="ADX1" s="33"/>
      <c r="ADY1" s="33"/>
      <c r="ADZ1" s="33"/>
      <c r="AEA1" s="33"/>
      <c r="AEB1" s="33"/>
      <c r="AEC1" s="33"/>
      <c r="AED1" s="33"/>
      <c r="AEE1" s="33"/>
      <c r="AEF1" s="33"/>
      <c r="AEG1" s="33"/>
      <c r="AEH1" s="33"/>
      <c r="AEI1" s="33"/>
      <c r="AEJ1" s="33"/>
      <c r="AEK1" s="33"/>
      <c r="AEL1" s="33"/>
      <c r="AEM1" s="33"/>
      <c r="AEN1" s="33"/>
      <c r="AEO1" s="33"/>
      <c r="AEP1" s="33"/>
      <c r="AEQ1" s="33"/>
      <c r="AER1" s="33"/>
      <c r="AES1" s="33"/>
      <c r="AET1" s="33"/>
      <c r="AEU1" s="33"/>
      <c r="AEV1" s="33"/>
      <c r="AEW1" s="33"/>
      <c r="AEX1" s="33"/>
      <c r="AEY1" s="33"/>
      <c r="AEZ1" s="33"/>
      <c r="AFA1" s="33"/>
      <c r="AFB1" s="33"/>
      <c r="AFC1" s="33"/>
      <c r="AFD1" s="33"/>
      <c r="AFE1" s="33"/>
      <c r="AFF1" s="33"/>
      <c r="AFG1" s="33"/>
      <c r="AFH1" s="33"/>
      <c r="AFI1" s="33"/>
      <c r="AFJ1" s="33"/>
      <c r="AFK1" s="33"/>
      <c r="AFL1" s="33"/>
      <c r="AFM1" s="33"/>
      <c r="AFN1" s="33"/>
      <c r="AFO1" s="33"/>
      <c r="AFP1" s="33"/>
      <c r="AFQ1" s="33"/>
      <c r="AFR1" s="33"/>
      <c r="AFS1" s="33"/>
      <c r="AFT1" s="33"/>
      <c r="AFU1" s="33"/>
      <c r="AFV1" s="33"/>
      <c r="AFW1" s="33"/>
      <c r="AFX1" s="33"/>
      <c r="AFY1" s="33"/>
      <c r="AFZ1" s="33"/>
      <c r="AGA1" s="33"/>
      <c r="AGB1" s="33"/>
      <c r="AGC1" s="33"/>
      <c r="AGD1" s="33"/>
      <c r="AGE1" s="33"/>
      <c r="AGF1" s="33"/>
      <c r="AGG1" s="33"/>
      <c r="AGH1" s="33"/>
      <c r="AGI1" s="33"/>
      <c r="AGJ1" s="33"/>
      <c r="AGK1" s="33"/>
      <c r="AGL1" s="33"/>
      <c r="AGM1" s="33"/>
      <c r="AGN1" s="33"/>
      <c r="AGO1" s="33"/>
      <c r="AGP1" s="33"/>
      <c r="AGQ1" s="33"/>
      <c r="AGR1" s="33"/>
      <c r="AGS1" s="33"/>
      <c r="AGT1" s="33"/>
      <c r="AGU1" s="33"/>
      <c r="AGV1" s="33"/>
      <c r="AGW1" s="33"/>
      <c r="AGX1" s="33"/>
      <c r="AGY1" s="33"/>
      <c r="AGZ1" s="33"/>
      <c r="AHA1" s="33"/>
      <c r="AHB1" s="33"/>
      <c r="AHC1" s="33"/>
      <c r="AHD1" s="33"/>
      <c r="AHE1" s="33"/>
      <c r="AHF1" s="33"/>
      <c r="AHG1" s="33"/>
      <c r="AHH1" s="33"/>
      <c r="AHI1" s="33"/>
      <c r="AHJ1" s="33"/>
      <c r="AHK1" s="33"/>
      <c r="AHL1" s="33"/>
      <c r="AHM1" s="33"/>
      <c r="AHN1" s="33"/>
      <c r="AHO1" s="33"/>
      <c r="AHP1" s="33"/>
      <c r="AHQ1" s="33"/>
      <c r="AHR1" s="33"/>
      <c r="AHS1" s="33"/>
      <c r="AHT1" s="33"/>
      <c r="AHU1" s="33"/>
      <c r="AHV1" s="33"/>
      <c r="AHW1" s="33"/>
      <c r="AHX1" s="33"/>
      <c r="AHY1" s="33"/>
      <c r="AHZ1" s="33"/>
      <c r="AIA1" s="33"/>
      <c r="AIB1" s="33"/>
      <c r="AIC1" s="33"/>
      <c r="AID1" s="33"/>
      <c r="AIE1" s="33"/>
      <c r="AIF1" s="33"/>
      <c r="AIG1" s="33"/>
      <c r="AIH1" s="33"/>
      <c r="AII1" s="33"/>
      <c r="AIJ1" s="33"/>
      <c r="AIK1" s="33"/>
      <c r="AIL1" s="33"/>
      <c r="AIM1" s="33"/>
      <c r="AIN1" s="33"/>
      <c r="AIO1" s="33"/>
      <c r="AIP1" s="33"/>
      <c r="AIQ1" s="33"/>
      <c r="AIR1" s="33"/>
      <c r="AIS1" s="33"/>
      <c r="AIT1" s="33"/>
      <c r="AIU1" s="33"/>
      <c r="AIV1" s="33"/>
      <c r="AIW1" s="33"/>
      <c r="AIX1" s="33"/>
      <c r="AIY1" s="33"/>
      <c r="AIZ1" s="33"/>
      <c r="AJA1" s="33"/>
      <c r="AJB1" s="33"/>
      <c r="AJC1" s="33"/>
      <c r="AJD1" s="33"/>
      <c r="AJE1" s="33"/>
      <c r="AJF1" s="33"/>
      <c r="AJG1" s="33"/>
      <c r="AJH1" s="33"/>
      <c r="AJI1" s="33"/>
      <c r="AJJ1" s="33"/>
      <c r="AJK1" s="33"/>
      <c r="AJL1" s="33"/>
      <c r="AJM1" s="33"/>
      <c r="AJN1" s="33"/>
      <c r="AJO1" s="33"/>
      <c r="AJP1" s="33"/>
      <c r="AJQ1" s="33"/>
      <c r="AJR1" s="33"/>
      <c r="AJS1" s="33"/>
      <c r="AJT1" s="33"/>
      <c r="AJU1" s="33"/>
      <c r="AJV1" s="33"/>
      <c r="AJW1" s="33"/>
      <c r="AJX1" s="33"/>
      <c r="AJY1" s="33"/>
      <c r="AJZ1" s="33"/>
      <c r="AKA1" s="33"/>
      <c r="AKB1" s="33"/>
      <c r="AKC1" s="33"/>
      <c r="AKD1" s="33"/>
      <c r="AKE1" s="33"/>
      <c r="AKF1" s="33"/>
      <c r="AKG1" s="33"/>
      <c r="AKH1" s="33"/>
      <c r="AKI1" s="33"/>
      <c r="AKJ1" s="33"/>
      <c r="AKK1" s="33"/>
      <c r="AKL1" s="33"/>
      <c r="AKM1" s="33"/>
      <c r="AKN1" s="33"/>
      <c r="AKO1" s="33"/>
      <c r="AKP1" s="33"/>
      <c r="AKQ1" s="33"/>
      <c r="AKR1" s="33"/>
      <c r="AKS1" s="33"/>
      <c r="AKT1" s="33"/>
      <c r="AKU1" s="33"/>
      <c r="AKV1" s="33"/>
      <c r="AKW1" s="33"/>
      <c r="AKX1" s="33"/>
      <c r="AKY1" s="33"/>
      <c r="AKZ1" s="33"/>
      <c r="ALA1" s="33"/>
      <c r="ALB1" s="33"/>
      <c r="ALC1" s="33"/>
      <c r="ALD1" s="33"/>
      <c r="ALE1" s="33"/>
      <c r="ALF1" s="33"/>
      <c r="ALG1" s="33"/>
      <c r="ALH1" s="33"/>
      <c r="ALI1" s="33"/>
      <c r="ALJ1" s="33"/>
      <c r="ALK1" s="33"/>
      <c r="ALL1" s="33"/>
      <c r="ALM1" s="33"/>
      <c r="ALN1" s="33"/>
      <c r="ALO1" s="33"/>
      <c r="ALP1" s="33"/>
      <c r="ALQ1" s="33"/>
      <c r="ALR1" s="33"/>
      <c r="ALS1" s="33"/>
      <c r="ALT1" s="33"/>
      <c r="ALU1" s="33"/>
      <c r="ALV1" s="33"/>
      <c r="ALW1" s="33"/>
      <c r="ALX1" s="33"/>
      <c r="ALY1" s="33"/>
      <c r="ALZ1" s="33"/>
      <c r="AMA1" s="33"/>
      <c r="AMB1" s="33"/>
      <c r="AMC1" s="33"/>
      <c r="AMD1" s="33"/>
      <c r="AME1" s="33"/>
      <c r="AMF1" s="33"/>
      <c r="AMG1" s="33"/>
      <c r="AMH1" s="33"/>
      <c r="AMI1" s="33"/>
      <c r="AMJ1" s="33"/>
    </row>
    <row r="3" spans="1:1024" ht="13.15" x14ac:dyDescent="0.4">
      <c r="A3" s="1" t="s">
        <v>35</v>
      </c>
      <c r="B3" s="3" t="s">
        <v>65</v>
      </c>
    </row>
    <row r="4" spans="1:1024" x14ac:dyDescent="0.35">
      <c r="A4" t="s">
        <v>36</v>
      </c>
      <c r="B4" s="3" t="s">
        <v>66</v>
      </c>
    </row>
    <row r="5" spans="1:1024" x14ac:dyDescent="0.35">
      <c r="A5" t="s">
        <v>37</v>
      </c>
      <c r="B5" s="3" t="s">
        <v>90</v>
      </c>
    </row>
    <row r="6" spans="1:1024" x14ac:dyDescent="0.35">
      <c r="A6" t="s">
        <v>38</v>
      </c>
      <c r="B6" s="3" t="s">
        <v>66</v>
      </c>
    </row>
    <row r="7" spans="1:1024" x14ac:dyDescent="0.35">
      <c r="A7" t="s">
        <v>39</v>
      </c>
      <c r="B7" s="3"/>
    </row>
    <row r="8" spans="1:1024" ht="13.15" x14ac:dyDescent="0.4">
      <c r="A8" t="s">
        <v>32</v>
      </c>
      <c r="B8" s="34">
        <v>46139</v>
      </c>
    </row>
    <row r="9" spans="1:1024" x14ac:dyDescent="0.35">
      <c r="A9" t="s">
        <v>40</v>
      </c>
      <c r="B9" s="35" t="s">
        <v>41</v>
      </c>
    </row>
    <row r="10" spans="1:1024" ht="13.15" x14ac:dyDescent="0.4">
      <c r="A10" t="s">
        <v>42</v>
      </c>
      <c r="B10" s="2">
        <v>35</v>
      </c>
    </row>
    <row r="11" spans="1:1024" x14ac:dyDescent="0.35">
      <c r="A11" t="s">
        <v>43</v>
      </c>
      <c r="B11">
        <v>1</v>
      </c>
    </row>
    <row r="13" spans="1:1024" x14ac:dyDescent="0.35">
      <c r="A13" t="s">
        <v>44</v>
      </c>
      <c r="B13">
        <v>100</v>
      </c>
      <c r="C13" t="s">
        <v>45</v>
      </c>
    </row>
    <row r="14" spans="1:1024" x14ac:dyDescent="0.35">
      <c r="A14" t="s">
        <v>46</v>
      </c>
      <c r="B14">
        <v>5</v>
      </c>
    </row>
    <row r="15" spans="1:1024" x14ac:dyDescent="0.35">
      <c r="A15" t="s">
        <v>47</v>
      </c>
      <c r="B15">
        <f>B13/B14</f>
        <v>20</v>
      </c>
      <c r="C15" t="s">
        <v>45</v>
      </c>
    </row>
    <row r="16" spans="1:1024" x14ac:dyDescent="0.35">
      <c r="A16" t="s">
        <v>48</v>
      </c>
      <c r="B16" s="68">
        <v>0.4612</v>
      </c>
    </row>
    <row r="17" spans="1:13" x14ac:dyDescent="0.35">
      <c r="D17" s="3"/>
    </row>
    <row r="18" spans="1:13" x14ac:dyDescent="0.35">
      <c r="A18" t="s">
        <v>49</v>
      </c>
      <c r="B18">
        <f>$B$16*$B$15/100</f>
        <v>9.2240000000000003E-2</v>
      </c>
    </row>
    <row r="19" spans="1:13" x14ac:dyDescent="0.35">
      <c r="A19" s="36" t="s">
        <v>50</v>
      </c>
      <c r="B19">
        <f>B16*$B$13</f>
        <v>46.12</v>
      </c>
      <c r="C19" t="s">
        <v>45</v>
      </c>
    </row>
    <row r="20" spans="1:13" x14ac:dyDescent="0.35">
      <c r="A20" t="s">
        <v>51</v>
      </c>
      <c r="B20">
        <f>B15*B16</f>
        <v>9.2240000000000002</v>
      </c>
      <c r="C20" t="s">
        <v>45</v>
      </c>
    </row>
    <row r="22" spans="1:13" ht="15" x14ac:dyDescent="0.5">
      <c r="A22" s="37" t="s">
        <v>52</v>
      </c>
      <c r="B22" s="37" t="s">
        <v>53</v>
      </c>
      <c r="C22" s="37" t="s">
        <v>54</v>
      </c>
      <c r="D22" s="37" t="s">
        <v>55</v>
      </c>
      <c r="E22" s="37" t="s">
        <v>56</v>
      </c>
      <c r="F22" s="37" t="s">
        <v>8</v>
      </c>
      <c r="G22" s="37" t="s">
        <v>92</v>
      </c>
      <c r="H22" s="37" t="s">
        <v>58</v>
      </c>
      <c r="I22" s="37" t="s">
        <v>59</v>
      </c>
      <c r="J22" s="37" t="s">
        <v>60</v>
      </c>
      <c r="K22" s="37" t="s">
        <v>84</v>
      </c>
      <c r="L22" s="37" t="s">
        <v>85</v>
      </c>
      <c r="M22" s="37" t="s">
        <v>96</v>
      </c>
    </row>
    <row r="23" spans="1:13" x14ac:dyDescent="0.35">
      <c r="A23" s="38">
        <v>4</v>
      </c>
      <c r="B23" s="39">
        <f>'E - B1'!$G9</f>
        <v>5897.3508787999999</v>
      </c>
      <c r="C23" s="39">
        <f>'E - B2'!$G9</f>
        <v>5879.7733154999996</v>
      </c>
      <c r="D23" s="39">
        <f>'E - B3'!$G9</f>
        <v>5897.2637693999995</v>
      </c>
      <c r="E23" s="14">
        <f t="shared" ref="E23:E28" si="0">AVERAGE(B23:D23)</f>
        <v>5891.4626545666661</v>
      </c>
      <c r="F23" s="63">
        <f t="shared" ref="F23:F28" si="1">STDEVP(B23:E23)/AVERAGE(B23:E23)</f>
        <v>1.215028543533124E-3</v>
      </c>
      <c r="G23" s="40">
        <v>6300</v>
      </c>
      <c r="H23">
        <v>4553</v>
      </c>
      <c r="I23">
        <v>8713</v>
      </c>
      <c r="J23" s="5">
        <f t="shared" ref="J23:J28" si="2">(E23-G23)/G23</f>
        <v>-6.4847197687830788E-2</v>
      </c>
      <c r="K23" s="63">
        <f>(H23-G23)/G23</f>
        <v>-0.27730158730158733</v>
      </c>
      <c r="L23" s="63">
        <f>(I23-G23)/G23</f>
        <v>0.38301587301587303</v>
      </c>
      <c r="M23" s="63">
        <f t="shared" ref="M23:M28" si="3">IF(E23&gt;$A$45, $D$45, IF(E23&gt;$A$46, $D$46, IF(E23&gt;$A$47,$D$47, IF(E23&gt;$A$48,$D$48, IF(E23&gt;$A$49, $D$49, IF(E23&gt;$A$50,$D$50, IF(E23&gt;$A$51, $D$51)))))))</f>
        <v>7.8E-2</v>
      </c>
    </row>
    <row r="24" spans="1:13" x14ac:dyDescent="0.35">
      <c r="A24" s="3">
        <v>5</v>
      </c>
      <c r="B24" s="39">
        <f>'E - B1'!$G10</f>
        <v>3258.7757812</v>
      </c>
      <c r="C24" s="39">
        <f>'E - B2'!$G10</f>
        <v>3256.8005372500002</v>
      </c>
      <c r="D24" s="39">
        <f>'E - B3'!$G10</f>
        <v>3257.0669434000001</v>
      </c>
      <c r="E24" s="14">
        <f t="shared" si="0"/>
        <v>3257.5477539500002</v>
      </c>
      <c r="F24" s="63">
        <f t="shared" si="1"/>
        <v>2.3265526296478733E-4</v>
      </c>
      <c r="G24" s="41">
        <v>3475</v>
      </c>
      <c r="H24">
        <v>2330</v>
      </c>
      <c r="I24">
        <v>5183</v>
      </c>
      <c r="J24" s="5">
        <f t="shared" si="2"/>
        <v>-6.2576185913668994E-2</v>
      </c>
      <c r="K24" s="63">
        <f t="shared" ref="K24:K28" si="4">(H24-G24)/G24</f>
        <v>-0.32949640287769782</v>
      </c>
      <c r="L24" s="63">
        <f t="shared" ref="L24:L28" si="5">(I24-G24)/G24</f>
        <v>0.49151079136690645</v>
      </c>
      <c r="M24" s="63">
        <f t="shared" si="3"/>
        <v>7.9000000000000001E-2</v>
      </c>
    </row>
    <row r="25" spans="1:13" x14ac:dyDescent="0.35">
      <c r="A25" s="3">
        <v>6</v>
      </c>
      <c r="B25" s="39">
        <f>'E - B1'!$G11</f>
        <v>1652.5127929999999</v>
      </c>
      <c r="C25" s="39">
        <f>'E - B2'!$G11</f>
        <v>1649.1336672499999</v>
      </c>
      <c r="D25" s="39">
        <f>'E - B3'!$G11</f>
        <v>1658.3662351999999</v>
      </c>
      <c r="E25" s="14">
        <f t="shared" si="0"/>
        <v>1653.33756515</v>
      </c>
      <c r="F25" s="63">
        <f t="shared" si="1"/>
        <v>1.9978067436273463E-3</v>
      </c>
      <c r="G25" s="41">
        <v>1631</v>
      </c>
      <c r="H25">
        <v>938.2</v>
      </c>
      <c r="I25">
        <v>2834</v>
      </c>
      <c r="J25" s="5">
        <f t="shared" si="2"/>
        <v>1.3695625475168637E-2</v>
      </c>
      <c r="K25" s="63">
        <f t="shared" si="4"/>
        <v>-0.42477007970570202</v>
      </c>
      <c r="L25" s="63">
        <f t="shared" si="5"/>
        <v>0.73758430410790921</v>
      </c>
      <c r="M25" s="63">
        <f t="shared" si="3"/>
        <v>0.08</v>
      </c>
    </row>
    <row r="26" spans="1:13" x14ac:dyDescent="0.35">
      <c r="A26" s="3">
        <v>7</v>
      </c>
      <c r="B26" s="39">
        <f>'E - B1'!$G12</f>
        <v>839.98546160000001</v>
      </c>
      <c r="C26" s="39">
        <f>'E - B2'!$G12</f>
        <v>840.98779324999998</v>
      </c>
      <c r="D26" s="39">
        <f>'E - B3'!$G12</f>
        <v>843.45719020000001</v>
      </c>
      <c r="E26" s="14">
        <f t="shared" si="0"/>
        <v>841.47681501666682</v>
      </c>
      <c r="F26" s="63">
        <f t="shared" si="1"/>
        <v>1.5014602869926797E-3</v>
      </c>
      <c r="G26" s="41">
        <v>769.8</v>
      </c>
      <c r="H26">
        <v>413.6</v>
      </c>
      <c r="I26">
        <v>1433</v>
      </c>
      <c r="J26" s="5">
        <f t="shared" si="2"/>
        <v>9.3110957413181178E-2</v>
      </c>
      <c r="K26" s="63">
        <f t="shared" si="4"/>
        <v>-0.46271758898415166</v>
      </c>
      <c r="L26" s="63">
        <f t="shared" si="5"/>
        <v>0.86152247336970655</v>
      </c>
      <c r="M26" s="63">
        <f t="shared" si="3"/>
        <v>8.199999999999999E-2</v>
      </c>
    </row>
    <row r="27" spans="1:13" x14ac:dyDescent="0.35">
      <c r="A27" s="3">
        <v>8</v>
      </c>
      <c r="B27" s="39">
        <f>'E - B1'!$G13</f>
        <v>384.89197379999996</v>
      </c>
      <c r="C27" s="39">
        <f>'E - B2'!$G13</f>
        <v>384.85373674999994</v>
      </c>
      <c r="D27" s="39">
        <f>'E - B3'!$G13</f>
        <v>389.1275574</v>
      </c>
      <c r="E27" s="14">
        <f t="shared" si="0"/>
        <v>386.29108931666661</v>
      </c>
      <c r="F27" s="63">
        <f t="shared" si="1"/>
        <v>4.4966801581109881E-3</v>
      </c>
      <c r="G27" s="41">
        <v>379.1</v>
      </c>
      <c r="H27">
        <v>179.7</v>
      </c>
      <c r="I27">
        <v>799.5</v>
      </c>
      <c r="J27" s="5">
        <f t="shared" si="2"/>
        <v>1.8968845467334718E-2</v>
      </c>
      <c r="K27" s="63">
        <f t="shared" si="4"/>
        <v>-0.52598259034555528</v>
      </c>
      <c r="L27" s="63">
        <f t="shared" si="5"/>
        <v>1.1089422316011606</v>
      </c>
      <c r="M27" s="63">
        <f t="shared" si="3"/>
        <v>8.900000000000001E-2</v>
      </c>
    </row>
    <row r="28" spans="1:13" x14ac:dyDescent="0.35">
      <c r="A28" s="22">
        <v>9</v>
      </c>
      <c r="B28" s="42">
        <f>'E - B1'!$G14</f>
        <v>172.476248</v>
      </c>
      <c r="C28" s="42">
        <f>'E - B2'!$G14</f>
        <v>176.00133525000001</v>
      </c>
      <c r="D28" s="42">
        <f>'E - B3'!$G14</f>
        <v>178.36631440000002</v>
      </c>
      <c r="E28" s="43">
        <f t="shared" si="0"/>
        <v>175.61463255000001</v>
      </c>
      <c r="F28" s="69">
        <f t="shared" si="1"/>
        <v>1.1934506062433375E-2</v>
      </c>
      <c r="G28" s="44">
        <v>196.2</v>
      </c>
      <c r="H28" s="29">
        <v>76.569999999999993</v>
      </c>
      <c r="I28" s="29">
        <v>502.6</v>
      </c>
      <c r="J28" s="13">
        <f t="shared" si="2"/>
        <v>-0.10492032339449531</v>
      </c>
      <c r="K28" s="69">
        <f t="shared" si="4"/>
        <v>-0.60973496432212027</v>
      </c>
      <c r="L28" s="69">
        <f t="shared" si="5"/>
        <v>1.5616717635066262</v>
      </c>
      <c r="M28" s="69">
        <f t="shared" si="3"/>
        <v>0.1</v>
      </c>
    </row>
    <row r="29" spans="1:13" ht="13.15" x14ac:dyDescent="0.4">
      <c r="A29" s="1"/>
      <c r="B29" s="1"/>
      <c r="C29" s="45"/>
      <c r="D29" s="40"/>
      <c r="E29" s="40"/>
      <c r="J29" s="3"/>
    </row>
    <row r="30" spans="1:13" x14ac:dyDescent="0.35">
      <c r="A30" t="s">
        <v>57</v>
      </c>
      <c r="C30" s="26"/>
    </row>
    <row r="31" spans="1:13" x14ac:dyDescent="0.35">
      <c r="A31" s="37" t="s">
        <v>52</v>
      </c>
      <c r="B31" s="37" t="s">
        <v>61</v>
      </c>
      <c r="C31" s="37" t="s">
        <v>62</v>
      </c>
      <c r="D31" s="37" t="s">
        <v>63</v>
      </c>
    </row>
    <row r="32" spans="1:13" x14ac:dyDescent="0.35">
      <c r="A32">
        <v>2</v>
      </c>
      <c r="B32">
        <v>20210</v>
      </c>
      <c r="C32">
        <v>14180</v>
      </c>
      <c r="D32">
        <v>28820</v>
      </c>
    </row>
    <row r="33" spans="1:21" x14ac:dyDescent="0.35">
      <c r="A33">
        <v>3</v>
      </c>
      <c r="B33">
        <v>10700</v>
      </c>
      <c r="C33">
        <v>7928</v>
      </c>
      <c r="D33">
        <v>14440</v>
      </c>
      <c r="U33" s="11"/>
    </row>
    <row r="34" spans="1:21" ht="13.15" x14ac:dyDescent="0.4">
      <c r="A34" s="46">
        <v>4</v>
      </c>
      <c r="B34" s="46">
        <v>6300</v>
      </c>
      <c r="C34" s="46">
        <v>4553</v>
      </c>
      <c r="D34" s="46">
        <v>8713</v>
      </c>
    </row>
    <row r="35" spans="1:21" x14ac:dyDescent="0.35">
      <c r="A35">
        <v>5</v>
      </c>
      <c r="B35">
        <v>3475</v>
      </c>
      <c r="C35">
        <v>2330</v>
      </c>
      <c r="D35">
        <v>5183</v>
      </c>
      <c r="E35" s="27"/>
      <c r="F35" s="14"/>
      <c r="G35" s="27"/>
      <c r="H35" s="14"/>
      <c r="I35" s="27"/>
      <c r="J35" s="14"/>
      <c r="K35" s="27"/>
    </row>
    <row r="36" spans="1:21" ht="13.15" x14ac:dyDescent="0.4">
      <c r="A36" s="46">
        <v>6</v>
      </c>
      <c r="B36" s="46">
        <v>1631</v>
      </c>
      <c r="C36" s="46">
        <v>938.2</v>
      </c>
      <c r="D36" s="46">
        <v>2834</v>
      </c>
      <c r="E36" s="27"/>
      <c r="F36" s="14"/>
      <c r="G36" s="27"/>
      <c r="H36" s="14"/>
      <c r="I36" s="27"/>
      <c r="J36" s="14"/>
      <c r="K36" s="27"/>
    </row>
    <row r="37" spans="1:21" x14ac:dyDescent="0.35">
      <c r="A37">
        <v>7</v>
      </c>
      <c r="B37">
        <v>769.8</v>
      </c>
      <c r="C37">
        <v>413.6</v>
      </c>
      <c r="D37">
        <v>1433</v>
      </c>
      <c r="E37" s="27"/>
      <c r="F37" s="14"/>
      <c r="G37" s="27"/>
      <c r="H37" s="14"/>
      <c r="I37" s="27"/>
      <c r="J37" s="14"/>
      <c r="K37" s="27"/>
    </row>
    <row r="38" spans="1:21" x14ac:dyDescent="0.35">
      <c r="A38">
        <v>8</v>
      </c>
      <c r="B38">
        <v>379.1</v>
      </c>
      <c r="C38">
        <v>179.7</v>
      </c>
      <c r="D38">
        <v>799.5</v>
      </c>
      <c r="E38" s="27"/>
      <c r="F38" s="14"/>
      <c r="G38" s="27"/>
      <c r="H38" s="14"/>
      <c r="I38" s="27"/>
      <c r="J38" s="14"/>
      <c r="K38" s="27"/>
    </row>
    <row r="39" spans="1:21" x14ac:dyDescent="0.35">
      <c r="A39">
        <v>9</v>
      </c>
      <c r="B39">
        <v>196.2</v>
      </c>
      <c r="C39">
        <v>76.569999999999993</v>
      </c>
      <c r="D39">
        <v>502.6</v>
      </c>
      <c r="E39" s="27"/>
      <c r="F39" s="14"/>
      <c r="G39" s="27"/>
      <c r="H39" s="14"/>
      <c r="I39" s="27"/>
      <c r="J39" s="14"/>
      <c r="K39" s="27"/>
    </row>
    <row r="40" spans="1:21" x14ac:dyDescent="0.35">
      <c r="A40" s="29">
        <v>10</v>
      </c>
      <c r="B40" s="29">
        <v>88.9</v>
      </c>
      <c r="C40" s="29">
        <v>27.89</v>
      </c>
      <c r="D40" s="29">
        <v>283.39999999999998</v>
      </c>
    </row>
    <row r="42" spans="1:21" x14ac:dyDescent="0.35">
      <c r="A42" t="s">
        <v>21</v>
      </c>
    </row>
    <row r="43" spans="1:21" ht="15" x14ac:dyDescent="0.5">
      <c r="A43" s="16"/>
      <c r="B43" s="17" t="s">
        <v>93</v>
      </c>
      <c r="C43" s="16"/>
      <c r="D43" s="72" t="s">
        <v>23</v>
      </c>
      <c r="E43" s="70"/>
      <c r="F43" s="70"/>
      <c r="G43" s="70"/>
      <c r="H43" s="70"/>
      <c r="U43" s="11"/>
    </row>
    <row r="44" spans="1:21" ht="15" x14ac:dyDescent="0.5">
      <c r="A44" s="21" t="s">
        <v>24</v>
      </c>
      <c r="B44" s="22" t="s">
        <v>25</v>
      </c>
      <c r="C44" s="21" t="s">
        <v>26</v>
      </c>
      <c r="D44" s="73" t="s">
        <v>27</v>
      </c>
      <c r="E44" s="71"/>
      <c r="F44" s="71"/>
      <c r="G44" s="71"/>
      <c r="H44" s="71"/>
      <c r="I44" s="14"/>
      <c r="J44" s="14"/>
    </row>
    <row r="45" spans="1:21" x14ac:dyDescent="0.35">
      <c r="A45" s="24">
        <v>10000</v>
      </c>
      <c r="C45" s="24">
        <v>11</v>
      </c>
      <c r="D45" s="74">
        <v>7.8E-2</v>
      </c>
      <c r="E45" s="63"/>
      <c r="F45" s="63"/>
      <c r="G45" s="63"/>
      <c r="H45" s="63"/>
      <c r="I45" s="14"/>
      <c r="J45" s="14"/>
    </row>
    <row r="46" spans="1:21" x14ac:dyDescent="0.35">
      <c r="A46" s="24">
        <v>5000</v>
      </c>
      <c r="B46">
        <v>10000</v>
      </c>
      <c r="C46" s="24">
        <v>11.3</v>
      </c>
      <c r="D46" s="74">
        <v>7.8E-2</v>
      </c>
      <c r="E46" s="63"/>
      <c r="F46" s="63"/>
      <c r="G46" s="63"/>
      <c r="H46" s="63"/>
    </row>
    <row r="47" spans="1:21" x14ac:dyDescent="0.35">
      <c r="A47" s="24">
        <v>2000</v>
      </c>
      <c r="B47">
        <v>5000</v>
      </c>
      <c r="C47" s="24">
        <v>11.9</v>
      </c>
      <c r="D47" s="74">
        <v>7.9000000000000001E-2</v>
      </c>
      <c r="E47" s="63"/>
      <c r="F47" s="63"/>
      <c r="G47" s="63"/>
      <c r="H47" s="63"/>
      <c r="J47" s="14"/>
    </row>
    <row r="48" spans="1:21" x14ac:dyDescent="0.35">
      <c r="A48" s="24">
        <v>1000</v>
      </c>
      <c r="B48">
        <v>2000</v>
      </c>
      <c r="C48" s="24">
        <v>13.4</v>
      </c>
      <c r="D48" s="74">
        <v>0.08</v>
      </c>
      <c r="E48" s="63"/>
      <c r="F48" s="63"/>
      <c r="G48" s="63"/>
      <c r="H48" s="63"/>
      <c r="J48" s="14"/>
    </row>
    <row r="49" spans="1:12" x14ac:dyDescent="0.35">
      <c r="A49" s="24">
        <v>500</v>
      </c>
      <c r="B49">
        <v>1000</v>
      </c>
      <c r="C49" s="24">
        <v>15.6</v>
      </c>
      <c r="D49" s="74">
        <v>8.199999999999999E-2</v>
      </c>
      <c r="E49" s="63"/>
      <c r="F49" s="63"/>
      <c r="G49" s="63"/>
      <c r="H49" s="63"/>
      <c r="I49" s="14"/>
      <c r="J49" s="14"/>
    </row>
    <row r="50" spans="1:12" x14ac:dyDescent="0.35">
      <c r="A50" s="24">
        <v>200</v>
      </c>
      <c r="B50">
        <v>500</v>
      </c>
      <c r="C50" s="24">
        <v>19.3</v>
      </c>
      <c r="D50" s="74">
        <v>8.900000000000001E-2</v>
      </c>
      <c r="E50" s="63"/>
      <c r="F50" s="63"/>
      <c r="G50" s="63"/>
      <c r="H50" s="63"/>
    </row>
    <row r="51" spans="1:12" x14ac:dyDescent="0.35">
      <c r="A51" s="28">
        <v>100</v>
      </c>
      <c r="B51" s="29">
        <v>200</v>
      </c>
      <c r="C51" s="28">
        <v>27.5</v>
      </c>
      <c r="D51" s="75">
        <v>0.1</v>
      </c>
      <c r="E51" s="63"/>
      <c r="F51" s="63"/>
      <c r="G51" s="63"/>
      <c r="H51" s="63"/>
    </row>
    <row r="54" spans="1:12" x14ac:dyDescent="0.35">
      <c r="B54" s="27"/>
      <c r="D54" s="27"/>
      <c r="F54" s="27"/>
      <c r="H54" s="27"/>
      <c r="J54" s="27"/>
    </row>
    <row r="55" spans="1:12" ht="13.15" x14ac:dyDescent="0.4">
      <c r="A55" s="1"/>
      <c r="B55" s="31"/>
      <c r="D55" s="31"/>
      <c r="F55" s="31"/>
      <c r="H55" s="31"/>
      <c r="J55" s="31"/>
    </row>
    <row r="56" spans="1:12" ht="13.15" x14ac:dyDescent="0.4">
      <c r="B56" s="27"/>
      <c r="D56" s="27"/>
      <c r="K56" s="2"/>
      <c r="L56" s="2"/>
    </row>
  </sheetData>
  <conditionalFormatting sqref="A29">
    <cfRule type="cellIs" dxfId="4" priority="4" operator="between">
      <formula>$C$34</formula>
      <formula>$D$34</formula>
    </cfRule>
  </conditionalFormatting>
  <conditionalFormatting sqref="B29">
    <cfRule type="cellIs" dxfId="3" priority="5" operator="between">
      <formula>$C$36</formula>
      <formula>$D$36</formula>
    </cfRule>
  </conditionalFormatting>
  <conditionalFormatting sqref="B55 D55">
    <cfRule type="cellIs" dxfId="2" priority="6" operator="lessThan">
      <formula>B56</formula>
    </cfRule>
  </conditionalFormatting>
  <conditionalFormatting sqref="E23:E28">
    <cfRule type="cellIs" dxfId="1" priority="19" operator="between">
      <formula>H23</formula>
      <formula>I23</formula>
    </cfRule>
  </conditionalFormatting>
  <conditionalFormatting sqref="F23:F28">
    <cfRule type="cellIs" dxfId="0" priority="20" operator="lessThan">
      <formula>M23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E6E1-8DDB-43AD-AA42-DA78302BC685}">
  <sheetPr codeName="Sheet13"/>
  <dimension ref="A1:AW75"/>
  <sheetViews>
    <sheetView zoomScale="70" zoomScaleNormal="70" workbookViewId="0">
      <selection activeCell="A3" sqref="A3"/>
    </sheetView>
  </sheetViews>
  <sheetFormatPr defaultColWidth="11.53125" defaultRowHeight="12.75" x14ac:dyDescent="0.35"/>
  <cols>
    <col min="2" max="16" width="12.53125" bestFit="1" customWidth="1"/>
  </cols>
  <sheetData>
    <row r="1" spans="1:49" x14ac:dyDescent="0.35">
      <c r="A1" t="s">
        <v>0</v>
      </c>
    </row>
    <row r="3" spans="1:49" ht="40.15" x14ac:dyDescent="1.05">
      <c r="A3" s="9" t="s">
        <v>13</v>
      </c>
      <c r="D3" s="9" t="s">
        <v>16</v>
      </c>
    </row>
    <row r="4" spans="1:49" x14ac:dyDescent="0.35">
      <c r="A4" s="11">
        <v>46139</v>
      </c>
    </row>
    <row r="5" spans="1:49" x14ac:dyDescent="0.35">
      <c r="A5" t="s">
        <v>89</v>
      </c>
    </row>
    <row r="6" spans="1:49" ht="13.15" x14ac:dyDescent="0.4">
      <c r="B6" s="1"/>
      <c r="C6" s="1"/>
      <c r="D6" s="1"/>
      <c r="E6" s="1"/>
      <c r="F6" s="1"/>
    </row>
    <row r="7" spans="1:49" ht="14.65" x14ac:dyDescent="0.5"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M7" s="2"/>
    </row>
    <row r="8" spans="1:49" ht="13.15" x14ac:dyDescent="0.4">
      <c r="A8" s="3" t="s">
        <v>11</v>
      </c>
      <c r="B8" s="26">
        <f t="shared" ref="B8:F15" si="0">B37</f>
        <v>8.8250650000000004</v>
      </c>
      <c r="C8" s="26">
        <f t="shared" si="0"/>
        <v>9.3074969999999997</v>
      </c>
      <c r="D8" s="26">
        <f t="shared" si="0"/>
        <v>9.3045419999999996</v>
      </c>
      <c r="E8" s="26">
        <f t="shared" si="0"/>
        <v>9.3285470000000004</v>
      </c>
      <c r="F8" s="26">
        <f t="shared" si="0"/>
        <v>9.3136419999999998</v>
      </c>
      <c r="G8" s="4"/>
      <c r="H8" s="4">
        <f>AVERAGE(B$8:F$8)*5</f>
        <v>46.079293000000007</v>
      </c>
      <c r="I8" s="5"/>
      <c r="K8" s="5"/>
    </row>
    <row r="9" spans="1:49" ht="13.15" x14ac:dyDescent="0.4">
      <c r="A9" s="3" t="s">
        <v>12</v>
      </c>
      <c r="B9" s="26">
        <f t="shared" si="0"/>
        <v>5894.5742190000001</v>
      </c>
      <c r="C9" s="26">
        <f t="shared" si="0"/>
        <v>5892.5615230000003</v>
      </c>
      <c r="D9" s="26">
        <f t="shared" si="0"/>
        <v>5900.8818359999996</v>
      </c>
      <c r="E9" s="26">
        <f t="shared" si="0"/>
        <v>5957.1977539999998</v>
      </c>
      <c r="F9" s="26">
        <f t="shared" si="0"/>
        <v>5841.5390619999998</v>
      </c>
      <c r="G9" s="6">
        <f>AVERAGE(B9:F9)</f>
        <v>5897.3508787999999</v>
      </c>
      <c r="H9" s="7">
        <f t="shared" ref="H9:H15" si="1">G9*H$8</f>
        <v>271745.75906803273</v>
      </c>
      <c r="I9" s="8">
        <f t="shared" ref="I9:I15" si="2">STDEVP(B9:F9)/AVERAGE(B9:F9)</f>
        <v>6.2255689422295755E-3</v>
      </c>
      <c r="J9" s="8">
        <f t="shared" ref="J9:J15" si="3">IF(H9&gt;$A$21, $C$21, IF(H9&gt;$A$22, $C$22, IF(H9&gt;$A$23,$C$23,IF(H9&gt;$A$24,$C$24, IF(H9&gt;$A$25,$C$25,IF(H9&gt;$A$26,$C$26,$C$27))))))/100</f>
        <v>0.11</v>
      </c>
      <c r="K9" s="8">
        <f t="shared" ref="K9:K15" si="4">(MAX(B9:F9)-MIN(B9:F9))/G9</f>
        <v>1.9611973982381448E-2</v>
      </c>
    </row>
    <row r="10" spans="1:49" ht="13.15" x14ac:dyDescent="0.4">
      <c r="A10" s="3" t="s">
        <v>14</v>
      </c>
      <c r="B10" s="26">
        <f t="shared" si="0"/>
        <v>3250.2878420000002</v>
      </c>
      <c r="C10" s="26">
        <f t="shared" si="0"/>
        <v>3236.1010740000002</v>
      </c>
      <c r="D10" s="26">
        <f t="shared" si="0"/>
        <v>3268.2963869999999</v>
      </c>
      <c r="E10" s="26">
        <f t="shared" si="0"/>
        <v>3307.1601559999999</v>
      </c>
      <c r="F10" s="26">
        <f t="shared" si="0"/>
        <v>3232.0334469999998</v>
      </c>
      <c r="G10" s="6">
        <f t="shared" ref="G10:G15" si="5">AVERAGE(B10:F10)</f>
        <v>3258.7757812</v>
      </c>
      <c r="H10" s="10">
        <f t="shared" si="1"/>
        <v>150162.08404321873</v>
      </c>
      <c r="I10" s="5">
        <f t="shared" si="2"/>
        <v>8.3847715047686809E-3</v>
      </c>
      <c r="J10" s="5">
        <f t="shared" si="3"/>
        <v>0.11</v>
      </c>
      <c r="K10" s="8">
        <f t="shared" si="4"/>
        <v>2.3053660038045248E-2</v>
      </c>
    </row>
    <row r="11" spans="1:49" ht="13.15" x14ac:dyDescent="0.4">
      <c r="A11" s="3" t="s">
        <v>15</v>
      </c>
      <c r="B11" s="26">
        <f t="shared" si="0"/>
        <v>1646.2202150000001</v>
      </c>
      <c r="C11" s="26">
        <f t="shared" si="0"/>
        <v>1657.3736570000001</v>
      </c>
      <c r="D11" s="26">
        <f t="shared" si="0"/>
        <v>1645.4329829999999</v>
      </c>
      <c r="E11" s="26">
        <f t="shared" si="0"/>
        <v>1670.678101</v>
      </c>
      <c r="F11" s="26">
        <f t="shared" si="0"/>
        <v>1642.859009</v>
      </c>
      <c r="G11" s="6">
        <f t="shared" si="5"/>
        <v>1652.5127929999999</v>
      </c>
      <c r="H11" s="10">
        <f t="shared" si="1"/>
        <v>76146.62117489535</v>
      </c>
      <c r="I11" s="5">
        <f t="shared" si="2"/>
        <v>6.26850560596538E-3</v>
      </c>
      <c r="J11" s="5">
        <f t="shared" si="3"/>
        <v>0.11</v>
      </c>
      <c r="K11" s="8">
        <f t="shared" si="4"/>
        <v>1.6834418539959803E-2</v>
      </c>
    </row>
    <row r="12" spans="1:49" ht="13.15" x14ac:dyDescent="0.4">
      <c r="A12" s="3" t="s">
        <v>17</v>
      </c>
      <c r="B12" s="26">
        <f t="shared" si="0"/>
        <v>842.37341300000003</v>
      </c>
      <c r="C12" s="26">
        <f t="shared" si="0"/>
        <v>854.90222200000005</v>
      </c>
      <c r="D12" s="26">
        <f t="shared" si="0"/>
        <v>819.49230999999997</v>
      </c>
      <c r="E12" s="26">
        <f t="shared" si="0"/>
        <v>849.11395300000004</v>
      </c>
      <c r="F12" s="26">
        <f t="shared" si="0"/>
        <v>834.04540999999995</v>
      </c>
      <c r="G12" s="6">
        <f t="shared" si="5"/>
        <v>839.98546160000001</v>
      </c>
      <c r="H12" s="10">
        <f t="shared" si="1"/>
        <v>38705.936200806653</v>
      </c>
      <c r="I12" s="5">
        <f t="shared" si="2"/>
        <v>1.4742897007485201E-2</v>
      </c>
      <c r="J12" s="5">
        <f t="shared" si="3"/>
        <v>0.11</v>
      </c>
      <c r="K12" s="8">
        <f t="shared" si="4"/>
        <v>4.2155386752231946E-2</v>
      </c>
    </row>
    <row r="13" spans="1:49" ht="13.15" x14ac:dyDescent="0.4">
      <c r="A13" s="3" t="s">
        <v>18</v>
      </c>
      <c r="B13" s="26">
        <f t="shared" si="0"/>
        <v>382.32015999999999</v>
      </c>
      <c r="C13" s="26">
        <f t="shared" si="0"/>
        <v>387.32217400000002</v>
      </c>
      <c r="D13" s="26">
        <f t="shared" si="0"/>
        <v>377.127655</v>
      </c>
      <c r="E13" s="26">
        <f t="shared" si="0"/>
        <v>394.16641199999998</v>
      </c>
      <c r="F13" s="26">
        <f t="shared" si="0"/>
        <v>383.52346799999998</v>
      </c>
      <c r="G13" s="6">
        <f t="shared" si="5"/>
        <v>384.89197379999996</v>
      </c>
      <c r="H13" s="10">
        <f t="shared" si="1"/>
        <v>17735.550034078526</v>
      </c>
      <c r="I13" s="5">
        <f t="shared" si="2"/>
        <v>1.4729035028158449E-2</v>
      </c>
      <c r="J13" s="5">
        <f t="shared" si="3"/>
        <v>0.11</v>
      </c>
      <c r="K13" s="8">
        <f t="shared" si="4"/>
        <v>4.4268932998986786E-2</v>
      </c>
    </row>
    <row r="14" spans="1:49" ht="13.15" x14ac:dyDescent="0.4">
      <c r="A14" s="3" t="s">
        <v>19</v>
      </c>
      <c r="B14" s="26">
        <f t="shared" si="0"/>
        <v>169.63047800000001</v>
      </c>
      <c r="C14" s="26">
        <f t="shared" si="0"/>
        <v>175.34252900000001</v>
      </c>
      <c r="D14" s="26">
        <f t="shared" si="0"/>
        <v>170.13197299999999</v>
      </c>
      <c r="E14" s="26">
        <f t="shared" si="0"/>
        <v>173.98207099999999</v>
      </c>
      <c r="F14" s="26">
        <f t="shared" si="0"/>
        <v>173.29418899999999</v>
      </c>
      <c r="G14" s="6">
        <f t="shared" si="5"/>
        <v>172.476248</v>
      </c>
      <c r="H14" s="12">
        <f t="shared" si="1"/>
        <v>7947.5835671326649</v>
      </c>
      <c r="I14" s="13">
        <f t="shared" si="2"/>
        <v>1.2898503946357472E-2</v>
      </c>
      <c r="J14" s="13">
        <f t="shared" si="3"/>
        <v>0.113</v>
      </c>
      <c r="K14" s="8">
        <f t="shared" si="4"/>
        <v>3.3117899225173324E-2</v>
      </c>
      <c r="M14" s="14"/>
    </row>
    <row r="15" spans="1:49" ht="13.15" x14ac:dyDescent="0.4">
      <c r="A15" s="3" t="s">
        <v>20</v>
      </c>
      <c r="B15" s="26">
        <f t="shared" si="0"/>
        <v>81.812431000000004</v>
      </c>
      <c r="C15" s="26">
        <f t="shared" si="0"/>
        <v>82.729011999999997</v>
      </c>
      <c r="D15" s="26">
        <f t="shared" si="0"/>
        <v>81.358115999999995</v>
      </c>
      <c r="E15" s="26">
        <f t="shared" si="0"/>
        <v>84.900681000000006</v>
      </c>
      <c r="F15" s="26">
        <f t="shared" si="0"/>
        <v>81.385993999999997</v>
      </c>
      <c r="G15" s="6">
        <f t="shared" si="5"/>
        <v>82.437246799999997</v>
      </c>
      <c r="H15" s="10">
        <f t="shared" si="1"/>
        <v>3798.650049410513</v>
      </c>
      <c r="I15" s="5">
        <f t="shared" si="2"/>
        <v>1.6105354688481725E-2</v>
      </c>
      <c r="J15" s="5">
        <f t="shared" si="3"/>
        <v>0.11900000000000001</v>
      </c>
      <c r="K15" s="8">
        <f t="shared" si="4"/>
        <v>4.2972868909542605E-2</v>
      </c>
      <c r="M15" s="14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ht="13.15" x14ac:dyDescent="0.4">
      <c r="A16" s="3"/>
      <c r="G16" s="15"/>
      <c r="H16" s="10"/>
      <c r="I16" s="5"/>
      <c r="J16" s="5"/>
      <c r="K16" s="5"/>
      <c r="M16" s="14"/>
      <c r="P16" s="1"/>
      <c r="Q16" s="1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ht="13.15" x14ac:dyDescent="0.4">
      <c r="A17" s="3"/>
      <c r="G17" s="15"/>
      <c r="H17" s="10"/>
      <c r="I17" s="5"/>
      <c r="J17" s="5"/>
      <c r="K17" s="5"/>
      <c r="M17" s="14"/>
      <c r="P17" s="1"/>
      <c r="Q17" s="1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ht="13.5" thickBot="1" x14ac:dyDescent="0.45">
      <c r="A18" t="s">
        <v>21</v>
      </c>
      <c r="I18" s="5"/>
      <c r="J18" s="5"/>
      <c r="K18" s="5"/>
      <c r="M18" s="14"/>
      <c r="P18" s="1"/>
      <c r="Q18" s="1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ht="15" x14ac:dyDescent="0.5">
      <c r="A19" s="16"/>
      <c r="B19" s="17" t="s">
        <v>22</v>
      </c>
      <c r="C19" s="16"/>
      <c r="D19" s="18" t="s">
        <v>23</v>
      </c>
      <c r="E19" s="19"/>
      <c r="F19" s="19"/>
      <c r="G19" s="19"/>
      <c r="H19" s="20"/>
      <c r="I19" s="5"/>
      <c r="J19" s="5"/>
      <c r="K19" s="48" t="s">
        <v>67</v>
      </c>
      <c r="L19" s="49"/>
      <c r="M19" s="49"/>
      <c r="N19" s="50"/>
      <c r="P19" s="1" t="s">
        <v>68</v>
      </c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ht="15" x14ac:dyDescent="0.5">
      <c r="A20" s="21" t="s">
        <v>24</v>
      </c>
      <c r="B20" s="22" t="s">
        <v>25</v>
      </c>
      <c r="C20" s="21" t="s">
        <v>26</v>
      </c>
      <c r="D20" s="21" t="s">
        <v>27</v>
      </c>
      <c r="E20" s="22" t="s">
        <v>28</v>
      </c>
      <c r="F20" s="22" t="s">
        <v>29</v>
      </c>
      <c r="G20" s="22" t="s">
        <v>30</v>
      </c>
      <c r="H20" s="23" t="s">
        <v>31</v>
      </c>
      <c r="I20" s="5"/>
      <c r="J20" s="5"/>
      <c r="K20" s="51" t="s">
        <v>69</v>
      </c>
      <c r="L20" s="52"/>
      <c r="M20" s="53">
        <v>100</v>
      </c>
      <c r="N20" s="54" t="s">
        <v>70</v>
      </c>
      <c r="P20" t="s">
        <v>71</v>
      </c>
      <c r="R20" s="1">
        <v>10.65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ht="13.9" x14ac:dyDescent="0.4">
      <c r="A21" s="24">
        <v>10000</v>
      </c>
      <c r="C21" s="24">
        <v>11</v>
      </c>
      <c r="D21" s="24">
        <v>7.8</v>
      </c>
      <c r="E21">
        <v>5.3</v>
      </c>
      <c r="F21">
        <v>4</v>
      </c>
      <c r="G21">
        <v>2.7</v>
      </c>
      <c r="H21" s="25">
        <v>1.8</v>
      </c>
      <c r="I21" s="5"/>
      <c r="J21" s="5"/>
      <c r="K21" s="51" t="s">
        <v>72</v>
      </c>
      <c r="M21" s="53">
        <v>500</v>
      </c>
      <c r="N21" s="54" t="s">
        <v>45</v>
      </c>
      <c r="P21" t="s">
        <v>73</v>
      </c>
      <c r="R21" s="1">
        <v>1</v>
      </c>
      <c r="S21" s="2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ht="13.9" x14ac:dyDescent="0.4">
      <c r="A22" s="24">
        <v>5000</v>
      </c>
      <c r="B22">
        <v>10000</v>
      </c>
      <c r="C22" s="24">
        <v>11.3</v>
      </c>
      <c r="D22" s="24">
        <v>7.8</v>
      </c>
      <c r="E22">
        <v>5.3</v>
      </c>
      <c r="F22">
        <v>4</v>
      </c>
      <c r="G22">
        <v>2.7</v>
      </c>
      <c r="H22" s="25">
        <v>1.9</v>
      </c>
      <c r="I22" s="5"/>
      <c r="J22" s="5"/>
      <c r="K22" s="51" t="s">
        <v>74</v>
      </c>
      <c r="M22" s="55">
        <v>1</v>
      </c>
      <c r="N22" s="54" t="s">
        <v>70</v>
      </c>
      <c r="P22" t="s">
        <v>75</v>
      </c>
      <c r="R22" s="1">
        <f>R21*R20/1000</f>
        <v>1.065E-2</v>
      </c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x14ac:dyDescent="0.35">
      <c r="A23" s="24">
        <v>2000</v>
      </c>
      <c r="B23">
        <v>5000</v>
      </c>
      <c r="C23" s="24">
        <v>11.9</v>
      </c>
      <c r="D23" s="24">
        <v>7.9</v>
      </c>
      <c r="E23">
        <v>5.4</v>
      </c>
      <c r="F23">
        <v>4.0999999999999996</v>
      </c>
      <c r="G23">
        <v>2.9</v>
      </c>
      <c r="H23" s="25">
        <v>2.1</v>
      </c>
      <c r="I23" s="5"/>
      <c r="J23" s="5"/>
      <c r="K23" s="51"/>
      <c r="N23" s="54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ht="13.9" x14ac:dyDescent="0.4">
      <c r="A24" s="24">
        <v>1000</v>
      </c>
      <c r="B24">
        <v>2000</v>
      </c>
      <c r="C24" s="24">
        <v>13.4</v>
      </c>
      <c r="D24" s="24">
        <v>8</v>
      </c>
      <c r="E24">
        <v>5.6</v>
      </c>
      <c r="F24">
        <v>4.3</v>
      </c>
      <c r="G24">
        <v>3.1</v>
      </c>
      <c r="H24" s="25">
        <v>2.4</v>
      </c>
      <c r="I24" s="5"/>
      <c r="J24" s="5"/>
      <c r="K24" s="51" t="s">
        <v>76</v>
      </c>
      <c r="M24" s="56">
        <f>M22/M20*M21</f>
        <v>5</v>
      </c>
      <c r="N24" s="54" t="s">
        <v>45</v>
      </c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13.9" x14ac:dyDescent="0.4">
      <c r="A25" s="24">
        <v>500</v>
      </c>
      <c r="B25">
        <v>1000</v>
      </c>
      <c r="C25" s="24">
        <v>15.6</v>
      </c>
      <c r="D25" s="24">
        <v>8.1999999999999993</v>
      </c>
      <c r="E25">
        <v>5.9</v>
      </c>
      <c r="F25">
        <v>4.7</v>
      </c>
      <c r="G25">
        <v>3.6</v>
      </c>
      <c r="H25" s="25">
        <v>2.9</v>
      </c>
      <c r="I25" s="5"/>
      <c r="J25" s="5"/>
      <c r="K25" s="51" t="s">
        <v>77</v>
      </c>
      <c r="M25" s="57">
        <f>M21*(1-M22/M20)</f>
        <v>495</v>
      </c>
      <c r="N25" s="54" t="s">
        <v>45</v>
      </c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ht="13.15" thickBot="1" x14ac:dyDescent="0.4">
      <c r="A26" s="24">
        <v>200</v>
      </c>
      <c r="B26">
        <v>500</v>
      </c>
      <c r="C26" s="24">
        <v>19.3</v>
      </c>
      <c r="D26" s="24">
        <v>8.9</v>
      </c>
      <c r="E26">
        <v>6.8</v>
      </c>
      <c r="F26">
        <v>5.7</v>
      </c>
      <c r="G26">
        <v>4.7</v>
      </c>
      <c r="H26" s="25">
        <v>4.0999999999999996</v>
      </c>
      <c r="I26" s="5"/>
      <c r="J26" s="5"/>
      <c r="K26" s="58"/>
      <c r="L26" s="59"/>
      <c r="M26" s="59"/>
      <c r="N26" s="60"/>
    </row>
    <row r="27" spans="1:49" x14ac:dyDescent="0.35">
      <c r="A27" s="28">
        <v>100</v>
      </c>
      <c r="B27" s="29">
        <v>200</v>
      </c>
      <c r="C27" s="28">
        <v>27.5</v>
      </c>
      <c r="D27" s="28">
        <v>10</v>
      </c>
      <c r="E27" s="29">
        <v>8</v>
      </c>
      <c r="F27" s="29">
        <v>7</v>
      </c>
      <c r="G27" s="29">
        <v>6.1</v>
      </c>
      <c r="H27" s="30">
        <v>5.5</v>
      </c>
      <c r="I27" s="5"/>
      <c r="J27" s="5"/>
    </row>
    <row r="28" spans="1:49" ht="13.15" x14ac:dyDescent="0.4">
      <c r="A28" s="3"/>
      <c r="G28" s="15"/>
      <c r="H28" s="10"/>
      <c r="I28" s="5"/>
      <c r="J28" s="5"/>
      <c r="K28" s="1" t="s">
        <v>78</v>
      </c>
    </row>
    <row r="29" spans="1:49" ht="13.15" x14ac:dyDescent="0.4">
      <c r="A29" s="3"/>
      <c r="G29" s="15"/>
      <c r="H29" s="10"/>
      <c r="I29" s="5"/>
      <c r="J29" s="5"/>
      <c r="K29" t="s">
        <v>79</v>
      </c>
      <c r="L29" s="52"/>
      <c r="M29" s="2">
        <v>100</v>
      </c>
      <c r="P29" t="s">
        <v>87</v>
      </c>
    </row>
    <row r="30" spans="1:49" ht="13.15" x14ac:dyDescent="0.4">
      <c r="A30" s="3"/>
      <c r="G30" s="15"/>
      <c r="H30" s="10"/>
      <c r="I30" s="5"/>
      <c r="J30" s="5"/>
      <c r="K30" t="s">
        <v>80</v>
      </c>
      <c r="M30" s="2">
        <v>500</v>
      </c>
      <c r="P30" t="s">
        <v>88</v>
      </c>
    </row>
    <row r="31" spans="1:49" ht="13.15" x14ac:dyDescent="0.4">
      <c r="J31" s="5"/>
      <c r="K31" t="s">
        <v>81</v>
      </c>
      <c r="M31" s="61">
        <v>6.5</v>
      </c>
    </row>
    <row r="32" spans="1:49" x14ac:dyDescent="0.35">
      <c r="J32" s="5"/>
      <c r="K32" t="s">
        <v>76</v>
      </c>
      <c r="M32">
        <f>M31*M30/M29</f>
        <v>32.5</v>
      </c>
    </row>
    <row r="33" spans="1:16" ht="13.15" x14ac:dyDescent="0.4">
      <c r="J33" s="5"/>
      <c r="K33" t="s">
        <v>82</v>
      </c>
      <c r="M33" s="1">
        <v>3.27</v>
      </c>
    </row>
    <row r="34" spans="1:16" x14ac:dyDescent="0.35">
      <c r="J34" s="5"/>
      <c r="K34" t="s">
        <v>83</v>
      </c>
      <c r="M34" s="62">
        <f>M33*M29/(M30+M33)</f>
        <v>0.64975063087408347</v>
      </c>
    </row>
    <row r="35" spans="1:16" ht="13.15" x14ac:dyDescent="0.4">
      <c r="A35" s="1" t="s">
        <v>91</v>
      </c>
      <c r="J35" s="5"/>
      <c r="K35" s="5"/>
      <c r="M35" s="14"/>
    </row>
    <row r="36" spans="1:16" x14ac:dyDescent="0.35">
      <c r="A36" t="s">
        <v>86</v>
      </c>
      <c r="B36">
        <v>1</v>
      </c>
      <c r="C36">
        <v>2</v>
      </c>
      <c r="D36">
        <v>3</v>
      </c>
      <c r="E36">
        <v>4</v>
      </c>
      <c r="F36">
        <v>5</v>
      </c>
      <c r="G36">
        <v>1</v>
      </c>
      <c r="H36">
        <v>2</v>
      </c>
      <c r="I36">
        <v>3</v>
      </c>
      <c r="J36">
        <v>4</v>
      </c>
      <c r="K36">
        <v>5</v>
      </c>
      <c r="L36">
        <v>1</v>
      </c>
      <c r="M36">
        <v>2</v>
      </c>
      <c r="N36">
        <v>3</v>
      </c>
      <c r="O36">
        <v>4</v>
      </c>
      <c r="P36">
        <v>5</v>
      </c>
    </row>
    <row r="37" spans="1:16" x14ac:dyDescent="0.35">
      <c r="A37" t="s">
        <v>11</v>
      </c>
      <c r="B37" s="26">
        <v>8.8250650000000004</v>
      </c>
      <c r="C37" s="26">
        <v>9.3074969999999997</v>
      </c>
      <c r="D37" s="26">
        <v>9.3045419999999996</v>
      </c>
      <c r="E37" s="26">
        <v>9.3285470000000004</v>
      </c>
      <c r="F37" s="26">
        <v>9.3136419999999998</v>
      </c>
      <c r="G37" s="26">
        <v>8.8269169999999999</v>
      </c>
      <c r="H37" s="26">
        <v>9.2927250000000008</v>
      </c>
      <c r="I37" s="26">
        <v>9.3037890000000001</v>
      </c>
      <c r="J37" s="26">
        <v>9.3312969999999993</v>
      </c>
      <c r="K37" s="26">
        <v>9.3080689999999997</v>
      </c>
      <c r="L37" s="26">
        <v>8.8299339999999997</v>
      </c>
      <c r="M37" s="26">
        <v>9.2966180000000005</v>
      </c>
      <c r="N37" s="26">
        <v>9.2934529999999995</v>
      </c>
      <c r="O37" s="26">
        <v>9.3309560000000005</v>
      </c>
      <c r="P37" s="26">
        <v>9.2970620000000004</v>
      </c>
    </row>
    <row r="38" spans="1:16" x14ac:dyDescent="0.35">
      <c r="A38" t="s">
        <v>12</v>
      </c>
      <c r="B38" s="26">
        <v>5894.5742190000001</v>
      </c>
      <c r="C38" s="26">
        <v>5892.5615230000003</v>
      </c>
      <c r="D38" s="26">
        <v>5900.8818359999996</v>
      </c>
      <c r="E38" s="26">
        <v>5957.1977539999998</v>
      </c>
      <c r="F38" s="26">
        <v>5841.5390619999998</v>
      </c>
      <c r="G38" s="26">
        <v>5890.9584960000002</v>
      </c>
      <c r="H38" s="26">
        <v>5892.2441410000001</v>
      </c>
      <c r="I38" s="26">
        <v>5868.7915039999998</v>
      </c>
      <c r="J38" s="26">
        <v>5907.4316410000001</v>
      </c>
      <c r="K38" s="26">
        <v>5851.9116210000002</v>
      </c>
      <c r="L38" s="26">
        <v>5844.5507809999999</v>
      </c>
      <c r="M38" s="26">
        <v>5899.2416990000002</v>
      </c>
      <c r="N38" s="26">
        <v>5905.7705079999996</v>
      </c>
      <c r="O38" s="26">
        <v>5928.7602539999998</v>
      </c>
      <c r="P38" s="26">
        <v>5907.9956050000001</v>
      </c>
    </row>
    <row r="39" spans="1:16" x14ac:dyDescent="0.35">
      <c r="A39" t="s">
        <v>14</v>
      </c>
      <c r="B39" s="26">
        <v>3250.2878420000002</v>
      </c>
      <c r="C39" s="26">
        <v>3236.1010740000002</v>
      </c>
      <c r="D39" s="26">
        <v>3268.2963869999999</v>
      </c>
      <c r="E39" s="26">
        <v>3307.1601559999999</v>
      </c>
      <c r="F39" s="26">
        <v>3232.0334469999998</v>
      </c>
      <c r="G39" s="26">
        <v>3255.0437010000001</v>
      </c>
      <c r="H39" s="26">
        <v>3239.5234380000002</v>
      </c>
      <c r="I39" s="26">
        <v>3252.3308109999998</v>
      </c>
      <c r="J39" s="26">
        <v>3271.6782229999999</v>
      </c>
      <c r="K39" s="26">
        <v>3248.149414</v>
      </c>
      <c r="L39" s="26">
        <v>3233.546143</v>
      </c>
      <c r="M39" s="26">
        <v>3243.76001</v>
      </c>
      <c r="N39" s="26">
        <v>3261.9736330000001</v>
      </c>
      <c r="O39" s="26">
        <v>3272.6552729999999</v>
      </c>
      <c r="P39" s="26">
        <v>3273.3996579999998</v>
      </c>
    </row>
    <row r="40" spans="1:16" x14ac:dyDescent="0.35">
      <c r="A40" t="s">
        <v>15</v>
      </c>
      <c r="B40" s="26">
        <v>1646.2202150000001</v>
      </c>
      <c r="C40" s="26">
        <v>1657.3736570000001</v>
      </c>
      <c r="D40" s="26">
        <v>1645.4329829999999</v>
      </c>
      <c r="E40" s="26">
        <v>1670.678101</v>
      </c>
      <c r="F40" s="26">
        <v>1642.859009</v>
      </c>
      <c r="G40" s="26">
        <v>1655.1645510000001</v>
      </c>
      <c r="H40" s="26">
        <v>1642.360107</v>
      </c>
      <c r="I40" s="26">
        <v>1644.706177</v>
      </c>
      <c r="J40" s="26">
        <v>1654.218018</v>
      </c>
      <c r="K40" s="26">
        <v>1642.445923</v>
      </c>
      <c r="L40" s="26">
        <v>1643.0473629999999</v>
      </c>
      <c r="M40" s="26">
        <v>1655.33313</v>
      </c>
      <c r="N40" s="26">
        <v>1646.8582759999999</v>
      </c>
      <c r="O40" s="26">
        <v>1667.674927</v>
      </c>
      <c r="P40" s="26">
        <v>1678.9174800000001</v>
      </c>
    </row>
    <row r="41" spans="1:16" x14ac:dyDescent="0.35">
      <c r="A41" t="s">
        <v>17</v>
      </c>
      <c r="B41" s="26">
        <v>842.37341300000003</v>
      </c>
      <c r="C41" s="26">
        <v>854.90222200000005</v>
      </c>
      <c r="D41" s="26">
        <v>819.49230999999997</v>
      </c>
      <c r="E41" s="26">
        <v>849.11395300000004</v>
      </c>
      <c r="F41" s="26">
        <v>834.04540999999995</v>
      </c>
      <c r="G41" s="26">
        <v>849.90039100000001</v>
      </c>
      <c r="H41" s="26">
        <v>833.01727300000005</v>
      </c>
      <c r="I41" s="26">
        <v>830.41436799999997</v>
      </c>
      <c r="J41" s="26">
        <v>843.61261000000002</v>
      </c>
      <c r="K41" s="26">
        <v>840.02380400000004</v>
      </c>
      <c r="L41" s="26">
        <v>837.15234399999997</v>
      </c>
      <c r="M41" s="26">
        <v>830.62457300000005</v>
      </c>
      <c r="N41" s="26">
        <v>834.13555899999994</v>
      </c>
      <c r="O41" s="26">
        <v>857.57562299999995</v>
      </c>
      <c r="P41" s="26">
        <v>857.79785200000003</v>
      </c>
    </row>
    <row r="42" spans="1:16" x14ac:dyDescent="0.35">
      <c r="A42" t="s">
        <v>18</v>
      </c>
      <c r="B42" s="26">
        <v>382.32015999999999</v>
      </c>
      <c r="C42" s="26">
        <v>387.32217400000002</v>
      </c>
      <c r="D42" s="26">
        <v>377.127655</v>
      </c>
      <c r="E42" s="26">
        <v>394.16641199999998</v>
      </c>
      <c r="F42" s="26">
        <v>383.52346799999998</v>
      </c>
      <c r="G42" s="26">
        <v>385.18545499999999</v>
      </c>
      <c r="H42" s="26">
        <v>389.65966800000001</v>
      </c>
      <c r="I42" s="26">
        <v>381.77993800000002</v>
      </c>
      <c r="J42" s="26">
        <v>386.87011699999999</v>
      </c>
      <c r="K42" s="26">
        <v>385.57943699999998</v>
      </c>
      <c r="L42" s="26">
        <v>378.03225700000002</v>
      </c>
      <c r="M42" s="26">
        <v>393.15371699999997</v>
      </c>
      <c r="N42" s="26">
        <v>385.43261699999999</v>
      </c>
      <c r="O42" s="26">
        <v>396.52960200000001</v>
      </c>
      <c r="P42" s="26">
        <v>392.48959400000001</v>
      </c>
    </row>
    <row r="43" spans="1:16" x14ac:dyDescent="0.35">
      <c r="A43" t="s">
        <v>19</v>
      </c>
      <c r="B43" s="26">
        <v>169.63047800000001</v>
      </c>
      <c r="C43" s="26">
        <v>175.34252900000001</v>
      </c>
      <c r="D43" s="26">
        <v>170.13197299999999</v>
      </c>
      <c r="E43" s="26">
        <v>173.98207099999999</v>
      </c>
      <c r="F43" s="26">
        <v>173.29418899999999</v>
      </c>
      <c r="G43" s="26">
        <v>175.14610300000001</v>
      </c>
      <c r="H43" s="26">
        <v>173.57664500000001</v>
      </c>
      <c r="I43" s="26">
        <v>178.314438</v>
      </c>
      <c r="J43" s="26">
        <v>176.71713299999999</v>
      </c>
      <c r="K43" s="26">
        <v>173.82766699999999</v>
      </c>
      <c r="L43" s="26">
        <v>172.82122799999999</v>
      </c>
      <c r="M43" s="26">
        <v>183.400024</v>
      </c>
      <c r="N43" s="26">
        <v>182.17124899999999</v>
      </c>
      <c r="O43" s="26">
        <v>178.65266399999999</v>
      </c>
      <c r="P43" s="26">
        <v>174.786407</v>
      </c>
    </row>
    <row r="44" spans="1:16" x14ac:dyDescent="0.35">
      <c r="A44" t="s">
        <v>20</v>
      </c>
      <c r="B44" s="26">
        <v>81.812431000000004</v>
      </c>
      <c r="C44" s="26">
        <v>82.729011999999997</v>
      </c>
      <c r="D44" s="26">
        <v>81.358115999999995</v>
      </c>
      <c r="E44" s="26">
        <v>84.900681000000006</v>
      </c>
      <c r="F44" s="26">
        <v>81.385993999999997</v>
      </c>
      <c r="G44" s="26">
        <v>86.893310999999997</v>
      </c>
      <c r="H44" s="26">
        <v>84.474686000000005</v>
      </c>
      <c r="I44" s="26">
        <v>80.612319999999997</v>
      </c>
      <c r="J44" s="26">
        <v>86.375991999999997</v>
      </c>
      <c r="K44" s="26">
        <v>81.219848999999996</v>
      </c>
      <c r="L44" s="26">
        <v>84.598595000000003</v>
      </c>
      <c r="M44" s="26">
        <v>88.741943000000006</v>
      </c>
      <c r="N44" s="26">
        <v>87.050528999999997</v>
      </c>
      <c r="O44" s="26">
        <v>87.343681000000004</v>
      </c>
      <c r="P44" s="26">
        <v>82.391623999999993</v>
      </c>
    </row>
    <row r="53" spans="1:10" ht="13.15" x14ac:dyDescent="0.4">
      <c r="A53" s="1"/>
    </row>
    <row r="56" spans="1:10" x14ac:dyDescent="0.35">
      <c r="B56" s="65"/>
      <c r="C56" s="65"/>
      <c r="D56" s="65"/>
      <c r="E56" s="65"/>
      <c r="F56" s="65"/>
      <c r="G56" s="65"/>
      <c r="H56" s="65"/>
      <c r="I56" s="65"/>
    </row>
    <row r="57" spans="1:10" x14ac:dyDescent="0.35">
      <c r="B57" s="65"/>
      <c r="C57" s="65"/>
      <c r="D57" s="65"/>
      <c r="E57" s="65"/>
      <c r="F57" s="65"/>
      <c r="G57" s="65"/>
      <c r="H57" s="66"/>
      <c r="I57" s="65"/>
    </row>
    <row r="58" spans="1:10" ht="13.15" x14ac:dyDescent="0.4">
      <c r="A58" s="1"/>
      <c r="B58" s="65"/>
      <c r="C58" s="65"/>
      <c r="D58" s="65"/>
      <c r="E58" s="65"/>
      <c r="F58" s="65"/>
      <c r="G58" s="65"/>
      <c r="H58" s="67"/>
      <c r="I58" s="65"/>
    </row>
    <row r="59" spans="1:10" x14ac:dyDescent="0.35">
      <c r="B59" s="65"/>
      <c r="C59" s="65"/>
      <c r="D59" s="65"/>
      <c r="E59" s="65"/>
      <c r="F59" s="65"/>
      <c r="G59" s="65"/>
      <c r="H59" s="65"/>
      <c r="I59" s="65"/>
    </row>
    <row r="60" spans="1:10" x14ac:dyDescent="0.35">
      <c r="B60" s="65"/>
      <c r="C60" s="65"/>
      <c r="D60" s="65"/>
      <c r="E60" s="65"/>
      <c r="F60" s="65"/>
      <c r="G60" s="65"/>
      <c r="H60" s="65"/>
      <c r="I60" s="65"/>
    </row>
    <row r="61" spans="1:10" x14ac:dyDescent="0.35">
      <c r="B61" s="65"/>
      <c r="C61" s="65"/>
      <c r="D61" s="65"/>
      <c r="E61" s="65"/>
      <c r="F61" s="65"/>
      <c r="G61" s="65"/>
      <c r="H61" s="65"/>
      <c r="I61" s="65"/>
    </row>
    <row r="62" spans="1:10" x14ac:dyDescent="0.35">
      <c r="B62" s="65"/>
      <c r="C62" s="65"/>
      <c r="D62" s="65"/>
      <c r="E62" s="65"/>
      <c r="F62" s="65"/>
      <c r="G62" s="65"/>
      <c r="H62" s="65"/>
      <c r="I62" s="65"/>
    </row>
    <row r="63" spans="1:10" x14ac:dyDescent="0.35">
      <c r="B63" s="65"/>
      <c r="C63" s="65"/>
      <c r="D63" s="65"/>
      <c r="E63" s="65"/>
      <c r="F63" s="65"/>
      <c r="G63" s="65"/>
      <c r="H63" s="65"/>
      <c r="I63" s="65"/>
    </row>
    <row r="64" spans="1:10" x14ac:dyDescent="0.35">
      <c r="B64" s="65"/>
      <c r="C64" s="65"/>
      <c r="D64" s="65"/>
      <c r="E64" s="65"/>
      <c r="F64" s="65"/>
      <c r="G64" s="65"/>
      <c r="H64" s="65"/>
      <c r="I64" s="65"/>
      <c r="J64" s="14"/>
    </row>
    <row r="65" spans="2:11" x14ac:dyDescent="0.35">
      <c r="B65" s="65"/>
      <c r="C65" s="65"/>
      <c r="D65" s="65"/>
      <c r="E65" s="65"/>
      <c r="F65" s="65"/>
      <c r="G65" s="65"/>
      <c r="H65" s="65"/>
      <c r="I65" s="65"/>
    </row>
    <row r="66" spans="2:11" x14ac:dyDescent="0.35">
      <c r="B66" s="65"/>
      <c r="C66" s="65"/>
      <c r="D66" s="65"/>
      <c r="E66" s="65"/>
      <c r="F66" s="65"/>
      <c r="G66" s="65"/>
      <c r="H66" s="65"/>
      <c r="I66" s="65"/>
    </row>
    <row r="67" spans="2:11" x14ac:dyDescent="0.35">
      <c r="B67" s="65"/>
      <c r="C67" s="65"/>
      <c r="D67" s="65"/>
      <c r="E67" s="65"/>
      <c r="F67" s="65"/>
      <c r="G67" s="65"/>
      <c r="H67" s="65"/>
      <c r="I67" s="65"/>
    </row>
    <row r="68" spans="2:11" x14ac:dyDescent="0.35">
      <c r="B68" s="65"/>
      <c r="C68" s="65"/>
      <c r="D68" s="65"/>
      <c r="E68" s="65"/>
      <c r="F68" s="65"/>
      <c r="G68" s="65"/>
      <c r="H68" s="65"/>
      <c r="I68" s="65"/>
    </row>
    <row r="69" spans="2:11" x14ac:dyDescent="0.35">
      <c r="B69" s="65"/>
      <c r="C69" s="65"/>
      <c r="D69" s="65"/>
      <c r="E69" s="65"/>
      <c r="F69" s="65"/>
      <c r="G69" s="65"/>
      <c r="H69" s="65"/>
      <c r="I69" s="65"/>
      <c r="J69" s="27"/>
    </row>
    <row r="70" spans="2:11" ht="13.15" x14ac:dyDescent="0.4">
      <c r="B70" s="65"/>
      <c r="C70" s="65"/>
      <c r="D70" s="65"/>
      <c r="E70" s="65"/>
      <c r="F70" s="65"/>
      <c r="G70" s="65"/>
      <c r="H70" s="65"/>
      <c r="I70" s="65"/>
      <c r="J70" s="31"/>
    </row>
    <row r="71" spans="2:11" ht="13.15" x14ac:dyDescent="0.4">
      <c r="B71" s="65"/>
      <c r="C71" s="65"/>
      <c r="D71" s="65"/>
      <c r="E71" s="65"/>
      <c r="F71" s="65"/>
      <c r="G71" s="65"/>
      <c r="H71" s="65"/>
      <c r="I71" s="65"/>
      <c r="K71" s="2"/>
    </row>
    <row r="72" spans="2:11" x14ac:dyDescent="0.35">
      <c r="B72" s="65"/>
      <c r="C72" s="65"/>
      <c r="D72" s="65"/>
      <c r="E72" s="65"/>
      <c r="F72" s="65"/>
      <c r="G72" s="65"/>
      <c r="H72" s="65"/>
      <c r="I72" s="65"/>
    </row>
    <row r="73" spans="2:11" x14ac:dyDescent="0.35">
      <c r="B73" s="65"/>
      <c r="C73" s="65"/>
      <c r="D73" s="65"/>
      <c r="E73" s="65"/>
      <c r="F73" s="65"/>
      <c r="G73" s="65"/>
      <c r="H73" s="65"/>
      <c r="I73" s="65"/>
    </row>
    <row r="74" spans="2:11" x14ac:dyDescent="0.35">
      <c r="B74" s="65"/>
      <c r="C74" s="65"/>
      <c r="D74" s="65"/>
      <c r="E74" s="65"/>
      <c r="F74" s="65"/>
      <c r="G74" s="65"/>
      <c r="H74" s="65"/>
      <c r="I74" s="65"/>
    </row>
    <row r="75" spans="2:11" x14ac:dyDescent="0.35">
      <c r="B75" s="65"/>
      <c r="C75" s="65"/>
      <c r="D75" s="65"/>
      <c r="E75" s="65"/>
      <c r="F75" s="65"/>
      <c r="G75" s="65"/>
      <c r="H75" s="65"/>
      <c r="I75" s="65"/>
    </row>
  </sheetData>
  <conditionalFormatting sqref="H9:H18 H28:H30">
    <cfRule type="cellIs" dxfId="14" priority="3" operator="greaterThan">
      <formula>1000</formula>
    </cfRule>
  </conditionalFormatting>
  <conditionalFormatting sqref="K9:K15">
    <cfRule type="cellIs" dxfId="13" priority="1" operator="lessThan">
      <formula>"J15"</formula>
    </cfRule>
    <cfRule type="cellIs" dxfId="12" priority="4" operator="lessThan">
      <formula>J11</formula>
    </cfRule>
  </conditionalFormatting>
  <conditionalFormatting sqref="K14">
    <cfRule type="cellIs" dxfId="11" priority="2" operator="lessThan">
      <formula>"J14"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17EAF-9D68-4A64-89C4-AC7C3A06D1A9}">
  <sheetPr codeName="Sheet14"/>
  <dimension ref="A1:AW79"/>
  <sheetViews>
    <sheetView zoomScale="85" zoomScaleNormal="85" workbookViewId="0">
      <selection activeCell="O4" sqref="O4"/>
    </sheetView>
  </sheetViews>
  <sheetFormatPr defaultColWidth="11.53125" defaultRowHeight="12.75" x14ac:dyDescent="0.35"/>
  <sheetData>
    <row r="1" spans="1:49" x14ac:dyDescent="0.35">
      <c r="A1" t="s">
        <v>0</v>
      </c>
    </row>
    <row r="2" spans="1:49" ht="40.15" x14ac:dyDescent="1.05">
      <c r="A2" s="9"/>
      <c r="O2" s="9"/>
    </row>
    <row r="3" spans="1:49" ht="40.15" x14ac:dyDescent="1.05">
      <c r="A3" s="9" t="s">
        <v>94</v>
      </c>
    </row>
    <row r="4" spans="1:49" ht="40.15" x14ac:dyDescent="1.05">
      <c r="A4" s="1"/>
      <c r="O4" s="9"/>
    </row>
    <row r="5" spans="1:49" x14ac:dyDescent="0.35">
      <c r="O5" s="11"/>
    </row>
    <row r="6" spans="1:49" ht="13.15" x14ac:dyDescent="0.4">
      <c r="A6" t="s">
        <v>33</v>
      </c>
      <c r="B6" s="1"/>
      <c r="C6" s="1"/>
      <c r="D6" s="1"/>
      <c r="E6" s="1"/>
      <c r="F6" s="1"/>
    </row>
    <row r="7" spans="1:49" ht="14.65" x14ac:dyDescent="0.5">
      <c r="B7" s="2" t="s">
        <v>1</v>
      </c>
      <c r="C7" s="2"/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M7" s="2"/>
    </row>
    <row r="8" spans="1:49" ht="13.15" x14ac:dyDescent="0.4">
      <c r="A8" s="3" t="s">
        <v>34</v>
      </c>
      <c r="B8" s="26">
        <f>'E - B1'!G37</f>
        <v>8.8269169999999999</v>
      </c>
      <c r="C8" s="26"/>
      <c r="D8" s="26">
        <f>'E - B1'!I37</f>
        <v>9.3037890000000001</v>
      </c>
      <c r="E8" s="26">
        <f>'E - B1'!J37</f>
        <v>9.3312969999999993</v>
      </c>
      <c r="F8" s="26">
        <f>'E - B1'!K37</f>
        <v>9.3080689999999997</v>
      </c>
      <c r="G8" s="4"/>
      <c r="H8" s="4">
        <f>AVERAGE(B$8:F$8)*5</f>
        <v>45.962589999999999</v>
      </c>
      <c r="I8" s="5"/>
      <c r="K8" s="5"/>
    </row>
    <row r="9" spans="1:49" ht="13.15" x14ac:dyDescent="0.4">
      <c r="A9" s="17" t="s">
        <v>12</v>
      </c>
      <c r="B9" s="26">
        <f>'E - B1'!G38</f>
        <v>5890.9584960000002</v>
      </c>
      <c r="C9" s="26"/>
      <c r="D9" s="26">
        <f>'E - B1'!I38</f>
        <v>5868.7915039999998</v>
      </c>
      <c r="E9" s="26">
        <f>'E - B1'!J38</f>
        <v>5907.4316410000001</v>
      </c>
      <c r="F9" s="26">
        <f>'E - B1'!K38</f>
        <v>5851.9116210000002</v>
      </c>
      <c r="G9" s="6">
        <f>AVERAGE(B9:F9)</f>
        <v>5879.7733154999996</v>
      </c>
      <c r="H9" s="7">
        <f t="shared" ref="H9:H15" si="0">G9*H$8</f>
        <v>270249.61019326712</v>
      </c>
      <c r="I9" s="8">
        <f t="shared" ref="I9:I15" si="1">STDEVP(B9:F9)/AVERAGE(B9:F9)</f>
        <v>3.5947401108774335E-3</v>
      </c>
      <c r="J9" s="8">
        <f t="shared" ref="J9:J15" si="2">IF(H9&gt;$A$21, $C$21, IF(H9&gt;$A$22, $C$22, IF(H9&gt;$A$23,$C$23,IF(H9&gt;$A$24,$C$24, IF(H9&gt;$A$25,$C$25,IF(H9&gt;$A$26,$C$26,$C$27))))))/100</f>
        <v>0.11</v>
      </c>
      <c r="K9" s="63">
        <f t="shared" ref="K9:K15" si="3">(MAX(B9:F9)-MIN(B9:F9))/G9</f>
        <v>9.4425442990532481E-3</v>
      </c>
      <c r="M9" s="14"/>
    </row>
    <row r="10" spans="1:49" ht="13.15" x14ac:dyDescent="0.4">
      <c r="A10" s="3" t="s">
        <v>14</v>
      </c>
      <c r="B10" s="26">
        <f>'E - B1'!G39</f>
        <v>3255.0437010000001</v>
      </c>
      <c r="C10" s="26"/>
      <c r="D10" s="26">
        <f>'E - B1'!I39</f>
        <v>3252.3308109999998</v>
      </c>
      <c r="E10" s="26">
        <f>'E - B1'!J39</f>
        <v>3271.6782229999999</v>
      </c>
      <c r="F10" s="26">
        <f>'E - B1'!K39</f>
        <v>3248.149414</v>
      </c>
      <c r="G10" s="6">
        <f t="shared" ref="G10:G15" si="4">AVERAGE(B10:F10)</f>
        <v>3256.8005372500002</v>
      </c>
      <c r="H10" s="10">
        <f t="shared" si="0"/>
        <v>149690.98780540147</v>
      </c>
      <c r="I10" s="5">
        <f t="shared" si="1"/>
        <v>2.7431270581398156E-3</v>
      </c>
      <c r="J10" s="5">
        <f t="shared" si="2"/>
        <v>0.11</v>
      </c>
      <c r="K10" s="63">
        <f t="shared" si="3"/>
        <v>7.2245164328876366E-3</v>
      </c>
      <c r="M10" s="14"/>
    </row>
    <row r="11" spans="1:49" ht="13.15" x14ac:dyDescent="0.4">
      <c r="A11" s="3" t="s">
        <v>15</v>
      </c>
      <c r="B11" s="26">
        <f>'E - B1'!G40</f>
        <v>1655.1645510000001</v>
      </c>
      <c r="C11" s="26"/>
      <c r="D11" s="26">
        <f>'E - B1'!I40</f>
        <v>1644.706177</v>
      </c>
      <c r="E11" s="26">
        <f>'E - B1'!J40</f>
        <v>1654.218018</v>
      </c>
      <c r="F11" s="26">
        <f>'E - B1'!K40</f>
        <v>1642.445923</v>
      </c>
      <c r="G11" s="6">
        <f t="shared" si="4"/>
        <v>1649.1336672499999</v>
      </c>
      <c r="H11" s="10">
        <f t="shared" si="0"/>
        <v>75798.454603008169</v>
      </c>
      <c r="I11" s="5">
        <f t="shared" si="1"/>
        <v>3.4107237862353208E-3</v>
      </c>
      <c r="J11" s="5">
        <f t="shared" si="2"/>
        <v>0.11</v>
      </c>
      <c r="K11" s="63">
        <f t="shared" si="3"/>
        <v>7.7123087428133891E-3</v>
      </c>
      <c r="M11" s="14"/>
    </row>
    <row r="12" spans="1:49" ht="13.15" x14ac:dyDescent="0.4">
      <c r="A12" s="3" t="s">
        <v>17</v>
      </c>
      <c r="B12" s="26">
        <f>'E - B1'!G41</f>
        <v>849.90039100000001</v>
      </c>
      <c r="C12" s="26"/>
      <c r="D12" s="26">
        <f>'E - B1'!I41</f>
        <v>830.41436799999997</v>
      </c>
      <c r="E12" s="26">
        <f>'E - B1'!J41</f>
        <v>843.61261000000002</v>
      </c>
      <c r="F12" s="26">
        <f>'E - B1'!K41</f>
        <v>840.02380400000004</v>
      </c>
      <c r="G12" s="6">
        <f t="shared" si="4"/>
        <v>840.98779324999998</v>
      </c>
      <c r="H12" s="10">
        <f t="shared" si="0"/>
        <v>38653.977136154514</v>
      </c>
      <c r="I12" s="5">
        <f t="shared" si="1"/>
        <v>8.388071455134212E-3</v>
      </c>
      <c r="J12" s="5">
        <f t="shared" si="2"/>
        <v>0.11</v>
      </c>
      <c r="K12" s="63">
        <f t="shared" si="3"/>
        <v>2.3170399328504222E-2</v>
      </c>
      <c r="M12" s="14"/>
    </row>
    <row r="13" spans="1:49" ht="13.15" x14ac:dyDescent="0.4">
      <c r="A13" s="3" t="s">
        <v>18</v>
      </c>
      <c r="B13" s="26">
        <f>'E - B1'!G42</f>
        <v>385.18545499999999</v>
      </c>
      <c r="C13" s="26"/>
      <c r="D13" s="26">
        <f>'E - B1'!I42</f>
        <v>381.77993800000002</v>
      </c>
      <c r="E13" s="26">
        <f>'E - B1'!J42</f>
        <v>386.87011699999999</v>
      </c>
      <c r="F13" s="26">
        <f>'E - B1'!K42</f>
        <v>385.57943699999998</v>
      </c>
      <c r="G13" s="6">
        <f t="shared" si="4"/>
        <v>384.85373674999994</v>
      </c>
      <c r="H13" s="10">
        <f t="shared" si="0"/>
        <v>17688.874512208178</v>
      </c>
      <c r="I13" s="5">
        <f t="shared" si="1"/>
        <v>4.887236429526421E-3</v>
      </c>
      <c r="J13" s="5">
        <f t="shared" si="2"/>
        <v>0.11</v>
      </c>
      <c r="K13" s="63">
        <f t="shared" si="3"/>
        <v>1.322626887550931E-2</v>
      </c>
      <c r="M13" s="14"/>
    </row>
    <row r="14" spans="1:49" ht="13.15" x14ac:dyDescent="0.4">
      <c r="A14" s="22" t="s">
        <v>19</v>
      </c>
      <c r="B14" s="26">
        <f>'E - B1'!G43</f>
        <v>175.14610300000001</v>
      </c>
      <c r="C14" s="26"/>
      <c r="D14" s="26">
        <f>'E - B1'!I43</f>
        <v>178.314438</v>
      </c>
      <c r="E14" s="26">
        <f>'E - B1'!J43</f>
        <v>176.71713299999999</v>
      </c>
      <c r="F14" s="26">
        <f>'E - B1'!K43</f>
        <v>173.82766699999999</v>
      </c>
      <c r="G14" s="6">
        <f t="shared" si="4"/>
        <v>176.00133525000001</v>
      </c>
      <c r="H14" s="12">
        <f t="shared" si="0"/>
        <v>8089.4772115482974</v>
      </c>
      <c r="I14" s="13">
        <f t="shared" si="1"/>
        <v>9.5578310540578495E-3</v>
      </c>
      <c r="J14" s="13">
        <f t="shared" si="2"/>
        <v>0.113</v>
      </c>
      <c r="K14" s="63">
        <f t="shared" si="3"/>
        <v>2.5492823640382037E-2</v>
      </c>
      <c r="M14" s="14"/>
    </row>
    <row r="15" spans="1:49" ht="13.15" x14ac:dyDescent="0.4">
      <c r="A15" s="3" t="s">
        <v>20</v>
      </c>
      <c r="B15" s="26">
        <f>'E - B1'!G44</f>
        <v>86.893310999999997</v>
      </c>
      <c r="C15" s="26"/>
      <c r="D15" s="26">
        <f>'E - B1'!I44</f>
        <v>80.612319999999997</v>
      </c>
      <c r="E15" s="26">
        <f>'E - B1'!J44</f>
        <v>86.375991999999997</v>
      </c>
      <c r="F15" s="26">
        <f>'E - B1'!K44</f>
        <v>81.219848999999996</v>
      </c>
      <c r="G15" s="6">
        <f t="shared" si="4"/>
        <v>83.775368</v>
      </c>
      <c r="H15" s="10">
        <f t="shared" si="0"/>
        <v>3850.5328914831198</v>
      </c>
      <c r="I15" s="5">
        <f t="shared" si="1"/>
        <v>3.4296088142194175E-2</v>
      </c>
      <c r="J15" s="5">
        <f t="shared" si="2"/>
        <v>0.11900000000000001</v>
      </c>
      <c r="K15" s="63">
        <f t="shared" si="3"/>
        <v>7.4974197666311651E-2</v>
      </c>
      <c r="M15" s="14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ht="13.15" x14ac:dyDescent="0.4">
      <c r="A16" s="3"/>
      <c r="G16" s="15"/>
      <c r="H16" s="10"/>
      <c r="I16" s="5"/>
      <c r="J16" s="5"/>
      <c r="K16" s="5"/>
      <c r="M16" s="14"/>
      <c r="P16" s="1"/>
      <c r="Q16" s="1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ht="13.15" x14ac:dyDescent="0.4">
      <c r="A17" s="3"/>
      <c r="G17" s="15"/>
      <c r="H17" s="10"/>
      <c r="I17" s="5"/>
      <c r="J17" s="5"/>
      <c r="K17" s="5"/>
      <c r="M17" s="14"/>
      <c r="P17" s="1"/>
      <c r="Q17" s="1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ht="13.15" x14ac:dyDescent="0.4">
      <c r="A18" t="s">
        <v>21</v>
      </c>
      <c r="I18" s="5"/>
      <c r="J18" s="5"/>
      <c r="K18" s="5"/>
      <c r="M18" s="14"/>
      <c r="P18" s="1"/>
      <c r="Q18" s="1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ht="15" x14ac:dyDescent="0.5">
      <c r="A19" s="16"/>
      <c r="B19" s="17" t="s">
        <v>22</v>
      </c>
      <c r="C19" s="16"/>
      <c r="D19" s="18" t="s">
        <v>23</v>
      </c>
      <c r="E19" s="19"/>
      <c r="F19" s="19"/>
      <c r="G19" s="19"/>
      <c r="H19" s="20"/>
      <c r="I19" s="5"/>
      <c r="J19" s="5"/>
      <c r="K19" s="5"/>
      <c r="M19" s="14"/>
      <c r="P19" s="1"/>
      <c r="Q19" s="1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ht="15" x14ac:dyDescent="0.5">
      <c r="A20" s="21" t="s">
        <v>24</v>
      </c>
      <c r="B20" s="22" t="s">
        <v>25</v>
      </c>
      <c r="C20" s="21" t="s">
        <v>26</v>
      </c>
      <c r="D20" s="21" t="s">
        <v>27</v>
      </c>
      <c r="E20" s="22" t="s">
        <v>28</v>
      </c>
      <c r="F20" s="22" t="s">
        <v>29</v>
      </c>
      <c r="G20" s="22" t="s">
        <v>30</v>
      </c>
      <c r="H20" s="23" t="s">
        <v>31</v>
      </c>
      <c r="I20" s="5"/>
      <c r="J20" s="5"/>
      <c r="K20" s="5"/>
      <c r="M20" s="14"/>
      <c r="P20" s="1"/>
      <c r="Q20" s="1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ht="13.15" x14ac:dyDescent="0.4">
      <c r="A21" s="24">
        <v>10000</v>
      </c>
      <c r="C21" s="24">
        <v>11</v>
      </c>
      <c r="D21" s="24">
        <v>7.8</v>
      </c>
      <c r="E21">
        <v>5.3</v>
      </c>
      <c r="F21">
        <v>4</v>
      </c>
      <c r="G21">
        <v>2.7</v>
      </c>
      <c r="H21" s="25">
        <v>1.8</v>
      </c>
      <c r="I21" s="5"/>
      <c r="J21" s="5"/>
      <c r="K21" s="5"/>
      <c r="M21" s="14"/>
      <c r="O21" s="1"/>
      <c r="R21" s="2"/>
      <c r="S21" s="2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ht="13.15" x14ac:dyDescent="0.4">
      <c r="A22" s="24">
        <v>5000</v>
      </c>
      <c r="B22">
        <v>10000</v>
      </c>
      <c r="C22" s="24">
        <v>11.3</v>
      </c>
      <c r="D22" s="24">
        <v>7.8</v>
      </c>
      <c r="E22">
        <v>5.3</v>
      </c>
      <c r="F22">
        <v>4</v>
      </c>
      <c r="G22">
        <v>2.7</v>
      </c>
      <c r="H22" s="25">
        <v>1.9</v>
      </c>
      <c r="I22" s="5"/>
      <c r="J22" s="5"/>
      <c r="K22" s="5"/>
      <c r="M22" s="14"/>
      <c r="O22" s="2"/>
      <c r="P22" s="3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ht="13.15" x14ac:dyDescent="0.4">
      <c r="A23" s="24">
        <v>2000</v>
      </c>
      <c r="B23">
        <v>5000</v>
      </c>
      <c r="C23" s="24">
        <v>11.9</v>
      </c>
      <c r="D23" s="24">
        <v>7.9</v>
      </c>
      <c r="E23">
        <v>5.4</v>
      </c>
      <c r="F23">
        <v>4.0999999999999996</v>
      </c>
      <c r="G23">
        <v>2.9</v>
      </c>
      <c r="H23" s="25">
        <v>2.1</v>
      </c>
      <c r="I23" s="5"/>
      <c r="J23" s="5"/>
      <c r="K23" s="5"/>
      <c r="M23" s="14"/>
      <c r="O23" s="2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ht="13.15" x14ac:dyDescent="0.4">
      <c r="A24" s="24">
        <v>1000</v>
      </c>
      <c r="B24">
        <v>2000</v>
      </c>
      <c r="C24" s="24">
        <v>13.4</v>
      </c>
      <c r="D24" s="24">
        <v>8</v>
      </c>
      <c r="E24">
        <v>5.6</v>
      </c>
      <c r="F24">
        <v>4.3</v>
      </c>
      <c r="G24">
        <v>3.1</v>
      </c>
      <c r="H24" s="25">
        <v>2.4</v>
      </c>
      <c r="I24" s="5"/>
      <c r="J24" s="5"/>
      <c r="K24" s="5"/>
      <c r="M24" s="14"/>
      <c r="O24" s="2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13.15" x14ac:dyDescent="0.4">
      <c r="A25" s="24">
        <v>500</v>
      </c>
      <c r="B25">
        <v>1000</v>
      </c>
      <c r="C25" s="24">
        <v>15.6</v>
      </c>
      <c r="D25" s="24">
        <v>8.1999999999999993</v>
      </c>
      <c r="E25">
        <v>5.9</v>
      </c>
      <c r="F25">
        <v>4.7</v>
      </c>
      <c r="G25">
        <v>3.6</v>
      </c>
      <c r="H25" s="25">
        <v>2.9</v>
      </c>
      <c r="I25" s="5"/>
      <c r="J25" s="5"/>
      <c r="K25" s="5"/>
      <c r="M25" s="14"/>
      <c r="O25" s="2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x14ac:dyDescent="0.35">
      <c r="A26" s="24">
        <v>200</v>
      </c>
      <c r="B26">
        <v>500</v>
      </c>
      <c r="C26" s="24">
        <v>19.3</v>
      </c>
      <c r="D26" s="24">
        <v>8.9</v>
      </c>
      <c r="E26">
        <v>6.8</v>
      </c>
      <c r="F26">
        <v>5.7</v>
      </c>
      <c r="G26">
        <v>4.7</v>
      </c>
      <c r="H26" s="25">
        <v>4.0999999999999996</v>
      </c>
      <c r="I26" s="5"/>
      <c r="J26" s="5"/>
      <c r="K26" s="5"/>
      <c r="M26" s="14"/>
    </row>
    <row r="27" spans="1:49" x14ac:dyDescent="0.35">
      <c r="A27" s="28">
        <v>100</v>
      </c>
      <c r="B27" s="29">
        <v>200</v>
      </c>
      <c r="C27" s="28">
        <v>27.5</v>
      </c>
      <c r="D27" s="28">
        <v>10</v>
      </c>
      <c r="E27" s="29">
        <v>8</v>
      </c>
      <c r="F27" s="29">
        <v>7</v>
      </c>
      <c r="G27" s="29">
        <v>6.1</v>
      </c>
      <c r="H27" s="30">
        <v>5.5</v>
      </c>
      <c r="I27" s="5"/>
      <c r="J27" s="5"/>
      <c r="K27" s="5"/>
      <c r="M27" s="14"/>
    </row>
    <row r="28" spans="1:49" ht="13.15" x14ac:dyDescent="0.4">
      <c r="A28" s="3"/>
      <c r="G28" s="15"/>
      <c r="H28" s="10"/>
      <c r="I28" s="5"/>
      <c r="J28" s="5"/>
      <c r="K28" s="5"/>
      <c r="M28" s="14"/>
    </row>
    <row r="29" spans="1:49" ht="13.15" x14ac:dyDescent="0.4">
      <c r="A29" s="3"/>
      <c r="G29" s="15"/>
      <c r="H29" s="10"/>
      <c r="I29" s="5"/>
      <c r="J29" s="5"/>
      <c r="K29" s="5"/>
      <c r="M29" s="14"/>
    </row>
    <row r="30" spans="1:49" ht="13.15" x14ac:dyDescent="0.4">
      <c r="A30" s="3"/>
      <c r="G30" s="15"/>
      <c r="H30" s="10"/>
      <c r="I30" s="5"/>
      <c r="J30" s="5"/>
      <c r="K30" s="5"/>
      <c r="M30" s="14"/>
    </row>
    <row r="31" spans="1:49" ht="13.15" x14ac:dyDescent="0.4">
      <c r="A31" s="3"/>
      <c r="G31" s="15"/>
      <c r="H31" s="10"/>
      <c r="I31" s="5"/>
      <c r="J31" s="5"/>
      <c r="K31" s="5"/>
      <c r="M31" s="14"/>
    </row>
    <row r="32" spans="1:49" x14ac:dyDescent="0.35">
      <c r="A32" s="64"/>
      <c r="B32" s="64"/>
      <c r="C32" s="64"/>
      <c r="D32" s="64"/>
      <c r="E32" s="64"/>
      <c r="F32" s="64"/>
      <c r="G32" s="64"/>
      <c r="H32" s="64"/>
      <c r="I32" s="5"/>
      <c r="J32" s="5"/>
      <c r="K32" s="5"/>
      <c r="M32" s="14"/>
    </row>
    <row r="33" spans="1:13" x14ac:dyDescent="0.35">
      <c r="A33" s="64"/>
      <c r="B33" s="64"/>
      <c r="C33" s="64"/>
      <c r="D33" s="64"/>
      <c r="E33" s="64"/>
      <c r="F33" s="64"/>
      <c r="G33" s="64"/>
      <c r="H33" s="64"/>
      <c r="I33" s="5"/>
      <c r="J33" s="5"/>
      <c r="K33" s="5"/>
      <c r="M33" s="14"/>
    </row>
    <row r="34" spans="1:13" x14ac:dyDescent="0.35">
      <c r="A34" s="64"/>
      <c r="B34" s="64"/>
      <c r="C34" s="64"/>
      <c r="D34" s="64"/>
      <c r="E34" s="64"/>
      <c r="F34" s="64"/>
      <c r="G34" s="64"/>
      <c r="H34" s="64"/>
      <c r="I34" s="5"/>
      <c r="J34" s="5"/>
      <c r="K34" s="5"/>
      <c r="M34" s="14"/>
    </row>
    <row r="35" spans="1:13" x14ac:dyDescent="0.35">
      <c r="A35" s="64"/>
      <c r="B35" s="64"/>
      <c r="C35" s="64"/>
      <c r="D35" s="64"/>
      <c r="E35" s="64"/>
      <c r="F35" s="64"/>
      <c r="G35" s="64"/>
      <c r="H35" s="64"/>
      <c r="I35" s="5"/>
      <c r="J35" s="5"/>
      <c r="K35" s="5"/>
      <c r="M35" s="14"/>
    </row>
    <row r="36" spans="1:13" x14ac:dyDescent="0.35">
      <c r="A36" s="64"/>
      <c r="B36" s="64"/>
      <c r="C36" s="64"/>
      <c r="D36" s="64"/>
      <c r="E36" s="64"/>
      <c r="F36" s="64"/>
      <c r="G36" s="64"/>
      <c r="H36" s="64"/>
      <c r="I36" s="5"/>
      <c r="J36" s="5"/>
      <c r="K36" s="5"/>
      <c r="M36" s="14"/>
    </row>
    <row r="37" spans="1:13" ht="13.15" x14ac:dyDescent="0.4">
      <c r="A37" s="3"/>
      <c r="G37" s="15"/>
      <c r="H37" s="10"/>
      <c r="I37" s="5"/>
      <c r="J37" s="5"/>
      <c r="K37" s="5"/>
    </row>
    <row r="38" spans="1:13" ht="13.15" x14ac:dyDescent="0.4">
      <c r="A38" s="3"/>
      <c r="G38" s="15"/>
      <c r="H38" s="10"/>
      <c r="I38" s="5"/>
      <c r="J38" s="5"/>
      <c r="K38" s="5"/>
    </row>
    <row r="52" spans="26:31" x14ac:dyDescent="0.35">
      <c r="Z52">
        <v>4</v>
      </c>
      <c r="AA52">
        <v>4</v>
      </c>
      <c r="AB52">
        <v>4</v>
      </c>
      <c r="AC52">
        <v>0</v>
      </c>
      <c r="AD52">
        <v>0</v>
      </c>
      <c r="AE52">
        <v>0</v>
      </c>
    </row>
    <row r="53" spans="26:31" x14ac:dyDescent="0.35">
      <c r="Z53">
        <v>5</v>
      </c>
      <c r="AA53">
        <v>5</v>
      </c>
      <c r="AB53">
        <v>4</v>
      </c>
      <c r="AC53">
        <v>1</v>
      </c>
      <c r="AD53">
        <v>0</v>
      </c>
      <c r="AE53">
        <v>0</v>
      </c>
    </row>
    <row r="54" spans="26:31" x14ac:dyDescent="0.35">
      <c r="Z54">
        <v>4</v>
      </c>
      <c r="AA54">
        <v>3</v>
      </c>
      <c r="AB54">
        <v>3</v>
      </c>
      <c r="AC54">
        <v>2</v>
      </c>
      <c r="AD54">
        <v>0</v>
      </c>
      <c r="AE54">
        <v>0</v>
      </c>
    </row>
    <row r="55" spans="26:31" x14ac:dyDescent="0.35">
      <c r="Z55">
        <v>5</v>
      </c>
      <c r="AA55">
        <v>5</v>
      </c>
      <c r="AB55">
        <v>5</v>
      </c>
      <c r="AC55">
        <v>0</v>
      </c>
      <c r="AD55">
        <v>0</v>
      </c>
      <c r="AE55">
        <v>0</v>
      </c>
    </row>
    <row r="56" spans="26:31" x14ac:dyDescent="0.35">
      <c r="Z56">
        <v>6</v>
      </c>
      <c r="AA56">
        <v>5</v>
      </c>
      <c r="AB56">
        <v>5</v>
      </c>
      <c r="AC56">
        <v>1</v>
      </c>
      <c r="AD56">
        <v>0</v>
      </c>
      <c r="AE56">
        <v>0</v>
      </c>
    </row>
    <row r="71" spans="1:11" x14ac:dyDescent="0.35">
      <c r="H71" s="14"/>
      <c r="J71" s="14"/>
    </row>
    <row r="72" spans="1:11" x14ac:dyDescent="0.35">
      <c r="G72" s="14"/>
      <c r="H72" s="14"/>
      <c r="I72" s="14"/>
      <c r="J72" s="14"/>
    </row>
    <row r="73" spans="1:11" ht="13.15" x14ac:dyDescent="0.4">
      <c r="A73" s="1"/>
    </row>
    <row r="77" spans="1:11" x14ac:dyDescent="0.35">
      <c r="H77" s="27"/>
      <c r="J77" s="27"/>
    </row>
    <row r="78" spans="1:11" ht="13.15" x14ac:dyDescent="0.4">
      <c r="A78" s="1"/>
      <c r="H78" s="31"/>
      <c r="J78" s="31"/>
    </row>
    <row r="79" spans="1:11" ht="13.15" x14ac:dyDescent="0.4">
      <c r="K79" s="2"/>
    </row>
  </sheetData>
  <conditionalFormatting sqref="H9:H18 H28:H31 H37:H39">
    <cfRule type="cellIs" dxfId="10" priority="10" operator="greaterThan">
      <formula>1000</formula>
    </cfRule>
  </conditionalFormatting>
  <conditionalFormatting sqref="K9:K15">
    <cfRule type="cellIs" dxfId="9" priority="1" operator="lessThan">
      <formula>$J9</formula>
    </cfRule>
  </conditionalFormatting>
  <conditionalFormatting sqref="K16:K38">
    <cfRule type="cellIs" dxfId="8" priority="11" operator="lessThan">
      <formula>J18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A4457-5AF2-4EEE-B60E-ABE4B99AA965}">
  <sheetPr codeName="Sheet15"/>
  <dimension ref="A1:AW79"/>
  <sheetViews>
    <sheetView zoomScale="85" zoomScaleNormal="85" workbookViewId="0">
      <selection activeCell="O4" sqref="O4"/>
    </sheetView>
  </sheetViews>
  <sheetFormatPr defaultColWidth="11.53125" defaultRowHeight="12.75" x14ac:dyDescent="0.35"/>
  <sheetData>
    <row r="1" spans="1:49" x14ac:dyDescent="0.35">
      <c r="A1" t="s">
        <v>0</v>
      </c>
    </row>
    <row r="2" spans="1:49" ht="16.899999999999999" customHeight="1" x14ac:dyDescent="1.05">
      <c r="O2" s="9"/>
    </row>
    <row r="3" spans="1:49" ht="40.15" x14ac:dyDescent="1.05">
      <c r="A3" s="9" t="s">
        <v>95</v>
      </c>
    </row>
    <row r="4" spans="1:49" ht="40.15" x14ac:dyDescent="1.05">
      <c r="A4" s="1"/>
      <c r="O4" s="9"/>
    </row>
    <row r="5" spans="1:49" x14ac:dyDescent="0.35">
      <c r="O5" s="11"/>
    </row>
    <row r="6" spans="1:49" ht="13.15" x14ac:dyDescent="0.4">
      <c r="A6" t="s">
        <v>33</v>
      </c>
      <c r="B6" s="1"/>
      <c r="C6" s="1"/>
      <c r="D6" s="1"/>
      <c r="E6" s="1"/>
      <c r="F6" s="1"/>
    </row>
    <row r="7" spans="1:49" ht="14.65" x14ac:dyDescent="0.5"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M7" s="2"/>
    </row>
    <row r="8" spans="1:49" ht="13.15" x14ac:dyDescent="0.4">
      <c r="A8" s="3" t="s">
        <v>34</v>
      </c>
      <c r="B8" s="26">
        <f>'E - B1'!L37</f>
        <v>8.8299339999999997</v>
      </c>
      <c r="C8" s="26">
        <f>'E - B1'!M37</f>
        <v>9.2966180000000005</v>
      </c>
      <c r="D8" s="26">
        <f>'E - B1'!N37</f>
        <v>9.2934529999999995</v>
      </c>
      <c r="E8" s="26">
        <f>'E - B1'!O37</f>
        <v>9.3309560000000005</v>
      </c>
      <c r="F8" s="26">
        <f>'E - B1'!P37</f>
        <v>9.2970620000000004</v>
      </c>
      <c r="G8" s="4"/>
      <c r="H8" s="4">
        <f>AVERAGE(B$8:F$8)*5</f>
        <v>46.048023000000001</v>
      </c>
      <c r="I8" s="5"/>
      <c r="K8" s="5"/>
    </row>
    <row r="9" spans="1:49" ht="13.15" x14ac:dyDescent="0.4">
      <c r="A9" s="17" t="s">
        <v>12</v>
      </c>
      <c r="B9" s="26">
        <f>'E - B1'!L38</f>
        <v>5844.5507809999999</v>
      </c>
      <c r="C9" s="26">
        <f>'E - B1'!M38</f>
        <v>5899.2416990000002</v>
      </c>
      <c r="D9" s="26">
        <f>'E - B1'!N38</f>
        <v>5905.7705079999996</v>
      </c>
      <c r="E9" s="26">
        <f>'E - B1'!O38</f>
        <v>5928.7602539999998</v>
      </c>
      <c r="F9" s="26">
        <f>'E - B1'!P38</f>
        <v>5907.9956050000001</v>
      </c>
      <c r="G9" s="6">
        <f>AVERAGE(B9:F9)</f>
        <v>5897.2637693999995</v>
      </c>
      <c r="H9" s="7">
        <f t="shared" ref="H9:H15" si="0">G9*H$8</f>
        <v>271557.33769039786</v>
      </c>
      <c r="I9" s="8" t="b">
        <f>'Annex E'!F23=STDEVP(B9:F9)/AVERAGE(B9:F9)</f>
        <v>0</v>
      </c>
      <c r="J9" s="8">
        <f>IF(H9&gt;$A$21, $C$21, IF(H9&gt;$A$22, $C$22, IF(H9&gt;$A$23,$C$23,IF(H9&gt;$A$24,$C$24, IF(H9&gt;$A$25,$C$25,IF(H9&gt;$A$26,$C$26,$C$27))))))/100</f>
        <v>0.11</v>
      </c>
      <c r="K9" s="8">
        <f>(MAX(B9:F9)-MIN(B9:F9))/G9</f>
        <v>1.427941436788871E-2</v>
      </c>
      <c r="M9" s="14"/>
    </row>
    <row r="10" spans="1:49" ht="13.15" x14ac:dyDescent="0.4">
      <c r="A10" s="3" t="s">
        <v>14</v>
      </c>
      <c r="B10" s="26">
        <f>'E - B1'!L39</f>
        <v>3233.546143</v>
      </c>
      <c r="C10" s="26">
        <f>'E - B1'!M39</f>
        <v>3243.76001</v>
      </c>
      <c r="D10" s="26">
        <f>'E - B1'!N39</f>
        <v>3261.9736330000001</v>
      </c>
      <c r="E10" s="26">
        <f>'E - B1'!O39</f>
        <v>3272.6552729999999</v>
      </c>
      <c r="F10" s="26">
        <f>'E - B1'!P39</f>
        <v>3273.3996579999998</v>
      </c>
      <c r="G10" s="6">
        <f t="shared" ref="G10:G15" si="1">AVERAGE(B10:F10)</f>
        <v>3257.0669434000001</v>
      </c>
      <c r="H10" s="10">
        <f t="shared" si="0"/>
        <v>149981.49352222291</v>
      </c>
      <c r="I10" s="5">
        <f t="shared" ref="I10:I15" si="2">STDEVP(B10:F10)/AVERAGE(B10:F10)</f>
        <v>4.8818505144840622E-3</v>
      </c>
      <c r="J10" s="5">
        <f t="shared" ref="J10:J15" si="3">IF(H10&gt;$A$21, $C$21, IF(H10&gt;$A$22, $C$22, IF(H10&gt;$A$23,$C$23,IF(H10&gt;$A$24,$C$24, IF(H10&gt;$A$25,$C$25,IF(H10&gt;$A$26,$C$26,$C$27))))))/100</f>
        <v>0.11</v>
      </c>
      <c r="K10" s="8">
        <f t="shared" ref="K10:K15" si="4">(MAX(B10:F10)-MIN(B10:F10))/G10</f>
        <v>1.2236013472414951E-2</v>
      </c>
      <c r="M10" s="14"/>
    </row>
    <row r="11" spans="1:49" ht="13.15" x14ac:dyDescent="0.4">
      <c r="A11" s="3" t="s">
        <v>15</v>
      </c>
      <c r="B11" s="26">
        <f>'E - B1'!L40</f>
        <v>1643.0473629999999</v>
      </c>
      <c r="C11" s="26">
        <f>'E - B1'!M40</f>
        <v>1655.33313</v>
      </c>
      <c r="D11" s="26">
        <f>'E - B1'!N40</f>
        <v>1646.8582759999999</v>
      </c>
      <c r="E11" s="26">
        <f>'E - B1'!O40</f>
        <v>1667.674927</v>
      </c>
      <c r="F11" s="26">
        <f>'E - B1'!P40</f>
        <v>1678.9174800000001</v>
      </c>
      <c r="G11" s="6">
        <f t="shared" si="1"/>
        <v>1658.3662351999999</v>
      </c>
      <c r="H11" s="10">
        <f t="shared" si="0"/>
        <v>76364.486540913</v>
      </c>
      <c r="I11" s="5">
        <f t="shared" si="2"/>
        <v>8.0238218969025041E-3</v>
      </c>
      <c r="J11" s="5">
        <f t="shared" si="3"/>
        <v>0.11</v>
      </c>
      <c r="K11" s="8">
        <f t="shared" si="4"/>
        <v>2.1629792164499905E-2</v>
      </c>
      <c r="M11" s="14"/>
    </row>
    <row r="12" spans="1:49" ht="13.15" x14ac:dyDescent="0.4">
      <c r="A12" s="3" t="s">
        <v>17</v>
      </c>
      <c r="B12" s="26">
        <f>'E - B1'!L41</f>
        <v>837.15234399999997</v>
      </c>
      <c r="C12" s="26">
        <f>'E - B1'!M41</f>
        <v>830.62457300000005</v>
      </c>
      <c r="D12" s="26">
        <f>'E - B1'!N41</f>
        <v>834.13555899999994</v>
      </c>
      <c r="E12" s="26">
        <f>'E - B1'!O41</f>
        <v>857.57562299999995</v>
      </c>
      <c r="F12" s="26">
        <f>'E - B1'!P41</f>
        <v>857.79785200000003</v>
      </c>
      <c r="G12" s="6">
        <f t="shared" si="1"/>
        <v>843.45719020000001</v>
      </c>
      <c r="H12" s="10">
        <f t="shared" si="0"/>
        <v>38839.536093844974</v>
      </c>
      <c r="I12" s="5">
        <f t="shared" si="2"/>
        <v>1.3991091964289024E-2</v>
      </c>
      <c r="J12" s="5">
        <f t="shared" si="3"/>
        <v>0.11</v>
      </c>
      <c r="K12" s="8">
        <f t="shared" si="4"/>
        <v>3.2216547935949982E-2</v>
      </c>
      <c r="M12" s="14"/>
    </row>
    <row r="13" spans="1:49" ht="13.15" x14ac:dyDescent="0.4">
      <c r="A13" s="3" t="s">
        <v>18</v>
      </c>
      <c r="B13" s="26">
        <f>'E - B1'!L42</f>
        <v>378.03225700000002</v>
      </c>
      <c r="C13" s="26">
        <f>'E - B1'!M42</f>
        <v>393.15371699999997</v>
      </c>
      <c r="D13" s="26">
        <f>'E - B1'!N42</f>
        <v>385.43261699999999</v>
      </c>
      <c r="E13" s="26">
        <f>'E - B1'!O42</f>
        <v>396.52960200000001</v>
      </c>
      <c r="F13" s="26">
        <f>'E - B1'!P42</f>
        <v>392.48959400000001</v>
      </c>
      <c r="G13" s="6">
        <f t="shared" si="1"/>
        <v>389.1275574</v>
      </c>
      <c r="H13" s="10">
        <f t="shared" si="0"/>
        <v>17918.554713089019</v>
      </c>
      <c r="I13" s="5">
        <f t="shared" si="2"/>
        <v>1.7010078855350851E-2</v>
      </c>
      <c r="J13" s="5">
        <f t="shared" si="3"/>
        <v>0.11</v>
      </c>
      <c r="K13" s="8">
        <f t="shared" si="4"/>
        <v>4.753542803185698E-2</v>
      </c>
      <c r="M13" s="14"/>
    </row>
    <row r="14" spans="1:49" ht="13.15" x14ac:dyDescent="0.4">
      <c r="A14" s="22" t="s">
        <v>19</v>
      </c>
      <c r="B14" s="26">
        <f>'E - B1'!L43</f>
        <v>172.82122799999999</v>
      </c>
      <c r="C14" s="26">
        <f>'E - B1'!M43</f>
        <v>183.400024</v>
      </c>
      <c r="D14" s="26">
        <f>'E - B1'!N43</f>
        <v>182.17124899999999</v>
      </c>
      <c r="E14" s="26">
        <f>'E - B1'!O43</f>
        <v>178.65266399999999</v>
      </c>
      <c r="F14" s="26">
        <f>'E - B1'!P43</f>
        <v>174.786407</v>
      </c>
      <c r="G14" s="6">
        <f t="shared" si="1"/>
        <v>178.36631440000002</v>
      </c>
      <c r="H14" s="12">
        <f t="shared" si="0"/>
        <v>8213.4161479164322</v>
      </c>
      <c r="I14" s="13">
        <f t="shared" si="2"/>
        <v>2.2905785501549546E-2</v>
      </c>
      <c r="J14" s="13">
        <f t="shared" si="3"/>
        <v>0.113</v>
      </c>
      <c r="K14" s="8">
        <f t="shared" si="4"/>
        <v>5.9309382691376672E-2</v>
      </c>
      <c r="M14" s="14"/>
    </row>
    <row r="15" spans="1:49" ht="13.15" x14ac:dyDescent="0.4">
      <c r="A15" s="3" t="s">
        <v>20</v>
      </c>
      <c r="B15" s="26">
        <f>'E - B1'!L44</f>
        <v>84.598595000000003</v>
      </c>
      <c r="C15" s="26">
        <f>'E - B1'!M44</f>
        <v>88.741943000000006</v>
      </c>
      <c r="D15" s="26">
        <f>'E - B1'!N44</f>
        <v>87.050528999999997</v>
      </c>
      <c r="E15" s="26">
        <f>'E - B1'!O44</f>
        <v>87.343681000000004</v>
      </c>
      <c r="F15" s="26">
        <f>'E - B1'!P44</f>
        <v>82.391623999999993</v>
      </c>
      <c r="G15" s="6">
        <f t="shared" si="1"/>
        <v>86.025274400000001</v>
      </c>
      <c r="H15" s="10">
        <f t="shared" si="0"/>
        <v>3961.2938141525115</v>
      </c>
      <c r="I15" s="5">
        <f t="shared" si="2"/>
        <v>2.6204634578765304E-2</v>
      </c>
      <c r="J15" s="5">
        <f t="shared" si="3"/>
        <v>0.11900000000000001</v>
      </c>
      <c r="K15" s="8">
        <f t="shared" si="4"/>
        <v>7.3819223993082814E-2</v>
      </c>
      <c r="M15" s="14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ht="13.15" x14ac:dyDescent="0.4">
      <c r="A16" s="3"/>
      <c r="G16" s="15"/>
      <c r="H16" s="10"/>
      <c r="I16" s="5"/>
      <c r="J16" s="5"/>
      <c r="K16" s="5"/>
      <c r="M16" s="14"/>
      <c r="P16" s="1"/>
      <c r="Q16" s="1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ht="13.15" x14ac:dyDescent="0.4">
      <c r="A17" s="3"/>
      <c r="G17" s="15"/>
      <c r="H17" s="10"/>
      <c r="I17" s="5"/>
      <c r="J17" s="5"/>
      <c r="K17" s="5"/>
      <c r="M17" s="14"/>
      <c r="P17" s="1"/>
      <c r="Q17" s="1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ht="13.15" x14ac:dyDescent="0.4">
      <c r="A18" t="s">
        <v>21</v>
      </c>
      <c r="I18" s="5"/>
      <c r="J18" s="5"/>
      <c r="K18" s="5"/>
      <c r="M18" s="14"/>
      <c r="P18" s="1"/>
      <c r="Q18" s="1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ht="15" x14ac:dyDescent="0.5">
      <c r="A19" s="16"/>
      <c r="B19" s="17" t="s">
        <v>22</v>
      </c>
      <c r="C19" s="16"/>
      <c r="D19" s="18" t="s">
        <v>23</v>
      </c>
      <c r="E19" s="19"/>
      <c r="F19" s="19"/>
      <c r="G19" s="19"/>
      <c r="H19" s="20"/>
      <c r="I19" s="5"/>
      <c r="J19" s="5"/>
      <c r="K19" s="5"/>
      <c r="M19" s="14"/>
      <c r="P19" s="1"/>
      <c r="Q19" s="1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ht="15" x14ac:dyDescent="0.5">
      <c r="A20" s="21" t="s">
        <v>24</v>
      </c>
      <c r="B20" s="22" t="s">
        <v>25</v>
      </c>
      <c r="C20" s="21" t="s">
        <v>26</v>
      </c>
      <c r="D20" s="21" t="s">
        <v>27</v>
      </c>
      <c r="E20" s="22" t="s">
        <v>28</v>
      </c>
      <c r="F20" s="22" t="s">
        <v>29</v>
      </c>
      <c r="G20" s="22" t="s">
        <v>30</v>
      </c>
      <c r="H20" s="23" t="s">
        <v>31</v>
      </c>
      <c r="I20" s="5"/>
      <c r="J20" s="5"/>
      <c r="K20" s="5"/>
      <c r="M20" s="14"/>
      <c r="P20" s="1"/>
      <c r="Q20" s="1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ht="13.15" x14ac:dyDescent="0.4">
      <c r="A21" s="24">
        <v>10000</v>
      </c>
      <c r="C21" s="24">
        <v>11</v>
      </c>
      <c r="D21" s="24">
        <v>7.8</v>
      </c>
      <c r="E21">
        <v>5.3</v>
      </c>
      <c r="F21">
        <v>4</v>
      </c>
      <c r="G21">
        <v>2.7</v>
      </c>
      <c r="H21" s="25">
        <v>1.8</v>
      </c>
      <c r="I21" s="5"/>
      <c r="J21" s="5"/>
      <c r="K21" s="5"/>
      <c r="M21" s="14"/>
      <c r="O21" s="1"/>
      <c r="R21" s="2"/>
      <c r="S21" s="2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ht="13.15" x14ac:dyDescent="0.4">
      <c r="A22" s="24">
        <v>5000</v>
      </c>
      <c r="B22">
        <v>10000</v>
      </c>
      <c r="C22" s="24">
        <v>11.3</v>
      </c>
      <c r="D22" s="24">
        <v>7.8</v>
      </c>
      <c r="E22">
        <v>5.3</v>
      </c>
      <c r="F22">
        <v>4</v>
      </c>
      <c r="G22">
        <v>2.7</v>
      </c>
      <c r="H22" s="25">
        <v>1.9</v>
      </c>
      <c r="I22" s="5"/>
      <c r="J22" s="5"/>
      <c r="K22" s="5"/>
      <c r="M22" s="14"/>
      <c r="O22" s="2"/>
      <c r="P22" s="3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ht="13.15" x14ac:dyDescent="0.4">
      <c r="A23" s="24">
        <v>2000</v>
      </c>
      <c r="B23">
        <v>5000</v>
      </c>
      <c r="C23" s="24">
        <v>11.9</v>
      </c>
      <c r="D23" s="24">
        <v>7.9</v>
      </c>
      <c r="E23">
        <v>5.4</v>
      </c>
      <c r="F23">
        <v>4.0999999999999996</v>
      </c>
      <c r="G23">
        <v>2.9</v>
      </c>
      <c r="H23" s="25">
        <v>2.1</v>
      </c>
      <c r="I23" s="5"/>
      <c r="J23" s="5"/>
      <c r="K23" s="5"/>
      <c r="M23" s="14"/>
      <c r="O23" s="2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ht="13.15" x14ac:dyDescent="0.4">
      <c r="A24" s="24">
        <v>1000</v>
      </c>
      <c r="B24">
        <v>2000</v>
      </c>
      <c r="C24" s="24">
        <v>13.4</v>
      </c>
      <c r="D24" s="24">
        <v>8</v>
      </c>
      <c r="E24">
        <v>5.6</v>
      </c>
      <c r="F24">
        <v>4.3</v>
      </c>
      <c r="G24">
        <v>3.1</v>
      </c>
      <c r="H24" s="25">
        <v>2.4</v>
      </c>
      <c r="I24" s="5"/>
      <c r="J24" s="5"/>
      <c r="K24" s="5"/>
      <c r="M24" s="14"/>
      <c r="O24" s="2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13.15" x14ac:dyDescent="0.4">
      <c r="A25" s="24">
        <v>500</v>
      </c>
      <c r="B25">
        <v>1000</v>
      </c>
      <c r="C25" s="24">
        <v>15.6</v>
      </c>
      <c r="D25" s="24">
        <v>8.1999999999999993</v>
      </c>
      <c r="E25">
        <v>5.9</v>
      </c>
      <c r="F25">
        <v>4.7</v>
      </c>
      <c r="G25">
        <v>3.6</v>
      </c>
      <c r="H25" s="25">
        <v>2.9</v>
      </c>
      <c r="I25" s="5"/>
      <c r="J25" s="5"/>
      <c r="K25" s="5"/>
      <c r="M25" s="14"/>
      <c r="O25" s="2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x14ac:dyDescent="0.35">
      <c r="A26" s="24">
        <v>200</v>
      </c>
      <c r="B26">
        <v>500</v>
      </c>
      <c r="C26" s="24">
        <v>19.3</v>
      </c>
      <c r="D26" s="24">
        <v>8.9</v>
      </c>
      <c r="E26">
        <v>6.8</v>
      </c>
      <c r="F26">
        <v>5.7</v>
      </c>
      <c r="G26">
        <v>4.7</v>
      </c>
      <c r="H26" s="25">
        <v>4.0999999999999996</v>
      </c>
      <c r="I26" s="5"/>
      <c r="J26" s="5"/>
      <c r="K26" s="5"/>
      <c r="M26" s="14"/>
    </row>
    <row r="27" spans="1:49" x14ac:dyDescent="0.35">
      <c r="A27" s="28">
        <v>100</v>
      </c>
      <c r="B27" s="29">
        <v>200</v>
      </c>
      <c r="C27" s="28">
        <v>27.5</v>
      </c>
      <c r="D27" s="28">
        <v>10</v>
      </c>
      <c r="E27" s="29">
        <v>8</v>
      </c>
      <c r="F27" s="29">
        <v>7</v>
      </c>
      <c r="G27" s="29">
        <v>6.1</v>
      </c>
      <c r="H27" s="30">
        <v>5.5</v>
      </c>
      <c r="I27" s="5"/>
      <c r="J27" s="5"/>
      <c r="K27" s="5"/>
      <c r="M27" s="14"/>
    </row>
    <row r="28" spans="1:49" ht="13.15" x14ac:dyDescent="0.4">
      <c r="A28" s="3"/>
      <c r="G28" s="15"/>
      <c r="H28" s="10"/>
      <c r="I28" s="5"/>
      <c r="J28" s="5"/>
      <c r="K28" s="5"/>
      <c r="M28" s="14"/>
    </row>
    <row r="29" spans="1:49" ht="13.15" x14ac:dyDescent="0.4">
      <c r="A29" s="3"/>
      <c r="G29" s="15"/>
      <c r="H29" s="10"/>
      <c r="I29" s="5"/>
      <c r="J29" s="5"/>
      <c r="K29" s="5"/>
      <c r="M29" s="14"/>
    </row>
    <row r="30" spans="1:49" ht="13.15" x14ac:dyDescent="0.4">
      <c r="A30" s="3"/>
      <c r="G30" s="15"/>
      <c r="H30" s="10"/>
      <c r="I30" s="5"/>
      <c r="J30" s="5"/>
      <c r="K30" s="5"/>
      <c r="M30" s="14"/>
    </row>
    <row r="31" spans="1:49" x14ac:dyDescent="0.35">
      <c r="A31" s="3"/>
      <c r="I31" s="5"/>
      <c r="J31" s="5"/>
      <c r="K31" s="5"/>
      <c r="M31" s="14"/>
    </row>
    <row r="32" spans="1:49" x14ac:dyDescent="0.35">
      <c r="A32" s="64"/>
      <c r="B32" s="64"/>
      <c r="C32" s="64"/>
      <c r="D32" s="64"/>
      <c r="E32" s="64"/>
      <c r="F32" s="64"/>
      <c r="G32" s="64"/>
      <c r="H32" s="64"/>
      <c r="I32" s="5"/>
      <c r="J32" s="5"/>
      <c r="K32" s="5"/>
      <c r="M32" s="14"/>
    </row>
    <row r="33" spans="1:13" x14ac:dyDescent="0.35">
      <c r="A33" s="64"/>
      <c r="B33" s="64"/>
      <c r="C33" s="64"/>
      <c r="D33" s="64"/>
      <c r="E33" s="64"/>
      <c r="F33" s="64"/>
      <c r="G33" s="64"/>
      <c r="H33" s="64"/>
      <c r="I33" s="5"/>
      <c r="J33" s="5"/>
      <c r="K33" s="5"/>
      <c r="M33" s="14"/>
    </row>
    <row r="34" spans="1:13" x14ac:dyDescent="0.35">
      <c r="A34" s="64"/>
      <c r="B34" s="64"/>
      <c r="C34" s="64"/>
      <c r="D34" s="64"/>
      <c r="E34" s="64"/>
      <c r="F34" s="64"/>
      <c r="G34" s="64"/>
      <c r="H34" s="64"/>
      <c r="I34" s="5"/>
      <c r="J34" s="5"/>
      <c r="K34" s="5"/>
      <c r="M34" s="14"/>
    </row>
    <row r="35" spans="1:13" x14ac:dyDescent="0.35">
      <c r="A35" s="64"/>
      <c r="B35" s="64"/>
      <c r="C35" s="64"/>
      <c r="D35" s="64"/>
      <c r="E35" s="64"/>
      <c r="F35" s="64"/>
      <c r="G35" s="64"/>
      <c r="H35" s="64"/>
      <c r="I35" s="5"/>
      <c r="J35" s="5"/>
      <c r="K35" s="5"/>
      <c r="M35" s="14"/>
    </row>
    <row r="36" spans="1:13" x14ac:dyDescent="0.35">
      <c r="A36" s="64"/>
      <c r="B36" s="64"/>
      <c r="C36" s="64"/>
      <c r="D36" s="64"/>
      <c r="E36" s="64"/>
      <c r="F36" s="64"/>
      <c r="G36" s="64"/>
      <c r="H36" s="64"/>
      <c r="I36" s="5"/>
      <c r="J36" s="5"/>
      <c r="K36" s="5"/>
      <c r="M36" s="14"/>
    </row>
    <row r="37" spans="1:13" x14ac:dyDescent="0.35">
      <c r="A37" s="3"/>
      <c r="I37" s="5"/>
      <c r="J37" s="5"/>
      <c r="K37" s="5"/>
    </row>
    <row r="38" spans="1:13" x14ac:dyDescent="0.35">
      <c r="A38" s="3"/>
      <c r="I38" s="5"/>
      <c r="J38" s="5"/>
      <c r="K38" s="5"/>
    </row>
    <row r="51" spans="27:31" x14ac:dyDescent="0.35">
      <c r="AA51">
        <v>5</v>
      </c>
      <c r="AB51">
        <v>5</v>
      </c>
      <c r="AC51">
        <v>4</v>
      </c>
      <c r="AD51">
        <v>1</v>
      </c>
      <c r="AE51">
        <v>1</v>
      </c>
    </row>
    <row r="52" spans="27:31" x14ac:dyDescent="0.35">
      <c r="AA52">
        <v>4</v>
      </c>
      <c r="AB52">
        <v>3</v>
      </c>
      <c r="AC52">
        <v>0</v>
      </c>
      <c r="AD52">
        <v>0</v>
      </c>
      <c r="AE52">
        <v>0</v>
      </c>
    </row>
    <row r="53" spans="27:31" x14ac:dyDescent="0.35">
      <c r="AA53">
        <v>10</v>
      </c>
      <c r="AB53">
        <v>7</v>
      </c>
      <c r="AC53">
        <v>2</v>
      </c>
      <c r="AD53">
        <v>1</v>
      </c>
      <c r="AE53">
        <v>1</v>
      </c>
    </row>
    <row r="54" spans="27:31" x14ac:dyDescent="0.35">
      <c r="AA54">
        <v>5</v>
      </c>
      <c r="AB54">
        <v>5</v>
      </c>
      <c r="AC54">
        <v>3</v>
      </c>
      <c r="AD54">
        <v>1</v>
      </c>
      <c r="AE54">
        <v>1</v>
      </c>
    </row>
    <row r="55" spans="27:31" x14ac:dyDescent="0.35">
      <c r="AA55">
        <v>5</v>
      </c>
      <c r="AB55">
        <v>4</v>
      </c>
      <c r="AC55">
        <v>3</v>
      </c>
      <c r="AD55">
        <v>0</v>
      </c>
      <c r="AE55">
        <v>0</v>
      </c>
    </row>
    <row r="71" spans="1:11" x14ac:dyDescent="0.35">
      <c r="H71" s="14"/>
      <c r="J71" s="14"/>
    </row>
    <row r="72" spans="1:11" x14ac:dyDescent="0.35">
      <c r="G72" s="14"/>
      <c r="H72" s="14"/>
      <c r="I72" s="14"/>
      <c r="J72" s="14"/>
    </row>
    <row r="73" spans="1:11" ht="13.15" x14ac:dyDescent="0.4">
      <c r="A73" s="1"/>
    </row>
    <row r="77" spans="1:11" x14ac:dyDescent="0.35">
      <c r="H77" s="27"/>
      <c r="J77" s="27"/>
    </row>
    <row r="78" spans="1:11" ht="13.15" x14ac:dyDescent="0.4">
      <c r="A78" s="1"/>
      <c r="H78" s="31"/>
      <c r="J78" s="31"/>
    </row>
    <row r="79" spans="1:11" ht="13.15" x14ac:dyDescent="0.4">
      <c r="K79" s="2"/>
    </row>
  </sheetData>
  <conditionalFormatting sqref="H9:H18 H28:H30 H39">
    <cfRule type="cellIs" dxfId="7" priority="4" operator="greaterThan">
      <formula>1000</formula>
    </cfRule>
  </conditionalFormatting>
  <conditionalFormatting sqref="K9:K15">
    <cfRule type="cellIs" dxfId="6" priority="1" operator="lessThan">
      <formula>"$J9"</formula>
    </cfRule>
  </conditionalFormatting>
  <conditionalFormatting sqref="K16:K38">
    <cfRule type="cellIs" dxfId="5" priority="5" operator="lessThan">
      <formula>J18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Annex E</vt:lpstr>
      <vt:lpstr>E - B1</vt:lpstr>
      <vt:lpstr>E - B2</vt:lpstr>
      <vt:lpstr>E - B3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Devereux</dc:creator>
  <cp:lastModifiedBy>John Devereux</cp:lastModifiedBy>
  <dcterms:created xsi:type="dcterms:W3CDTF">2025-12-19T13:06:00Z</dcterms:created>
  <dcterms:modified xsi:type="dcterms:W3CDTF">2026-04-29T20:19:58Z</dcterms:modified>
</cp:coreProperties>
</file>