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<sst xmlns="http://schemas.openxmlformats.org/spreadsheetml/2006/main" count="50" uniqueCount="30">
  <si>
    <t xml:space="preserve">LPA3/BS500 counts with sample volume</t>
  </si>
  <si>
    <t xml:space="preserve">counts/ml</t>
  </si>
  <si>
    <t xml:space="preserve">counts/100ml</t>
  </si>
  <si>
    <t xml:space="preserve">25ml</t>
  </si>
  <si>
    <t xml:space="preserve">50ml</t>
  </si>
  <si>
    <t xml:space="preserve">100ml</t>
  </si>
  <si>
    <t xml:space="preserve">ISO CODE</t>
  </si>
  <si>
    <t xml:space="preserve">21/19/16</t>
  </si>
  <si>
    <t xml:space="preserve">21/20/16</t>
  </si>
  <si>
    <t xml:space="preserve">%</t>
  </si>
  <si>
    <t xml:space="preserve"> -1/2 ISO CODE</t>
  </si>
  <si>
    <t xml:space="preserve"> +1/2 ISO CODE</t>
  </si>
  <si>
    <t xml:space="preserve">Mean count</t>
  </si>
  <si>
    <t xml:space="preserve">Mean %</t>
  </si>
  <si>
    <t xml:space="preserve">4um</t>
  </si>
  <si>
    <t xml:space="preserve">6um</t>
  </si>
  <si>
    <t xml:space="preserve">14um</t>
  </si>
  <si>
    <t xml:space="preserve">21um</t>
  </si>
  <si>
    <t xml:space="preserve">25um</t>
  </si>
  <si>
    <t xml:space="preserve">38um</t>
  </si>
  <si>
    <t xml:space="preserve">n/a</t>
  </si>
  <si>
    <t xml:space="preserve">50um</t>
  </si>
  <si>
    <t xml:space="preserve">70um</t>
  </si>
  <si>
    <t xml:space="preserve">Conclusion: Our MTD has less particles at 4um causing us to set a threshold such that we are counting a smaller size. This elevates the 4um count by 40% when testing Partistan fluid.</t>
  </si>
  <si>
    <t xml:space="preserve">We can correct for this by correcting the MTD distribution we are using.</t>
  </si>
  <si>
    <t xml:space="preserve">There are 40% more SRM2806 particles at ~3.4um CF 4um</t>
  </si>
  <si>
    <t xml:space="preserve">So if we are counting 3.4um particles this is a circular equivalent area smaller by a factor 0.7225.</t>
  </si>
  <si>
    <t xml:space="preserve">There are about 30% fewer 4um particles than 3.4um so we should reduce our MTD distribution by this amount at 4um i.e. multiply by 0.714</t>
  </si>
  <si>
    <t xml:space="preserve">Similarly for 6um we are counting at ~5.2um</t>
  </si>
  <si>
    <t xml:space="preserve">We should reduce the 6um distribution value by 27% i.e. a factor 0.73.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</si>
</sst>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390625" defaultRowHeight="15" zeroHeight="false" outlineLevelRow="0" outlineLevelCol="0"/>
  <cols>
    <col collapsed="false" customWidth="true" hidden="false" outlineLevel="0" max="1" min="1" style="0" width="9.29"/>
    <col collapsed="false" customWidth="true" hidden="false" outlineLevel="0" max="2" min="2" style="1" width="10.29"/>
    <col collapsed="false" customWidth="true" hidden="false" outlineLevel="0" max="3" min="3" style="1" width="13.15"/>
    <col collapsed="false" customWidth="true" hidden="false" outlineLevel="0" max="5" min="4" style="1" width="9.14"/>
    <col collapsed="false" customWidth="true" hidden="true" outlineLevel="0" max="6" min="6" style="1" width="13.86"/>
    <col collapsed="false" customWidth="true" hidden="true" outlineLevel="0" max="7" min="7" style="1" width="14.14"/>
    <col collapsed="false" customWidth="true" hidden="false" outlineLevel="0" max="9" min="8" style="1" width="9.14"/>
    <col collapsed="false" customWidth="true" hidden="true" outlineLevel="0" max="10" min="10" style="1" width="13.86"/>
    <col collapsed="false" customWidth="true" hidden="true" outlineLevel="0" max="11" min="11" style="1" width="14.14"/>
    <col collapsed="false" customWidth="true" hidden="false" outlineLevel="0" max="13" min="12" style="1" width="9.14"/>
    <col collapsed="false" customWidth="true" hidden="true" outlineLevel="0" max="14" min="14" style="1" width="13.86"/>
    <col collapsed="false" customWidth="true" hidden="true" outlineLevel="0" max="15" min="15" style="1" width="14.14"/>
    <col collapsed="false" customWidth="true" hidden="false" outlineLevel="0" max="17" min="16" style="1" width="9.14"/>
    <col collapsed="false" customWidth="true" hidden="true" outlineLevel="0" max="19" min="18" style="1" width="9.14"/>
    <col collapsed="false" customWidth="true" hidden="false" outlineLevel="0" max="20" min="20" style="1" width="9.14"/>
    <col collapsed="false" customWidth="true" hidden="false" outlineLevel="0" max="22" min="22" style="0" width="11.57"/>
  </cols>
  <sheetData>
    <row r="1" customFormat="false" ht="15" hidden="false" customHeight="false" outlineLevel="0" collapsed="false">
      <c r="A1" s="2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3"/>
      <c r="W1" s="2"/>
    </row>
    <row r="2" customFormat="false" ht="15" hidden="false" customHeight="false" outlineLevel="0" collapsed="false">
      <c r="A2" s="2"/>
      <c r="B2" s="3" t="s">
        <v>1</v>
      </c>
      <c r="C2" s="3" t="s">
        <v>2</v>
      </c>
      <c r="D2" s="3" t="s">
        <v>3</v>
      </c>
      <c r="E2" s="3"/>
      <c r="F2" s="3"/>
      <c r="G2" s="3"/>
      <c r="H2" s="3" t="s">
        <v>3</v>
      </c>
      <c r="I2" s="3"/>
      <c r="J2" s="3"/>
      <c r="K2" s="3"/>
      <c r="L2" s="3" t="s">
        <v>3</v>
      </c>
      <c r="M2" s="3"/>
      <c r="N2" s="3"/>
      <c r="O2" s="3"/>
      <c r="P2" s="3" t="s">
        <v>4</v>
      </c>
      <c r="Q2" s="3"/>
      <c r="R2" s="3"/>
      <c r="S2" s="3"/>
      <c r="T2" s="2" t="s">
        <v>5</v>
      </c>
      <c r="U2" s="2"/>
      <c r="V2" s="2"/>
      <c r="W2" s="2"/>
    </row>
    <row r="3" customFormat="false" ht="15" hidden="false" customHeight="false" outlineLevel="0" collapsed="false">
      <c r="A3" s="2" t="s">
        <v>6</v>
      </c>
      <c r="B3" s="5" t="s">
        <v>7</v>
      </c>
      <c r="C3" s="5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8</v>
      </c>
      <c r="M3" s="5" t="s">
        <v>9</v>
      </c>
      <c r="N3" s="5" t="s">
        <v>10</v>
      </c>
      <c r="O3" s="5" t="s">
        <v>11</v>
      </c>
      <c r="P3" s="5" t="s">
        <v>8</v>
      </c>
      <c r="Q3" s="5" t="s">
        <v>9</v>
      </c>
      <c r="R3" s="5"/>
      <c r="S3" s="5"/>
      <c r="T3" s="5" t="s">
        <v>8</v>
      </c>
      <c r="U3" s="5" t="s">
        <v>9</v>
      </c>
      <c r="V3" s="5" t="s">
        <v>12</v>
      </c>
      <c r="W3" s="5" t="s">
        <v>13</v>
      </c>
    </row>
    <row r="4" customFormat="false" ht="15" hidden="false" customHeight="false" outlineLevel="0" collapsed="false">
      <c r="A4" s="2" t="s">
        <v>14</v>
      </c>
      <c r="B4" s="3" t="n">
        <v>10915.4</v>
      </c>
      <c r="C4" s="3" t="n">
        <f aca="false">B4*100</f>
        <v>1091540</v>
      </c>
      <c r="D4" s="3" t="n">
        <v>1484303</v>
      </c>
      <c r="E4" s="6" t="n">
        <f aca="false">(D4-C4)/C4*100</f>
        <v>35.9824651409935</v>
      </c>
      <c r="F4" s="3" t="n">
        <f aca="false">D4-(5000*100)</f>
        <v>984303</v>
      </c>
      <c r="G4" s="3" t="n">
        <f aca="false">D4+(5000*100)</f>
        <v>1984303</v>
      </c>
      <c r="H4" s="3" t="n">
        <v>1546801</v>
      </c>
      <c r="I4" s="6" t="n">
        <f aca="false">(H4-C4)/C4*100</f>
        <v>41.7081371273614</v>
      </c>
      <c r="J4" s="3" t="n">
        <f aca="false">H4-(5000*100)</f>
        <v>1046801</v>
      </c>
      <c r="K4" s="3" t="n">
        <f aca="false">H4+(5000*100)</f>
        <v>2046801</v>
      </c>
      <c r="L4" s="3" t="n">
        <v>1564898</v>
      </c>
      <c r="M4" s="6" t="n">
        <f aca="false">(L4-C4)/C4*100</f>
        <v>43.3660699562087</v>
      </c>
      <c r="N4" s="3" t="n">
        <f aca="false">L4-(5000*100)</f>
        <v>1064898</v>
      </c>
      <c r="O4" s="3" t="n">
        <f aca="false">L4+(5000*100)</f>
        <v>2064898</v>
      </c>
      <c r="P4" s="3" t="n">
        <v>1535658</v>
      </c>
      <c r="Q4" s="6" t="n">
        <f aca="false">(P4-C4)/C4*100</f>
        <v>40.687285853015</v>
      </c>
      <c r="R4" s="3" t="n">
        <f aca="false">P4-(5000*100)</f>
        <v>1035658</v>
      </c>
      <c r="S4" s="3" t="n">
        <f aca="false">P4+(5000*100)</f>
        <v>2035658</v>
      </c>
      <c r="T4" s="3" t="n">
        <v>1503539</v>
      </c>
      <c r="U4" s="7" t="n">
        <f aca="false">(T4-C4)/C4*100</f>
        <v>37.7447459552559</v>
      </c>
      <c r="V4" s="8" t="n">
        <f aca="false">(T4+P4+L4+H4+D4)/5</f>
        <v>1527039.8</v>
      </c>
      <c r="W4" s="7" t="n">
        <f aca="false">(U4+Q4+M4+I4+E4)/5</f>
        <v>39.8977408065669</v>
      </c>
      <c r="X4" s="9"/>
    </row>
    <row r="5" customFormat="false" ht="15" hidden="false" customHeight="false" outlineLevel="0" collapsed="false">
      <c r="A5" s="2" t="s">
        <v>15</v>
      </c>
      <c r="B5" s="3" t="n">
        <v>4749.6</v>
      </c>
      <c r="C5" s="3" t="n">
        <f aca="false">B5*100</f>
        <v>474960</v>
      </c>
      <c r="D5" s="3" t="n">
        <v>633503</v>
      </c>
      <c r="E5" s="6" t="n">
        <f aca="false">(D5-C5)/C5*100</f>
        <v>33.3802846555499</v>
      </c>
      <c r="F5" s="3" t="n">
        <f aca="false">D5-(1250*100)</f>
        <v>508503</v>
      </c>
      <c r="G5" s="3" t="n">
        <f aca="false">D5+(1250*100)</f>
        <v>758503</v>
      </c>
      <c r="H5" s="3" t="n">
        <v>656797</v>
      </c>
      <c r="I5" s="6" t="n">
        <f aca="false">(H5-C5)/C5*100</f>
        <v>38.2846976587502</v>
      </c>
      <c r="J5" s="3" t="n">
        <f aca="false">H5-(1250*100)</f>
        <v>531797</v>
      </c>
      <c r="K5" s="3" t="n">
        <f aca="false">H5+(1250*100)</f>
        <v>781797</v>
      </c>
      <c r="L5" s="3" t="n">
        <v>677753</v>
      </c>
      <c r="M5" s="6" t="n">
        <f aca="false">(L5-C5)/C5*100</f>
        <v>42.6968586828364</v>
      </c>
      <c r="N5" s="3" t="n">
        <f aca="false">L5-(1250*100)</f>
        <v>552753</v>
      </c>
      <c r="O5" s="3" t="n">
        <f aca="false">L5+(1250*100)</f>
        <v>802753</v>
      </c>
      <c r="P5" s="3" t="n">
        <v>657222</v>
      </c>
      <c r="Q5" s="6" t="n">
        <f aca="false">(P5-C5)/C5*100</f>
        <v>38.3741788782213</v>
      </c>
      <c r="R5" s="3" t="n">
        <f aca="false">P5-(1250*100)</f>
        <v>532222</v>
      </c>
      <c r="S5" s="3" t="n">
        <f aca="false">P5+(1250*100)</f>
        <v>782222</v>
      </c>
      <c r="T5" s="3" t="n">
        <v>634250</v>
      </c>
      <c r="U5" s="7" t="n">
        <f aca="false">(T5-C5)/C5*100</f>
        <v>33.5375610577733</v>
      </c>
      <c r="V5" s="8" t="n">
        <f aca="false">(T5+P5+L5+H5+D5)/5</f>
        <v>651905</v>
      </c>
      <c r="W5" s="7" t="n">
        <f aca="false">(U5+Q5+M5+I5+E5)/5</f>
        <v>37.2547161866262</v>
      </c>
      <c r="X5" s="9"/>
    </row>
    <row r="6" customFormat="false" ht="15" hidden="false" customHeight="false" outlineLevel="0" collapsed="false">
      <c r="A6" s="2" t="s">
        <v>16</v>
      </c>
      <c r="B6" s="3" t="n">
        <v>378.9</v>
      </c>
      <c r="C6" s="3" t="n">
        <f aca="false">B6*100</f>
        <v>37890</v>
      </c>
      <c r="D6" s="3" t="n">
        <v>40226</v>
      </c>
      <c r="E6" s="6" t="n">
        <f aca="false">(D6-C6)/C6*100</f>
        <v>6.16521509633149</v>
      </c>
      <c r="F6" s="3" t="n">
        <f aca="false">D6-(180*100)</f>
        <v>22226</v>
      </c>
      <c r="G6" s="3" t="n">
        <f aca="false">D6+(180*100)</f>
        <v>58226</v>
      </c>
      <c r="H6" s="3" t="n">
        <v>42324</v>
      </c>
      <c r="I6" s="6" t="n">
        <f aca="false">(H6-C6)/C6*100</f>
        <v>11.7022961203484</v>
      </c>
      <c r="J6" s="3" t="n">
        <f aca="false">H6-(180*100)</f>
        <v>24324</v>
      </c>
      <c r="K6" s="3" t="n">
        <f aca="false">H6+(180*100)</f>
        <v>60324</v>
      </c>
      <c r="L6" s="3" t="n">
        <v>42138</v>
      </c>
      <c r="M6" s="6" t="n">
        <f aca="false">(L6-C6)/C6*100</f>
        <v>11.2114014251781</v>
      </c>
      <c r="N6" s="3" t="n">
        <f aca="false">L6-(180*100)</f>
        <v>24138</v>
      </c>
      <c r="O6" s="3" t="n">
        <f aca="false">L6+(180*100)</f>
        <v>60138</v>
      </c>
      <c r="P6" s="3" t="n">
        <v>44472</v>
      </c>
      <c r="Q6" s="6" t="n">
        <f aca="false">(P6-C6)/C6*100</f>
        <v>17.3713380839272</v>
      </c>
      <c r="R6" s="3" t="n">
        <f aca="false">P6-(180*100)</f>
        <v>26472</v>
      </c>
      <c r="S6" s="3" t="n">
        <f aca="false">P6+(180*100)</f>
        <v>62472</v>
      </c>
      <c r="T6" s="3" t="n">
        <v>35042</v>
      </c>
      <c r="U6" s="7" t="n">
        <f aca="false">(T6-C6)/C6*100</f>
        <v>-7.51649511744524</v>
      </c>
      <c r="V6" s="8" t="n">
        <f aca="false">(T6+P6+L6+H6+D6)/5</f>
        <v>40840.4</v>
      </c>
      <c r="W6" s="7" t="n">
        <f aca="false">(U6+Q6+M6+I6+E6)/5</f>
        <v>7.78675112166799</v>
      </c>
      <c r="X6" s="9"/>
    </row>
    <row r="7" customFormat="false" ht="15" hidden="false" customHeight="false" outlineLevel="0" collapsed="false">
      <c r="A7" s="2" t="s">
        <v>17</v>
      </c>
      <c r="B7" s="3" t="n">
        <v>99.2</v>
      </c>
      <c r="C7" s="3" t="n">
        <f aca="false">B7*100</f>
        <v>9920</v>
      </c>
      <c r="D7" s="3" t="n">
        <v>10079</v>
      </c>
      <c r="E7" s="6" t="n">
        <f aca="false">(D7-C7)/C7*100</f>
        <v>1.60282258064516</v>
      </c>
      <c r="F7" s="3"/>
      <c r="G7" s="3"/>
      <c r="H7" s="3" t="n">
        <v>10415</v>
      </c>
      <c r="I7" s="6" t="n">
        <f aca="false">(H7-C7)/C7*100</f>
        <v>4.98991935483871</v>
      </c>
      <c r="J7" s="6"/>
      <c r="K7" s="6"/>
      <c r="L7" s="3" t="n">
        <v>10929</v>
      </c>
      <c r="M7" s="6" t="n">
        <f aca="false">(L7-C7)/C7*100</f>
        <v>10.1713709677419</v>
      </c>
      <c r="N7" s="6"/>
      <c r="O7" s="6"/>
      <c r="P7" s="3" t="n">
        <v>10712</v>
      </c>
      <c r="Q7" s="6" t="n">
        <f aca="false">(P7-C7)/C7*100</f>
        <v>7.98387096774194</v>
      </c>
      <c r="R7" s="6"/>
      <c r="S7" s="6"/>
      <c r="T7" s="3" t="n">
        <v>7270</v>
      </c>
      <c r="U7" s="7" t="n">
        <f aca="false">(T7-C7)/C7*100</f>
        <v>-26.7137096774194</v>
      </c>
      <c r="V7" s="8" t="n">
        <f aca="false">(T7+P7+L7+H7+D7)/5</f>
        <v>9881</v>
      </c>
      <c r="W7" s="7" t="n">
        <f aca="false">(U7+Q7+M7+I7+E7)/5</f>
        <v>-0.393145161290323</v>
      </c>
      <c r="X7" s="9"/>
    </row>
    <row r="8" customFormat="false" ht="15" hidden="false" customHeight="false" outlineLevel="0" collapsed="false">
      <c r="A8" s="2" t="s">
        <v>18</v>
      </c>
      <c r="B8" s="3" t="n">
        <v>51.1</v>
      </c>
      <c r="C8" s="3" t="n">
        <f aca="false">B8*100</f>
        <v>5110</v>
      </c>
      <c r="D8" s="3" t="n">
        <v>4677</v>
      </c>
      <c r="E8" s="6" t="n">
        <f aca="false">(D8-C8)/C8*100</f>
        <v>-8.47358121330724</v>
      </c>
      <c r="F8" s="3"/>
      <c r="G8" s="3"/>
      <c r="H8" s="3" t="n">
        <v>3683</v>
      </c>
      <c r="I8" s="6" t="n">
        <f aca="false">(H8-C8)/C8*100</f>
        <v>-27.9256360078278</v>
      </c>
      <c r="J8" s="6"/>
      <c r="K8" s="6"/>
      <c r="L8" s="3" t="n">
        <v>5250</v>
      </c>
      <c r="M8" s="6" t="n">
        <f aca="false">(L8-C8)/C8*100</f>
        <v>2.73972602739726</v>
      </c>
      <c r="N8" s="6"/>
      <c r="O8" s="6"/>
      <c r="P8" s="3" t="n">
        <v>4697</v>
      </c>
      <c r="Q8" s="6" t="n">
        <f aca="false">(P8-C8)/C8*100</f>
        <v>-8.08219178082192</v>
      </c>
      <c r="R8" s="6"/>
      <c r="S8" s="6"/>
      <c r="T8" s="3" t="n">
        <v>2624</v>
      </c>
      <c r="U8" s="7" t="n">
        <f aca="false">(T8-C8)/C8*100</f>
        <v>-48.6497064579256</v>
      </c>
      <c r="V8" s="8" t="n">
        <f aca="false">(T8+P8+L8+H8+D8)/5</f>
        <v>4186.2</v>
      </c>
      <c r="W8" s="7" t="n">
        <f aca="false">(U8+Q8+M8+I8+E8)/5</f>
        <v>-18.0782778864971</v>
      </c>
      <c r="X8" s="9"/>
    </row>
    <row r="9" customFormat="false" ht="15" hidden="true" customHeight="false" outlineLevel="0" collapsed="false">
      <c r="A9" s="0" t="s">
        <v>19</v>
      </c>
      <c r="B9" s="1" t="s">
        <v>20</v>
      </c>
      <c r="C9" s="1" t="s">
        <v>20</v>
      </c>
      <c r="D9" s="1" t="n">
        <v>544</v>
      </c>
      <c r="E9" s="1" t="e">
        <f aca="false">(D9-C9)/C9*100</f>
        <v>#VALUE!</v>
      </c>
      <c r="H9" s="1" t="n">
        <v>452</v>
      </c>
      <c r="I9" s="1" t="e">
        <f aca="false">(H9-C9)/C9*100</f>
        <v>#VALUE!</v>
      </c>
      <c r="L9" s="1" t="n">
        <v>503</v>
      </c>
      <c r="M9" s="1" t="e">
        <f aca="false">(L9-C9)/C9*100</f>
        <v>#VALUE!</v>
      </c>
      <c r="P9" s="1" t="n">
        <v>316</v>
      </c>
      <c r="Q9" s="10" t="e">
        <f aca="false">(P9-C9)/C9*100</f>
        <v>#VALUE!</v>
      </c>
      <c r="R9" s="10"/>
      <c r="S9" s="10"/>
      <c r="T9" s="1" t="n">
        <v>112</v>
      </c>
      <c r="U9" s="0" t="e">
        <f aca="false">(P9-C9)/C9*100</f>
        <v>#VALUE!</v>
      </c>
    </row>
    <row r="10" customFormat="false" ht="15" hidden="true" customHeight="false" outlineLevel="0" collapsed="false">
      <c r="A10" s="0" t="s">
        <v>21</v>
      </c>
      <c r="B10" s="1" t="s">
        <v>20</v>
      </c>
      <c r="C10" s="1" t="s">
        <v>20</v>
      </c>
      <c r="D10" s="1" t="n">
        <v>201</v>
      </c>
      <c r="E10" s="1" t="e">
        <f aca="false">(D10-C10)/C10*100</f>
        <v>#VALUE!</v>
      </c>
      <c r="H10" s="1" t="n">
        <v>301</v>
      </c>
      <c r="I10" s="1" t="e">
        <f aca="false">(H10-C10)/C10*100</f>
        <v>#VALUE!</v>
      </c>
      <c r="L10" s="1" t="n">
        <v>503</v>
      </c>
      <c r="M10" s="1" t="e">
        <f aca="false">(L10-C10)/C10*100</f>
        <v>#VALUE!</v>
      </c>
      <c r="P10" s="1" t="n">
        <v>100</v>
      </c>
      <c r="Q10" s="10" t="e">
        <f aca="false">(P10-C10)/C10*100</f>
        <v>#VALUE!</v>
      </c>
      <c r="R10" s="10"/>
      <c r="S10" s="10"/>
      <c r="T10" s="1" t="n">
        <v>24</v>
      </c>
      <c r="U10" s="0" t="e">
        <f aca="false">(P10-C10)/C10*100</f>
        <v>#VALUE!</v>
      </c>
    </row>
    <row r="11" customFormat="false" ht="15" hidden="true" customHeight="false" outlineLevel="0" collapsed="false">
      <c r="A11" s="0" t="s">
        <v>22</v>
      </c>
      <c r="B11" s="1" t="s">
        <v>20</v>
      </c>
      <c r="C11" s="1" t="s">
        <v>20</v>
      </c>
      <c r="D11" s="1" t="n">
        <v>0</v>
      </c>
      <c r="E11" s="1" t="e">
        <f aca="false">(D11-C11)/C11*100</f>
        <v>#VALUE!</v>
      </c>
      <c r="H11" s="1" t="n">
        <v>0</v>
      </c>
      <c r="I11" s="1" t="e">
        <f aca="false">(H11-C11)/C11*100</f>
        <v>#VALUE!</v>
      </c>
      <c r="L11" s="1" t="n">
        <v>0</v>
      </c>
      <c r="M11" s="1" t="e">
        <f aca="false">(L11-C11)/C11*100</f>
        <v>#VALUE!</v>
      </c>
      <c r="P11" s="1" t="n">
        <v>0</v>
      </c>
      <c r="Q11" s="10" t="e">
        <f aca="false">(P11-C11)/C11*100</f>
        <v>#VALUE!</v>
      </c>
      <c r="R11" s="10"/>
      <c r="S11" s="10"/>
      <c r="T11" s="1" t="n">
        <v>0</v>
      </c>
      <c r="U11" s="0" t="e">
        <f aca="false">(P11-C11)/C11*100</f>
        <v>#VALUE!</v>
      </c>
    </row>
    <row r="13" customFormat="false" ht="15" hidden="false" customHeight="false" outlineLevel="0" collapsed="false">
      <c r="A13" s="0" t="s">
        <v>23</v>
      </c>
    </row>
    <row r="15" customFormat="false" ht="15" hidden="false" customHeight="false" outlineLevel="0" collapsed="false">
      <c r="A15" s="0" t="s">
        <v>24</v>
      </c>
    </row>
    <row r="17" customFormat="false" ht="15" hidden="false" customHeight="false" outlineLevel="0" collapsed="false">
      <c r="A17" s="0" t="s">
        <v>25</v>
      </c>
    </row>
    <row r="18" customFormat="false" ht="15" hidden="false" customHeight="false" outlineLevel="0" collapsed="false">
      <c r="A18" s="0" t="s">
        <v>26</v>
      </c>
    </row>
    <row r="19" customFormat="false" ht="15" hidden="false" customHeight="false" outlineLevel="0" collapsed="false">
      <c r="A19" s="0" t="s">
        <v>27</v>
      </c>
    </row>
    <row r="20" customFormat="false" ht="15" hidden="false" customHeight="false" outlineLevel="0" collapsed="false">
      <c r="A20" s="0" t="s">
        <v>28</v>
      </c>
    </row>
    <row r="21" customFormat="false" ht="15" hidden="false" customHeight="false" outlineLevel="0" collapsed="false">
      <c r="A21" s="0" t="s">
        <v>29</v>
      </c>
    </row>
  </sheetData>
  <mergeCells count="1">
    <mergeCell ref="D1:U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2024-01-17T14:14:42Z</dcterms:created>
  <dc:creator>FOSDA</dc:creator>
  <dc:description/>
  <dc:language>en-GB</dc:language>
  <cp:lastModifiedBy/>
  <dcterms:modified xsi:type="dcterms:W3CDTF">2024-09-17T14:53:17Z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