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3EA8DDDD-53FB-4ADC-AF81-F06ACF6C2A5E}" xr6:coauthVersionLast="47" xr6:coauthVersionMax="47" xr10:uidLastSave="{00000000-0000-0000-0000-000000000000}"/>
  <bookViews>
    <workbookView xWindow="-98" yWindow="-98" windowWidth="28996" windowHeight="17745" tabRatio="500" xr2:uid="{00000000-000D-0000-FFFF-FFFF00000000}"/>
  </bookViews>
  <sheets>
    <sheet name="Particle Counter" sheetId="18" r:id="rId1"/>
    <sheet name="Clause 6 - Spheres" sheetId="9" r:id="rId2"/>
    <sheet name="6 - Interpolated Thresholds" sheetId="8" r:id="rId3"/>
    <sheet name="Clause 6.15" sheetId="17" r:id="rId4"/>
    <sheet name="Annex E Verify Counting Accurac" sheetId="16" r:id="rId5"/>
  </sheets>
  <functionGroups builtInGroupCount="19"/>
  <calcPr calcId="191029"/>
</workbook>
</file>

<file path=xl/calcChain.xml><?xml version="1.0" encoding="utf-8"?>
<calcChain xmlns="http://schemas.openxmlformats.org/spreadsheetml/2006/main">
  <c r="N16" i="9" l="1"/>
  <c r="M15" i="9"/>
  <c r="M14" i="9"/>
  <c r="M13" i="9"/>
  <c r="M16" i="9" s="1"/>
  <c r="B16" i="9"/>
  <c r="A16" i="9"/>
  <c r="A15" i="9"/>
  <c r="A14" i="9"/>
  <c r="A13" i="9"/>
  <c r="F16" i="9"/>
  <c r="D11" i="17"/>
  <c r="D12" i="17"/>
  <c r="D10" i="17"/>
  <c r="D13" i="17"/>
  <c r="D9" i="17"/>
  <c r="D7" i="17"/>
  <c r="D5" i="17"/>
  <c r="D8" i="17"/>
  <c r="D6" i="17"/>
  <c r="D43" i="17"/>
  <c r="D42" i="17"/>
  <c r="D26" i="17"/>
  <c r="D41" i="17"/>
  <c r="D40" i="17"/>
  <c r="D24" i="17"/>
  <c r="D23" i="17"/>
  <c r="D22" i="17"/>
  <c r="D39" i="17"/>
  <c r="D38" i="17"/>
  <c r="D37" i="17"/>
  <c r="D21" i="17"/>
  <c r="D20" i="17"/>
  <c r="D19" i="17"/>
  <c r="D36" i="17"/>
  <c r="D35" i="17"/>
  <c r="D34" i="17"/>
  <c r="D18" i="17"/>
  <c r="D15" i="17"/>
  <c r="D33" i="17"/>
  <c r="D17" i="17"/>
  <c r="D32" i="17"/>
  <c r="D16" i="17"/>
  <c r="D14" i="17"/>
  <c r="D31" i="17"/>
  <c r="D30" i="17"/>
  <c r="D29" i="17"/>
  <c r="D27" i="17"/>
  <c r="D25" i="17"/>
  <c r="D28" i="17"/>
  <c r="B37" i="9" l="1"/>
  <c r="F37" i="9"/>
  <c r="O33" i="9"/>
  <c r="M33" i="9"/>
  <c r="H33" i="9"/>
  <c r="F33" i="9"/>
  <c r="D33" i="9"/>
  <c r="B33" i="9"/>
  <c r="G31" i="9"/>
  <c r="C31" i="9"/>
  <c r="M21" i="9"/>
  <c r="F21" i="9"/>
  <c r="A21" i="9"/>
  <c r="M4" i="9"/>
  <c r="M5" i="9" s="1"/>
  <c r="M6" i="9" s="1"/>
  <c r="F4" i="9"/>
  <c r="F5" i="9" s="1"/>
  <c r="F6" i="9" s="1"/>
  <c r="A4" i="9"/>
  <c r="A5" i="9" s="1"/>
  <c r="A6" i="9" s="1"/>
  <c r="A8" i="9" s="1"/>
  <c r="A10" i="9" s="1"/>
  <c r="A12" i="9" s="1"/>
  <c r="A22" i="9" s="1"/>
  <c r="A23" i="9" s="1"/>
  <c r="F8" i="8"/>
  <c r="F7" i="8"/>
  <c r="F6" i="8"/>
  <c r="F5" i="8"/>
  <c r="F4" i="8"/>
  <c r="M37" i="9" l="1"/>
  <c r="B4" i="8"/>
  <c r="B5" i="8"/>
  <c r="B7" i="8"/>
  <c r="B8" i="8"/>
  <c r="B6" i="8"/>
  <c r="F13" i="9"/>
  <c r="F8" i="9"/>
  <c r="F10" i="9" s="1"/>
  <c r="F12" i="9" s="1"/>
  <c r="F14" i="9" s="1"/>
  <c r="F15" i="9" s="1"/>
  <c r="M8" i="9"/>
  <c r="M10" i="9" s="1"/>
  <c r="M12" i="9" s="1"/>
  <c r="E24" i="16"/>
  <c r="I24" i="16" s="1"/>
  <c r="E23" i="16"/>
  <c r="I23" i="16" s="1"/>
  <c r="M22" i="9" l="1"/>
  <c r="M23" i="9" s="1"/>
  <c r="F22" i="9"/>
  <c r="F23" i="9" s="1"/>
</calcChain>
</file>

<file path=xl/sharedStrings.xml><?xml version="1.0" encoding="utf-8"?>
<sst xmlns="http://schemas.openxmlformats.org/spreadsheetml/2006/main" count="189" uniqueCount="87">
  <si>
    <t>APC Model</t>
  </si>
  <si>
    <t>APC S/N</t>
  </si>
  <si>
    <t>11171-00009</t>
  </si>
  <si>
    <t>Sensor Model</t>
  </si>
  <si>
    <t>Sensor S/N</t>
  </si>
  <si>
    <t>Date</t>
  </si>
  <si>
    <t>Operator</t>
  </si>
  <si>
    <t>JMD</t>
  </si>
  <si>
    <t>Threshold Noise</t>
  </si>
  <si>
    <t>/ml</t>
  </si>
  <si>
    <t>Deviation</t>
  </si>
  <si>
    <t>ml</t>
  </si>
  <si>
    <t>NAVAIR</t>
  </si>
  <si>
    <t>mg</t>
  </si>
  <si>
    <t>mg/l</t>
  </si>
  <si>
    <t>Bottle Sampler</t>
  </si>
  <si>
    <t>34D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</si>
  <si>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</si>
  <si>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</si>
  <si>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</si>
  <si>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</si>
  <si>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</si>
  <si>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</si>
  <si>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</si>
  <si>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</si>
  <si>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</si>
  <si>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</si>
  <si>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</si>
  <si>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 xml:space="preserve"> Particle Size</t>
  </si>
  <si>
    <t>Particle Concentration</t>
  </si>
  <si>
    <t>Interpolated Threshold Voltage Setting</t>
  </si>
  <si>
    <t>Dilution</t>
  </si>
  <si>
    <t>particles per millilitre</t>
  </si>
  <si>
    <t>mV</t>
  </si>
  <si>
    <t xml:space="preserve">µm(c) </t>
  </si>
  <si>
    <t>Distribution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</si>
  <si>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</si>
  <si>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</si>
  <si>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</si>
  <si>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</si>
  <si>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</si>
  <si>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</si>
  <si>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</si>
  <si>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</si>
  <si>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</si>
  <si>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</si>
  <si>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</si>
  <si>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</si>
  <si>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</si>
  <si>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</si>
  <si>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</si>
  <si>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</si>
  <si>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</si>
  <si>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</si>
  <si>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</si>
  <si>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</si>
  <si>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</si>
  <si>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</si>
  <si>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</si>
  <si>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</si>
  <si>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</si>
  <si>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</si>
  <si>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</si>
  <si>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</si>
  <si>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</si>
  <si>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</si>
  <si>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</si>
  <si>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Differential Counts / 100ml</t>
  </si>
  <si>
    <t>D</t>
  </si>
  <si>
    <t>Threshold Settings corresponding to Sizes of Interest</t>
  </si>
  <si>
    <t>Particle Size</t>
  </si>
  <si>
    <t>Threshold Setting</t>
  </si>
  <si>
    <t>BS110</t>
  </si>
  <si>
    <t>RM8632a mg/l</t>
  </si>
  <si>
    <t>Sample Volume Total</t>
  </si>
  <si>
    <t>B1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</si>
  <si>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</si>
  <si>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</si>
  <si>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</si>
  <si>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</si>
  <si>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</si>
  <si>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</si>
  <si>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</si>
  <si>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</si>
  <si>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Auto-calibrated Thresholds from LPA-View</t>
  </si>
  <si>
    <t>Final Concentration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</si>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</sst>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0.000E+00"/>
  </numFmts>
  <fonts count="16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11"/>
      <color rgb="FF006100"/>
      <name val="Arial"/>
      <family val="2"/>
      <scheme val="minor"/>
    </font>
    <font>
      <sz val="11"/>
      <color theme="1"/>
      <name val="Calibri"/>
      <family val="2"/>
    </font>
    <font>
      <i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i/>
      <sz val="11"/>
      <color rgb="FF0061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E7E7E7"/>
        <bgColor rgb="FFDDDDDD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9" fillId="2" borderId="0" applyBorder="0" applyAlignment="0" applyProtection="0"/>
    <xf numFmtId="0" fontId="3" fillId="0" borderId="0"/>
    <xf numFmtId="0" fontId="11" fillId="5" borderId="0" applyNumberFormat="0" applyBorder="0" applyAlignment="0" applyProtection="0"/>
    <xf numFmtId="0" fontId="2" fillId="6" borderId="0" applyNumberFormat="0" applyBorder="0" applyAlignment="0" applyProtection="0"/>
  </cellStyleXfs>
  <cellXfs count="87">
    <xf numFmtId="0" fontId="0" fillId="0" borderId="0" xfId="0"/>
    <xf numFmtId="0" fontId="0" fillId="0" borderId="0" xfId="0" applyAlignment="1">
      <alignment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0" fillId="0" borderId="0" xfId="0" applyProtection="1">
      <protection locked="0"/>
    </xf>
    <xf numFmtId="16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5" xfId="0" applyBorder="1"/>
    <xf numFmtId="1" fontId="0" fillId="0" borderId="0" xfId="0" applyNumberFormat="1"/>
    <xf numFmtId="165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0" xfId="0" applyNumberFormat="1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6" fontId="0" fillId="0" borderId="0" xfId="0" applyNumberFormat="1"/>
    <xf numFmtId="10" fontId="0" fillId="0" borderId="0" xfId="0" applyNumberFormat="1"/>
    <xf numFmtId="0" fontId="0" fillId="0" borderId="3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4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9" xfId="0" applyBorder="1"/>
    <xf numFmtId="3" fontId="0" fillId="0" borderId="0" xfId="0" applyNumberFormat="1"/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4" fillId="0" borderId="2" xfId="0" applyFont="1" applyBorder="1" applyProtection="1">
      <protection locked="0"/>
    </xf>
    <xf numFmtId="167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4" fillId="0" borderId="5" xfId="0" applyFont="1" applyBorder="1" applyProtection="1">
      <protection locked="0"/>
    </xf>
    <xf numFmtId="2" fontId="0" fillId="0" borderId="5" xfId="0" applyNumberFormat="1" applyBorder="1" applyProtection="1">
      <protection locked="0"/>
    </xf>
    <xf numFmtId="1" fontId="4" fillId="0" borderId="5" xfId="0" applyNumberFormat="1" applyFont="1" applyBorder="1" applyProtection="1">
      <protection locked="0"/>
    </xf>
    <xf numFmtId="165" fontId="0" fillId="0" borderId="5" xfId="0" applyNumberFormat="1" applyBorder="1"/>
    <xf numFmtId="0" fontId="8" fillId="0" borderId="2" xfId="0" applyFont="1" applyBorder="1"/>
    <xf numFmtId="0" fontId="8" fillId="0" borderId="4" xfId="0" applyFont="1" applyBorder="1"/>
    <xf numFmtId="0" fontId="8" fillId="0" borderId="0" xfId="0" applyFont="1"/>
    <xf numFmtId="10" fontId="7" fillId="0" borderId="0" xfId="0" applyNumberFormat="1" applyFont="1"/>
    <xf numFmtId="10" fontId="4" fillId="0" borderId="0" xfId="0" applyNumberFormat="1" applyFont="1"/>
    <xf numFmtId="164" fontId="4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5" xfId="0" applyBorder="1" applyAlignment="1">
      <alignment horizontal="right"/>
    </xf>
    <xf numFmtId="1" fontId="8" fillId="0" borderId="0" xfId="0" applyNumberFormat="1" applyFont="1"/>
    <xf numFmtId="0" fontId="8" fillId="0" borderId="0" xfId="0" applyFont="1" applyAlignment="1">
      <alignment horizontal="right"/>
    </xf>
    <xf numFmtId="165" fontId="8" fillId="0" borderId="0" xfId="0" applyNumberFormat="1" applyFont="1"/>
    <xf numFmtId="0" fontId="4" fillId="3" borderId="0" xfId="0" applyFont="1" applyFill="1"/>
    <xf numFmtId="0" fontId="10" fillId="0" borderId="0" xfId="0" applyFont="1"/>
    <xf numFmtId="0" fontId="3" fillId="4" borderId="0" xfId="2" applyFill="1"/>
    <xf numFmtId="0" fontId="3" fillId="0" borderId="6" xfId="2" applyBorder="1"/>
    <xf numFmtId="0" fontId="3" fillId="0" borderId="0" xfId="2"/>
    <xf numFmtId="0" fontId="3" fillId="0" borderId="5" xfId="2" applyBorder="1"/>
    <xf numFmtId="0" fontId="3" fillId="4" borderId="0" xfId="2" applyFill="1" applyAlignment="1">
      <alignment horizontal="center" wrapText="1"/>
    </xf>
    <xf numFmtId="0" fontId="3" fillId="0" borderId="12" xfId="2" applyBorder="1" applyAlignment="1">
      <alignment horizontal="center" wrapText="1"/>
    </xf>
    <xf numFmtId="0" fontId="12" fillId="0" borderId="12" xfId="2" applyFont="1" applyBorder="1" applyAlignment="1">
      <alignment horizontal="center"/>
    </xf>
    <xf numFmtId="0" fontId="3" fillId="0" borderId="12" xfId="2" applyBorder="1" applyAlignment="1">
      <alignment horizontal="center" vertical="center"/>
    </xf>
    <xf numFmtId="0" fontId="3" fillId="0" borderId="12" xfId="2" applyBorder="1" applyAlignment="1">
      <alignment horizontal="center" vertical="center" wrapText="1"/>
    </xf>
    <xf numFmtId="0" fontId="7" fillId="0" borderId="0" xfId="0" applyFont="1" applyAlignment="1">
      <alignment horizontal="right"/>
    </xf>
    <xf numFmtId="10" fontId="7" fillId="0" borderId="0" xfId="0" applyNumberFormat="1" applyFont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wrapText="1"/>
    </xf>
    <xf numFmtId="0" fontId="6" fillId="0" borderId="0" xfId="0" applyFont="1" applyAlignment="1">
      <alignment horizontal="right"/>
    </xf>
    <xf numFmtId="1" fontId="13" fillId="0" borderId="12" xfId="2" applyNumberFormat="1" applyFont="1" applyBorder="1" applyAlignment="1">
      <alignment horizontal="right"/>
    </xf>
    <xf numFmtId="1" fontId="13" fillId="0" borderId="12" xfId="2" applyNumberFormat="1" applyFont="1" applyBorder="1"/>
    <xf numFmtId="0" fontId="14" fillId="0" borderId="12" xfId="2" applyFont="1" applyBorder="1"/>
    <xf numFmtId="1" fontId="15" fillId="5" borderId="12" xfId="3" applyNumberFormat="1" applyFont="1" applyBorder="1" applyProtection="1">
      <protection locked="0"/>
    </xf>
    <xf numFmtId="0" fontId="13" fillId="0" borderId="12" xfId="2" applyFont="1" applyBorder="1"/>
    <xf numFmtId="0" fontId="13" fillId="0" borderId="5" xfId="2" applyFont="1" applyBorder="1"/>
    <xf numFmtId="1" fontId="13" fillId="0" borderId="0" xfId="2" applyNumberFormat="1" applyFont="1"/>
    <xf numFmtId="165" fontId="13" fillId="0" borderId="10" xfId="2" applyNumberFormat="1" applyFont="1" applyBorder="1"/>
    <xf numFmtId="0" fontId="14" fillId="0" borderId="11" xfId="2" applyFont="1" applyBorder="1"/>
    <xf numFmtId="0" fontId="13" fillId="0" borderId="0" xfId="2" applyFont="1"/>
    <xf numFmtId="1" fontId="4" fillId="0" borderId="0" xfId="0" applyNumberFormat="1" applyFont="1"/>
    <xf numFmtId="0" fontId="2" fillId="6" borderId="3" xfId="4" applyBorder="1"/>
    <xf numFmtId="1" fontId="2" fillId="6" borderId="13" xfId="4" applyNumberFormat="1" applyBorder="1"/>
    <xf numFmtId="1" fontId="2" fillId="6" borderId="14" xfId="4" applyNumberFormat="1" applyBorder="1"/>
    <xf numFmtId="1" fontId="2" fillId="6" borderId="15" xfId="4" applyNumberFormat="1" applyBorder="1"/>
    <xf numFmtId="0" fontId="2" fillId="6" borderId="0" xfId="4"/>
    <xf numFmtId="0" fontId="1" fillId="4" borderId="0" xfId="2" applyFont="1" applyFill="1"/>
    <xf numFmtId="14" fontId="0" fillId="0" borderId="0" xfId="0" applyNumberFormat="1"/>
    <xf numFmtId="0" fontId="4" fillId="0" borderId="0" xfId="0" applyFont="1" applyAlignment="1">
      <alignment vertical="center" wrapText="1"/>
    </xf>
    <xf numFmtId="0" fontId="3" fillId="0" borderId="12" xfId="2" applyBorder="1" applyAlignment="1">
      <alignment horizontal="center"/>
    </xf>
    <xf numFmtId="0" fontId="3" fillId="0" borderId="12" xfId="2" applyBorder="1" applyAlignment="1">
      <alignment wrapText="1"/>
    </xf>
    <xf numFmtId="0" fontId="0" fillId="0" borderId="0" xfId="0" applyAlignment="1">
      <alignment vertical="center" wrapText="1"/>
    </xf>
  </cellXfs>
  <cellStyles count="5">
    <cellStyle name="20% - Accent2" xfId="4" builtinId="34"/>
    <cellStyle name="Good" xfId="1" xr:uid="{00000000-0005-0000-0000-000006000000}"/>
    <cellStyle name="Good 2" xfId="3" xr:uid="{A78CDBF5-39EA-4A85-A0AF-F1A5EAE4C64C}"/>
    <cellStyle name="Normal" xfId="0" builtinId="0"/>
    <cellStyle name="Normal 2" xfId="2" xr:uid="{6F2B5B9B-B1BC-48CE-9543-1D98D80B63EB}"/>
  </cellStyles>
  <dxfs count="4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APC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'Clause 6.15'!$C$5:$C$13</c:f>
              <c:numCache>
                <c:formatCode>General</c:formatCode>
                <c:ptCount val="9"/>
                <c:pt idx="0">
                  <c:v>4</c:v>
                </c:pt>
                <c:pt idx="1">
                  <c:v>6</c:v>
                </c:pt>
                <c:pt idx="2">
                  <c:v>10</c:v>
                </c:pt>
                <c:pt idx="3">
                  <c:v>14</c:v>
                </c:pt>
                <c:pt idx="4">
                  <c:v>21</c:v>
                </c:pt>
                <c:pt idx="5">
                  <c:v>25</c:v>
                </c:pt>
                <c:pt idx="6">
                  <c:v>38</c:v>
                </c:pt>
                <c:pt idx="7">
                  <c:v>50</c:v>
                </c:pt>
                <c:pt idx="8">
                  <c:v>70</c:v>
                </c:pt>
              </c:numCache>
            </c:numRef>
          </c:xVal>
          <c:yVal>
            <c:numRef>
              <c:f>'Clause 6.15'!$D$5:$D$13</c:f>
              <c:numCache>
                <c:formatCode>0</c:formatCode>
                <c:ptCount val="9"/>
                <c:pt idx="0">
                  <c:v>84</c:v>
                </c:pt>
                <c:pt idx="1">
                  <c:v>192</c:v>
                </c:pt>
                <c:pt idx="2">
                  <c:v>585.2695363281814</c:v>
                </c:pt>
                <c:pt idx="3">
                  <c:v>1104</c:v>
                </c:pt>
                <c:pt idx="4">
                  <c:v>2284</c:v>
                </c:pt>
                <c:pt idx="5">
                  <c:v>3280.0000000000014</c:v>
                </c:pt>
                <c:pt idx="6">
                  <c:v>10036.000000000004</c:v>
                </c:pt>
                <c:pt idx="7">
                  <c:v>15600</c:v>
                </c:pt>
                <c:pt idx="8">
                  <c:v>25200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F0-4C88-93FE-4B126D3D0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606608"/>
        <c:axId val="422602296"/>
      </c:scatterChart>
      <c:valAx>
        <c:axId val="42260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Particle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Size, µm(c) 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2296"/>
        <c:crosses val="autoZero"/>
        <c:crossBetween val="midCat"/>
      </c:valAx>
      <c:valAx>
        <c:axId val="422602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Threshold Voltage Setting, mV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28574</xdr:rowOff>
    </xdr:from>
    <xdr:to>
      <xdr:col>3</xdr:col>
      <xdr:colOff>1673225</xdr:colOff>
      <xdr:row>79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0F3BDE-9493-43E1-92E1-9CCF9BF92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87FD1-41DA-4B5A-90E7-6342DDCEFE3C}">
  <dimension ref="A1:D9"/>
  <sheetViews>
    <sheetView tabSelected="1" workbookViewId="0">
      <selection activeCell="D8" sqref="D8"/>
    </sheetView>
  </sheetViews>
  <sheetFormatPr defaultRowHeight="12.75" x14ac:dyDescent="0.35"/>
  <cols>
    <col min="4" max="4" width="14" customWidth="1"/>
  </cols>
  <sheetData>
    <row r="1" spans="1:4" ht="13.15" x14ac:dyDescent="0.4">
      <c r="A1" s="2" t="s">
        <v>15</v>
      </c>
      <c r="D1" s="16" t="s">
        <v>72</v>
      </c>
    </row>
    <row r="2" spans="1:4" x14ac:dyDescent="0.35">
      <c r="A2" t="s">
        <v>0</v>
      </c>
      <c r="D2" s="16" t="s">
        <v>12</v>
      </c>
    </row>
    <row r="3" spans="1:4" x14ac:dyDescent="0.35">
      <c r="A3" t="s">
        <v>1</v>
      </c>
      <c r="D3">
        <v>1117100008</v>
      </c>
    </row>
    <row r="4" spans="1:4" x14ac:dyDescent="0.35">
      <c r="A4" t="s">
        <v>3</v>
      </c>
      <c r="D4" s="16" t="s">
        <v>12</v>
      </c>
    </row>
    <row r="5" spans="1:4" x14ac:dyDescent="0.35">
      <c r="A5" t="s">
        <v>4</v>
      </c>
      <c r="D5" s="16"/>
    </row>
    <row r="6" spans="1:4" ht="13.15" x14ac:dyDescent="0.4">
      <c r="A6" t="s">
        <v>5</v>
      </c>
      <c r="D6" s="43">
        <v>46001</v>
      </c>
    </row>
    <row r="7" spans="1:4" x14ac:dyDescent="0.35">
      <c r="A7" t="s">
        <v>6</v>
      </c>
      <c r="D7" s="14" t="s">
        <v>7</v>
      </c>
    </row>
    <row r="8" spans="1:4" ht="13.15" x14ac:dyDescent="0.4">
      <c r="A8" t="s">
        <v>8</v>
      </c>
      <c r="D8" s="15">
        <v>38</v>
      </c>
    </row>
    <row r="9" spans="1:4" x14ac:dyDescent="0.35">
      <c r="A9" t="s">
        <v>73</v>
      </c>
      <c r="D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39"/>
  <sheetViews>
    <sheetView zoomScaleNormal="100" workbookViewId="0">
      <selection activeCell="G38" sqref="G38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x14ac:dyDescent="0.35">
      <c r="A1" s="4" t="s">
        <v>36</v>
      </c>
      <c r="B1" s="4"/>
      <c r="C1" s="4"/>
      <c r="D1" s="4"/>
    </row>
    <row r="2" spans="1:17" ht="13.15" x14ac:dyDescent="0.4">
      <c r="A2" s="4"/>
      <c r="B2" s="4"/>
      <c r="C2" s="4"/>
      <c r="D2" s="4"/>
      <c r="H2" s="2"/>
    </row>
    <row r="3" spans="1:17" ht="13.15" x14ac:dyDescent="0.4">
      <c r="A3" s="28">
        <v>49.4</v>
      </c>
      <c r="B3" s="29" t="s">
        <v>37</v>
      </c>
      <c r="C3" s="29" t="s">
        <v>38</v>
      </c>
      <c r="D3" s="30"/>
      <c r="F3" s="31">
        <v>39</v>
      </c>
      <c r="G3" s="29" t="s">
        <v>37</v>
      </c>
      <c r="H3" s="29" t="s">
        <v>38</v>
      </c>
      <c r="I3" s="7"/>
      <c r="J3" s="22"/>
      <c r="M3" s="28">
        <v>69.7</v>
      </c>
      <c r="N3" s="29" t="s">
        <v>37</v>
      </c>
      <c r="O3" s="29" t="s">
        <v>38</v>
      </c>
      <c r="P3" s="7"/>
      <c r="Q3" s="22"/>
    </row>
    <row r="4" spans="1:17" x14ac:dyDescent="0.35">
      <c r="A4" s="32">
        <f>(4/3)*(3.1415936)*((A3*0.000001/2)^3)</f>
        <v>6.3121832711697054E-14</v>
      </c>
      <c r="B4" s="4" t="s">
        <v>39</v>
      </c>
      <c r="C4" s="4" t="s">
        <v>40</v>
      </c>
      <c r="D4" s="33"/>
      <c r="F4" s="32">
        <f>(4/3)*(3.1415936)*((F3*0.000001/2)^3)</f>
        <v>3.1059365126399994E-14</v>
      </c>
      <c r="G4" s="4" t="s">
        <v>39</v>
      </c>
      <c r="H4" s="4" t="s">
        <v>40</v>
      </c>
      <c r="J4" s="11"/>
      <c r="M4" s="32">
        <f>(4/3)*(3.1415936)*((M3*0.000001/2)^3)</f>
        <v>1.7729524472000214E-13</v>
      </c>
      <c r="N4" s="4" t="s">
        <v>39</v>
      </c>
      <c r="O4" s="4" t="s">
        <v>40</v>
      </c>
      <c r="Q4" s="11"/>
    </row>
    <row r="5" spans="1:17" x14ac:dyDescent="0.35">
      <c r="A5" s="32">
        <f>A4*1.05*1000</f>
        <v>6.6277924347281912E-11</v>
      </c>
      <c r="B5" s="4" t="s">
        <v>41</v>
      </c>
      <c r="C5" s="4" t="s">
        <v>42</v>
      </c>
      <c r="D5" s="33"/>
      <c r="F5" s="32">
        <f>F4*1.05*1000</f>
        <v>3.2612333382719997E-11</v>
      </c>
      <c r="G5" s="4" t="s">
        <v>41</v>
      </c>
      <c r="H5" s="4" t="s">
        <v>42</v>
      </c>
      <c r="J5" s="11"/>
      <c r="M5" s="32">
        <f>M4*1.05*1000</f>
        <v>1.8616000695600225E-10</v>
      </c>
      <c r="N5" s="4" t="s">
        <v>41</v>
      </c>
      <c r="O5" s="4" t="s">
        <v>42</v>
      </c>
      <c r="Q5" s="11"/>
    </row>
    <row r="6" spans="1:17" x14ac:dyDescent="0.35">
      <c r="A6" s="32">
        <f>0.000001/A5</f>
        <v>15087.980045364991</v>
      </c>
      <c r="B6" s="4" t="s">
        <v>43</v>
      </c>
      <c r="C6" s="4" t="s">
        <v>44</v>
      </c>
      <c r="D6" s="33"/>
      <c r="F6" s="32">
        <f>0.000001/F5</f>
        <v>30663.245964787693</v>
      </c>
      <c r="G6" s="4" t="s">
        <v>43</v>
      </c>
      <c r="H6" s="4" t="s">
        <v>44</v>
      </c>
      <c r="J6" s="11"/>
      <c r="M6" s="32">
        <f>0.000001/M5</f>
        <v>5371.7230480999269</v>
      </c>
      <c r="N6" s="4" t="s">
        <v>43</v>
      </c>
      <c r="O6" s="4" t="s">
        <v>44</v>
      </c>
      <c r="Q6" s="11"/>
    </row>
    <row r="7" spans="1:17" ht="13.15" x14ac:dyDescent="0.4">
      <c r="A7" s="34">
        <v>5000</v>
      </c>
      <c r="B7" s="4"/>
      <c r="C7" s="4" t="s">
        <v>45</v>
      </c>
      <c r="D7" s="33"/>
      <c r="F7" s="34">
        <v>3000</v>
      </c>
      <c r="G7" s="4"/>
      <c r="H7" s="4" t="s">
        <v>45</v>
      </c>
      <c r="J7" s="11"/>
      <c r="M7" s="34">
        <v>2000</v>
      </c>
      <c r="N7" s="4"/>
      <c r="O7" s="4" t="s">
        <v>45</v>
      </c>
      <c r="Q7" s="11"/>
    </row>
    <row r="8" spans="1:17" x14ac:dyDescent="0.35">
      <c r="A8" s="35">
        <f>A7/A6*1000</f>
        <v>331.38962173640959</v>
      </c>
      <c r="B8" s="4" t="s">
        <v>14</v>
      </c>
      <c r="C8" s="4" t="s">
        <v>46</v>
      </c>
      <c r="D8" s="33"/>
      <c r="F8" s="35">
        <f>F7/F6*1000</f>
        <v>97.837000148159987</v>
      </c>
      <c r="G8" s="4" t="s">
        <v>14</v>
      </c>
      <c r="H8" s="4" t="s">
        <v>46</v>
      </c>
      <c r="J8" s="11"/>
      <c r="M8" s="35">
        <f>M7/M6*1000</f>
        <v>372.32001391200447</v>
      </c>
      <c r="N8" s="4" t="s">
        <v>14</v>
      </c>
      <c r="O8" s="4" t="s">
        <v>46</v>
      </c>
      <c r="Q8" s="11"/>
    </row>
    <row r="9" spans="1:17" ht="13.15" x14ac:dyDescent="0.4">
      <c r="A9" s="34">
        <v>0.20280000000000001</v>
      </c>
      <c r="B9" s="4" t="s">
        <v>47</v>
      </c>
      <c r="C9" s="4" t="s">
        <v>48</v>
      </c>
      <c r="D9" s="33"/>
      <c r="F9" s="34">
        <v>0.2</v>
      </c>
      <c r="G9" s="4" t="s">
        <v>47</v>
      </c>
      <c r="H9" s="4" t="s">
        <v>48</v>
      </c>
      <c r="J9" s="11"/>
      <c r="M9" s="34">
        <v>0.2</v>
      </c>
      <c r="N9" s="4" t="s">
        <v>47</v>
      </c>
      <c r="O9" s="4" t="s">
        <v>48</v>
      </c>
      <c r="Q9" s="11"/>
    </row>
    <row r="10" spans="1:17" x14ac:dyDescent="0.35">
      <c r="A10" s="35">
        <f>A9*A8</f>
        <v>67.205815288143867</v>
      </c>
      <c r="B10" s="4" t="s">
        <v>13</v>
      </c>
      <c r="C10" s="4" t="s">
        <v>49</v>
      </c>
      <c r="D10" s="33"/>
      <c r="F10" s="35">
        <f>F9*F8</f>
        <v>19.567400029631997</v>
      </c>
      <c r="G10" s="4" t="s">
        <v>13</v>
      </c>
      <c r="H10" s="4" t="s">
        <v>49</v>
      </c>
      <c r="J10" s="11"/>
      <c r="M10" s="35">
        <f>M9*M8</f>
        <v>74.464002782400897</v>
      </c>
      <c r="N10" s="4" t="s">
        <v>13</v>
      </c>
      <c r="O10" s="4" t="s">
        <v>49</v>
      </c>
      <c r="Q10" s="11"/>
    </row>
    <row r="11" spans="1:17" ht="13.15" x14ac:dyDescent="0.4">
      <c r="A11" s="34">
        <v>67.2</v>
      </c>
      <c r="B11" s="4" t="s">
        <v>13</v>
      </c>
      <c r="C11" s="4" t="s">
        <v>50</v>
      </c>
      <c r="D11" s="33"/>
      <c r="F11" s="34">
        <v>20.8</v>
      </c>
      <c r="G11" s="4" t="s">
        <v>13</v>
      </c>
      <c r="H11" s="4" t="s">
        <v>50</v>
      </c>
      <c r="J11" s="11"/>
      <c r="M11" s="34">
        <v>77.569999999999993</v>
      </c>
      <c r="N11" s="4" t="s">
        <v>13</v>
      </c>
      <c r="O11" s="4" t="s">
        <v>50</v>
      </c>
      <c r="Q11" s="11"/>
    </row>
    <row r="12" spans="1:17" ht="13.15" x14ac:dyDescent="0.4">
      <c r="A12" s="36">
        <f>A11/A10*A7</f>
        <v>4999.5673523102923</v>
      </c>
      <c r="B12" s="4" t="s">
        <v>51</v>
      </c>
      <c r="C12" s="4" t="s">
        <v>52</v>
      </c>
      <c r="D12" s="33"/>
      <c r="F12" s="36">
        <f>F11/F10*F7</f>
        <v>3188.9775803379202</v>
      </c>
      <c r="G12" s="4" t="s">
        <v>51</v>
      </c>
      <c r="H12" s="4" t="s">
        <v>52</v>
      </c>
      <c r="J12" s="11"/>
      <c r="M12" s="36">
        <f>M11/M10*M7</f>
        <v>2083.4227842055566</v>
      </c>
      <c r="N12" s="4" t="s">
        <v>51</v>
      </c>
      <c r="O12" s="4" t="s">
        <v>52</v>
      </c>
      <c r="Q12" s="11"/>
    </row>
    <row r="13" spans="1:17" x14ac:dyDescent="0.35">
      <c r="A13" s="37">
        <f>A11*A6</f>
        <v>1013912.2590485275</v>
      </c>
      <c r="C13" t="s">
        <v>53</v>
      </c>
      <c r="D13" s="11"/>
      <c r="F13" s="37">
        <f>F11*F6</f>
        <v>637795.51606758405</v>
      </c>
      <c r="H13" t="s">
        <v>53</v>
      </c>
      <c r="J13" s="11"/>
      <c r="M13" s="37">
        <f>M11*M6</f>
        <v>416684.55684111128</v>
      </c>
      <c r="O13" t="s">
        <v>53</v>
      </c>
      <c r="Q13" s="11"/>
    </row>
    <row r="14" spans="1:17" x14ac:dyDescent="0.35">
      <c r="A14" s="37">
        <f>A12/A7*A9*1000</f>
        <v>202.78245180970546</v>
      </c>
      <c r="B14" t="s">
        <v>11</v>
      </c>
      <c r="C14" t="s">
        <v>54</v>
      </c>
      <c r="D14" s="11"/>
      <c r="F14" s="37">
        <f>F12/F7*F9*1000</f>
        <v>212.59850535586136</v>
      </c>
      <c r="G14" t="s">
        <v>11</v>
      </c>
      <c r="H14" t="s">
        <v>54</v>
      </c>
      <c r="J14" s="11"/>
      <c r="M14" s="37">
        <f>M12/M7*M9*1000</f>
        <v>208.34227842055566</v>
      </c>
      <c r="N14" t="s">
        <v>11</v>
      </c>
      <c r="O14" t="s">
        <v>54</v>
      </c>
      <c r="Q14" s="11"/>
    </row>
    <row r="15" spans="1:17" x14ac:dyDescent="0.35">
      <c r="A15" s="37">
        <f>A14-A9*1000</f>
        <v>-1.7548190294547794E-2</v>
      </c>
      <c r="B15" t="s">
        <v>11</v>
      </c>
      <c r="C15" t="s">
        <v>55</v>
      </c>
      <c r="D15" s="11"/>
      <c r="F15" s="37">
        <f>F14-F9*1000</f>
        <v>12.598505355861363</v>
      </c>
      <c r="G15" t="s">
        <v>11</v>
      </c>
      <c r="H15" t="s">
        <v>55</v>
      </c>
      <c r="J15" s="11"/>
      <c r="M15" s="37">
        <f>M14-M9*1000</f>
        <v>8.3422784205556582</v>
      </c>
      <c r="N15" t="s">
        <v>11</v>
      </c>
      <c r="O15" t="s">
        <v>55</v>
      </c>
      <c r="Q15" s="11"/>
    </row>
    <row r="16" spans="1:17" x14ac:dyDescent="0.35">
      <c r="A16" s="8">
        <f>A13/(A14)</f>
        <v>5000.0000000000009</v>
      </c>
      <c r="B16" t="str">
        <f>"/ml"</f>
        <v>/ml</v>
      </c>
      <c r="C16" t="s">
        <v>85</v>
      </c>
      <c r="D16" s="11"/>
      <c r="F16" s="8">
        <f>F13/(F14)</f>
        <v>3000</v>
      </c>
      <c r="H16" t="s">
        <v>85</v>
      </c>
      <c r="J16" s="11"/>
      <c r="M16" s="8">
        <f>M13/(M14)</f>
        <v>1999.9999999999998</v>
      </c>
      <c r="N16" t="str">
        <f>"/ml"</f>
        <v>/ml</v>
      </c>
      <c r="O16" t="s">
        <v>85</v>
      </c>
      <c r="Q16" s="11"/>
    </row>
    <row r="17" spans="1:17" x14ac:dyDescent="0.35">
      <c r="A17" s="8"/>
      <c r="D17" s="11"/>
      <c r="F17" s="8"/>
      <c r="J17" s="11"/>
      <c r="M17" s="8"/>
      <c r="Q17" s="11"/>
    </row>
    <row r="18" spans="1:17" x14ac:dyDescent="0.35">
      <c r="A18" s="8" t="s">
        <v>31</v>
      </c>
      <c r="D18" s="11"/>
      <c r="F18" s="8" t="s">
        <v>31</v>
      </c>
      <c r="J18" s="11"/>
      <c r="M18" s="8" t="s">
        <v>31</v>
      </c>
      <c r="Q18" s="11"/>
    </row>
    <row r="19" spans="1:17" x14ac:dyDescent="0.35">
      <c r="A19" s="8">
        <v>100</v>
      </c>
      <c r="B19" t="s">
        <v>11</v>
      </c>
      <c r="C19" t="s">
        <v>56</v>
      </c>
      <c r="D19" s="11"/>
      <c r="F19" s="8">
        <v>100</v>
      </c>
      <c r="G19" t="s">
        <v>11</v>
      </c>
      <c r="H19" t="s">
        <v>56</v>
      </c>
      <c r="J19" s="11"/>
      <c r="M19" s="8">
        <v>100</v>
      </c>
      <c r="N19" t="s">
        <v>11</v>
      </c>
      <c r="O19" t="s">
        <v>56</v>
      </c>
      <c r="Q19" s="11"/>
    </row>
    <row r="20" spans="1:17" x14ac:dyDescent="0.35">
      <c r="A20" s="8">
        <v>300</v>
      </c>
      <c r="B20" t="s">
        <v>9</v>
      </c>
      <c r="C20" t="s">
        <v>57</v>
      </c>
      <c r="D20" s="11"/>
      <c r="F20" s="8">
        <v>300</v>
      </c>
      <c r="G20" t="s">
        <v>9</v>
      </c>
      <c r="H20" t="s">
        <v>58</v>
      </c>
      <c r="J20" s="11"/>
      <c r="M20" s="8">
        <v>300</v>
      </c>
      <c r="N20" t="s">
        <v>9</v>
      </c>
      <c r="O20" t="s">
        <v>58</v>
      </c>
      <c r="Q20" s="11"/>
    </row>
    <row r="21" spans="1:17" x14ac:dyDescent="0.35">
      <c r="A21" s="8">
        <f>A19*A20</f>
        <v>30000</v>
      </c>
      <c r="B21" t="s">
        <v>59</v>
      </c>
      <c r="C21" t="s">
        <v>60</v>
      </c>
      <c r="D21" s="11"/>
      <c r="F21" s="8">
        <f>F19*F20</f>
        <v>30000</v>
      </c>
      <c r="G21" t="s">
        <v>59</v>
      </c>
      <c r="H21" t="s">
        <v>60</v>
      </c>
      <c r="J21" s="11"/>
      <c r="M21" s="8">
        <f>M19*M20</f>
        <v>30000</v>
      </c>
      <c r="N21" t="s">
        <v>59</v>
      </c>
      <c r="O21" t="s">
        <v>60</v>
      </c>
      <c r="Q21" s="11"/>
    </row>
    <row r="22" spans="1:17" x14ac:dyDescent="0.35">
      <c r="A22" s="37">
        <f>A21/A12</f>
        <v>6.0005192221557024</v>
      </c>
      <c r="B22" t="s">
        <v>11</v>
      </c>
      <c r="C22" t="s">
        <v>61</v>
      </c>
      <c r="D22" s="11"/>
      <c r="F22" s="37">
        <f>F21/F12</f>
        <v>9.4074038603999988</v>
      </c>
      <c r="G22" t="s">
        <v>11</v>
      </c>
      <c r="H22" t="s">
        <v>61</v>
      </c>
      <c r="J22" s="11"/>
      <c r="M22" s="37">
        <f>M21/M12</f>
        <v>14.399381742116972</v>
      </c>
      <c r="N22" t="s">
        <v>11</v>
      </c>
      <c r="O22" t="s">
        <v>61</v>
      </c>
      <c r="Q22" s="11"/>
    </row>
    <row r="23" spans="1:17" x14ac:dyDescent="0.35">
      <c r="A23" s="37">
        <f>A19-A22</f>
        <v>93.999480777844298</v>
      </c>
      <c r="B23" t="s">
        <v>11</v>
      </c>
      <c r="C23" t="s">
        <v>62</v>
      </c>
      <c r="D23" s="11"/>
      <c r="F23" s="37">
        <f>F19-F22</f>
        <v>90.592596139600005</v>
      </c>
      <c r="G23" t="s">
        <v>11</v>
      </c>
      <c r="H23" t="s">
        <v>62</v>
      </c>
      <c r="J23" s="11"/>
      <c r="M23" s="37">
        <f>M19-M22</f>
        <v>85.600618257883028</v>
      </c>
      <c r="N23" t="s">
        <v>11</v>
      </c>
      <c r="O23" t="s">
        <v>62</v>
      </c>
      <c r="Q23" s="11"/>
    </row>
    <row r="24" spans="1:17" x14ac:dyDescent="0.35">
      <c r="A24" s="8"/>
      <c r="D24" s="11"/>
      <c r="F24" s="8"/>
      <c r="J24" s="11"/>
      <c r="M24" s="8"/>
      <c r="Q24" s="11"/>
    </row>
    <row r="25" spans="1:17" x14ac:dyDescent="0.35">
      <c r="A25" s="12"/>
      <c r="B25" s="13"/>
      <c r="C25" s="13"/>
      <c r="D25" s="26"/>
      <c r="F25" s="12"/>
      <c r="G25" s="13"/>
      <c r="H25" s="13"/>
      <c r="I25" s="13"/>
      <c r="J25" s="26"/>
      <c r="M25" s="12"/>
      <c r="N25" s="13"/>
      <c r="O25" s="13"/>
      <c r="P25" s="13"/>
      <c r="Q25" s="26"/>
    </row>
    <row r="28" spans="1:17" ht="13.15" x14ac:dyDescent="0.4">
      <c r="A28" s="2" t="s">
        <v>63</v>
      </c>
    </row>
    <row r="30" spans="1:17" x14ac:dyDescent="0.35">
      <c r="F30" s="5"/>
    </row>
    <row r="31" spans="1:17" ht="13.15" x14ac:dyDescent="0.4">
      <c r="A31" t="s">
        <v>64</v>
      </c>
      <c r="C31" s="2">
        <f>A3</f>
        <v>49.4</v>
      </c>
      <c r="D31" t="s">
        <v>65</v>
      </c>
      <c r="G31" s="2">
        <f>F3</f>
        <v>39</v>
      </c>
      <c r="H31" t="s">
        <v>65</v>
      </c>
      <c r="N31" s="2">
        <v>70</v>
      </c>
    </row>
    <row r="33" spans="1:15" ht="13.5" x14ac:dyDescent="0.35">
      <c r="A33" t="s">
        <v>66</v>
      </c>
      <c r="B33" s="38">
        <f>0.56*C33</f>
        <v>8736</v>
      </c>
      <c r="C33" s="76">
        <v>15600</v>
      </c>
      <c r="D33" s="39">
        <f>1.56*C33</f>
        <v>24336</v>
      </c>
      <c r="F33" s="38">
        <f>0.56*G33</f>
        <v>6938.4000000000005</v>
      </c>
      <c r="G33" s="76">
        <v>12390</v>
      </c>
      <c r="H33" s="39">
        <f>1.56*G33</f>
        <v>19328.400000000001</v>
      </c>
      <c r="M33" s="38">
        <f>0.56*N33</f>
        <v>14000.000000000002</v>
      </c>
      <c r="N33" s="76">
        <v>25000</v>
      </c>
      <c r="O33" s="39">
        <f>1.56*N33</f>
        <v>39000</v>
      </c>
    </row>
    <row r="34" spans="1:15" x14ac:dyDescent="0.35">
      <c r="B34" s="12"/>
      <c r="C34" s="13"/>
      <c r="D34" s="26"/>
      <c r="F34" s="12"/>
      <c r="G34" s="13"/>
      <c r="H34" s="26"/>
      <c r="M34" s="12"/>
      <c r="N34" s="13"/>
      <c r="O34" s="26"/>
    </row>
    <row r="35" spans="1:15" ht="13.5" x14ac:dyDescent="0.35">
      <c r="A35" t="s">
        <v>67</v>
      </c>
      <c r="B35" s="80"/>
      <c r="C35" s="80"/>
      <c r="D35" s="40"/>
      <c r="F35" s="80">
        <v>10291</v>
      </c>
      <c r="G35" s="80">
        <v>10391</v>
      </c>
      <c r="H35" s="40"/>
      <c r="M35" s="80"/>
      <c r="N35" s="80"/>
      <c r="O35" s="40"/>
    </row>
    <row r="37" spans="1:15" ht="13.15" x14ac:dyDescent="0.4">
      <c r="A37" t="s">
        <v>68</v>
      </c>
      <c r="B37" s="41" t="e">
        <f>(1-B35/C35)</f>
        <v>#DIV/0!</v>
      </c>
      <c r="F37" s="41">
        <f>(1-F35/G35)</f>
        <v>9.6237128284092366E-3</v>
      </c>
      <c r="G37" s="82">
        <v>46000</v>
      </c>
      <c r="M37" s="41" t="e">
        <f>(1-M35/N35)</f>
        <v>#DIV/0!</v>
      </c>
    </row>
    <row r="38" spans="1:15" x14ac:dyDescent="0.35">
      <c r="G38">
        <v>1117100008</v>
      </c>
    </row>
    <row r="39" spans="1:15" x14ac:dyDescent="0.35">
      <c r="A39" t="s">
        <v>86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D50"/>
  <sheetViews>
    <sheetView zoomScale="115" zoomScaleNormal="115" workbookViewId="0">
      <selection activeCell="E15" sqref="E15"/>
    </sheetView>
  </sheetViews>
  <sheetFormatPr defaultColWidth="11.53125" defaultRowHeight="12.75" x14ac:dyDescent="0.35"/>
  <cols>
    <col min="1" max="1" width="27.6640625" customWidth="1"/>
  </cols>
  <sheetData>
    <row r="1" spans="1:6" ht="37.25" customHeight="1" x14ac:dyDescent="0.35">
      <c r="A1" s="83" t="s">
        <v>84</v>
      </c>
      <c r="B1" s="83"/>
      <c r="C1" s="83"/>
      <c r="D1" s="83"/>
      <c r="E1" s="83"/>
    </row>
    <row r="2" spans="1:6" ht="51" x14ac:dyDescent="0.35">
      <c r="A2" s="62" t="s">
        <v>28</v>
      </c>
      <c r="B2" s="63" t="s">
        <v>29</v>
      </c>
      <c r="C2" s="63" t="s">
        <v>30</v>
      </c>
      <c r="D2" s="16"/>
      <c r="E2" s="16" t="s">
        <v>16</v>
      </c>
      <c r="F2" s="16" t="s">
        <v>31</v>
      </c>
    </row>
    <row r="3" spans="1:6" ht="26.25" x14ac:dyDescent="0.45">
      <c r="A3" s="64" t="s">
        <v>34</v>
      </c>
      <c r="B3" s="63" t="s">
        <v>32</v>
      </c>
      <c r="C3" s="63" t="s">
        <v>33</v>
      </c>
      <c r="D3" s="16"/>
      <c r="E3" s="60" t="s">
        <v>35</v>
      </c>
      <c r="F3" s="61">
        <v>1</v>
      </c>
    </row>
    <row r="4" spans="1:6" ht="13.5" x14ac:dyDescent="0.35">
      <c r="A4" s="40">
        <v>4</v>
      </c>
      <c r="B4" s="40">
        <f>F4</f>
        <v>10750.3</v>
      </c>
      <c r="C4" s="77">
        <v>85</v>
      </c>
      <c r="E4" s="40">
        <v>10750.3</v>
      </c>
      <c r="F4" s="40">
        <f t="shared" ref="F4:F5" si="0">E4*F$3</f>
        <v>10750.3</v>
      </c>
    </row>
    <row r="5" spans="1:6" ht="13.5" x14ac:dyDescent="0.35">
      <c r="A5" s="40">
        <v>6</v>
      </c>
      <c r="B5" s="40">
        <f t="shared" ref="B5" si="1">F5</f>
        <v>4729.1000000000004</v>
      </c>
      <c r="C5" s="78">
        <v>280</v>
      </c>
      <c r="E5" s="40">
        <v>4729.1000000000004</v>
      </c>
      <c r="F5" s="40">
        <f t="shared" si="0"/>
        <v>4729.1000000000004</v>
      </c>
    </row>
    <row r="6" spans="1:6" ht="13.5" x14ac:dyDescent="0.35">
      <c r="A6" s="40">
        <v>14</v>
      </c>
      <c r="B6" s="40">
        <f>F6</f>
        <v>384.7</v>
      </c>
      <c r="C6" s="78">
        <v>2139</v>
      </c>
      <c r="E6" s="40">
        <v>384.7</v>
      </c>
      <c r="F6" s="40">
        <f>E6*F$3</f>
        <v>384.7</v>
      </c>
    </row>
    <row r="7" spans="1:6" ht="13.5" x14ac:dyDescent="0.35">
      <c r="A7" s="40">
        <v>21</v>
      </c>
      <c r="B7" s="40">
        <f>F7</f>
        <v>114.4</v>
      </c>
      <c r="C7" s="78">
        <v>4152</v>
      </c>
      <c r="E7" s="40">
        <v>114.4</v>
      </c>
      <c r="F7" s="40">
        <f>E7*F$3</f>
        <v>114.4</v>
      </c>
    </row>
    <row r="8" spans="1:6" ht="13.5" x14ac:dyDescent="0.35">
      <c r="A8" s="40">
        <v>25</v>
      </c>
      <c r="B8" s="40">
        <f>F8</f>
        <v>53.8</v>
      </c>
      <c r="C8" s="79">
        <v>5364</v>
      </c>
      <c r="E8" s="40">
        <v>53.8</v>
      </c>
      <c r="F8" s="40">
        <f>E8*F$3</f>
        <v>53.8</v>
      </c>
    </row>
    <row r="20" spans="3:30" x14ac:dyDescent="0.35"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</row>
    <row r="23" spans="3:30" x14ac:dyDescent="0.35">
      <c r="C23" s="27"/>
    </row>
    <row r="24" spans="3:30" x14ac:dyDescent="0.35">
      <c r="C24" s="27"/>
    </row>
    <row r="25" spans="3:30" x14ac:dyDescent="0.35">
      <c r="C25" s="27"/>
    </row>
    <row r="26" spans="3:30" x14ac:dyDescent="0.35">
      <c r="C26" s="27"/>
    </row>
    <row r="27" spans="3:30" x14ac:dyDescent="0.35">
      <c r="C27" s="27"/>
    </row>
    <row r="28" spans="3:30" x14ac:dyDescent="0.35">
      <c r="C28" s="27"/>
    </row>
    <row r="29" spans="3:30" x14ac:dyDescent="0.35">
      <c r="C29" s="27"/>
    </row>
    <row r="30" spans="3:30" x14ac:dyDescent="0.35">
      <c r="C30" s="27"/>
    </row>
    <row r="31" spans="3:30" x14ac:dyDescent="0.35">
      <c r="C31" s="27"/>
    </row>
    <row r="32" spans="3:30" x14ac:dyDescent="0.35">
      <c r="C32" s="27"/>
    </row>
    <row r="33" spans="3:3" x14ac:dyDescent="0.35">
      <c r="C33" s="27"/>
    </row>
    <row r="34" spans="3:3" x14ac:dyDescent="0.35">
      <c r="C34" s="27"/>
    </row>
    <row r="35" spans="3:3" x14ac:dyDescent="0.35">
      <c r="C35" s="27"/>
    </row>
    <row r="36" spans="3:3" x14ac:dyDescent="0.35">
      <c r="C36" s="27"/>
    </row>
    <row r="37" spans="3:3" x14ac:dyDescent="0.35">
      <c r="C37" s="27"/>
    </row>
    <row r="38" spans="3:3" x14ac:dyDescent="0.35">
      <c r="C38" s="27"/>
    </row>
    <row r="39" spans="3:3" x14ac:dyDescent="0.35">
      <c r="C39" s="27"/>
    </row>
    <row r="40" spans="3:3" x14ac:dyDescent="0.35">
      <c r="C40" s="27"/>
    </row>
    <row r="41" spans="3:3" x14ac:dyDescent="0.35">
      <c r="C41" s="27"/>
    </row>
    <row r="42" spans="3:3" x14ac:dyDescent="0.35">
      <c r="C42" s="27"/>
    </row>
    <row r="43" spans="3:3" x14ac:dyDescent="0.35">
      <c r="C43" s="27"/>
    </row>
    <row r="44" spans="3:3" x14ac:dyDescent="0.35">
      <c r="C44" s="27"/>
    </row>
    <row r="45" spans="3:3" x14ac:dyDescent="0.35">
      <c r="C45" s="27"/>
    </row>
    <row r="46" spans="3:3" x14ac:dyDescent="0.35">
      <c r="C46" s="27"/>
    </row>
    <row r="47" spans="3:3" x14ac:dyDescent="0.35">
      <c r="C47" s="27"/>
    </row>
    <row r="48" spans="3:3" x14ac:dyDescent="0.35">
      <c r="C48" s="27"/>
    </row>
    <row r="49" spans="3:3" x14ac:dyDescent="0.35">
      <c r="C49" s="27"/>
    </row>
    <row r="50" spans="3:3" x14ac:dyDescent="0.35">
      <c r="C50" s="27"/>
    </row>
  </sheetData>
  <mergeCells count="1">
    <mergeCell ref="A1:E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2D2AE-BF99-49D7-BBAA-F0055D55A2DE}">
  <sheetPr codeName="Sheet4"/>
  <dimension ref="A1:E43"/>
  <sheetViews>
    <sheetView zoomScale="70" zoomScaleNormal="70" workbookViewId="0">
      <pane ySplit="4" topLeftCell="A5" activePane="bottomLeft" state="frozen"/>
      <selection pane="bottomLeft" activeCell="C39" sqref="C39"/>
    </sheetView>
  </sheetViews>
  <sheetFormatPr defaultColWidth="8.9296875" defaultRowHeight="13.5" x14ac:dyDescent="0.35"/>
  <cols>
    <col min="1" max="1" width="20.53125" style="54" customWidth="1"/>
    <col min="2" max="2" width="20.53125" style="53" customWidth="1"/>
    <col min="3" max="3" width="26.1328125" style="53" customWidth="1"/>
    <col min="4" max="4" width="24.59765625" style="52" customWidth="1"/>
    <col min="5" max="6" width="14.53125" style="51" customWidth="1"/>
    <col min="7" max="16384" width="8.9296875" style="51"/>
  </cols>
  <sheetData>
    <row r="1" spans="1:5" x14ac:dyDescent="0.35">
      <c r="A1" s="84"/>
      <c r="B1" s="84"/>
      <c r="C1" s="84" t="s">
        <v>69</v>
      </c>
      <c r="D1" s="84"/>
    </row>
    <row r="2" spans="1:5" ht="57.7" customHeight="1" x14ac:dyDescent="0.35">
      <c r="A2" s="85"/>
      <c r="B2" s="85"/>
      <c r="C2" s="85"/>
      <c r="D2" s="85"/>
      <c r="E2" s="81"/>
    </row>
    <row r="3" spans="1:5" ht="27" x14ac:dyDescent="0.35">
      <c r="A3" s="58" t="s">
        <v>70</v>
      </c>
      <c r="B3" s="59" t="s">
        <v>71</v>
      </c>
      <c r="C3" s="58" t="s">
        <v>28</v>
      </c>
      <c r="D3" s="56" t="s">
        <v>30</v>
      </c>
      <c r="E3" s="55"/>
    </row>
    <row r="4" spans="1:5" ht="14.25" x14ac:dyDescent="0.45">
      <c r="A4" s="57" t="s">
        <v>34</v>
      </c>
      <c r="B4" s="56" t="s">
        <v>33</v>
      </c>
      <c r="C4" s="57" t="s">
        <v>34</v>
      </c>
      <c r="D4" s="56" t="s">
        <v>33</v>
      </c>
      <c r="E4" s="55"/>
    </row>
    <row r="5" spans="1:5" ht="13.9" x14ac:dyDescent="0.4">
      <c r="A5" s="65">
        <v>4</v>
      </c>
      <c r="B5" s="66">
        <v>84</v>
      </c>
      <c r="C5" s="67">
        <v>4</v>
      </c>
      <c r="D5" s="68">
        <f t="shared" ref="D5:D43" si="0">CubicSpline(C5,$A$5:$A$12,$B$5:$B$12)</f>
        <v>84</v>
      </c>
    </row>
    <row r="6" spans="1:5" ht="13.9" x14ac:dyDescent="0.4">
      <c r="A6" s="65">
        <v>6</v>
      </c>
      <c r="B6" s="66">
        <v>192</v>
      </c>
      <c r="C6" s="67">
        <v>6</v>
      </c>
      <c r="D6" s="68">
        <f t="shared" si="0"/>
        <v>192</v>
      </c>
    </row>
    <row r="7" spans="1:5" ht="13.9" x14ac:dyDescent="0.4">
      <c r="A7" s="65">
        <v>14</v>
      </c>
      <c r="B7" s="66">
        <v>1104</v>
      </c>
      <c r="C7" s="69">
        <v>10</v>
      </c>
      <c r="D7" s="68">
        <f t="shared" si="0"/>
        <v>585.2695363281814</v>
      </c>
    </row>
    <row r="8" spans="1:5" ht="13.9" x14ac:dyDescent="0.4">
      <c r="A8" s="70">
        <v>21</v>
      </c>
      <c r="B8" s="71">
        <v>2284</v>
      </c>
      <c r="C8" s="67">
        <v>14</v>
      </c>
      <c r="D8" s="68">
        <f t="shared" si="0"/>
        <v>1104</v>
      </c>
    </row>
    <row r="9" spans="1:5" ht="13.9" x14ac:dyDescent="0.4">
      <c r="A9" s="70">
        <v>25</v>
      </c>
      <c r="B9" s="71">
        <v>3280</v>
      </c>
      <c r="C9" s="67">
        <v>21</v>
      </c>
      <c r="D9" s="68">
        <f t="shared" si="0"/>
        <v>2284</v>
      </c>
    </row>
    <row r="10" spans="1:5" ht="13.9" x14ac:dyDescent="0.4">
      <c r="A10" s="72">
        <v>38</v>
      </c>
      <c r="B10" s="71">
        <v>10036</v>
      </c>
      <c r="C10" s="67">
        <v>25</v>
      </c>
      <c r="D10" s="68">
        <f t="shared" si="0"/>
        <v>3280.0000000000014</v>
      </c>
    </row>
    <row r="11" spans="1:5" ht="13.9" x14ac:dyDescent="0.4">
      <c r="A11" s="72">
        <v>50</v>
      </c>
      <c r="B11" s="71">
        <v>15600</v>
      </c>
      <c r="C11" s="73">
        <v>38</v>
      </c>
      <c r="D11" s="68">
        <f t="shared" si="0"/>
        <v>10036.000000000004</v>
      </c>
    </row>
    <row r="12" spans="1:5" ht="13.9" x14ac:dyDescent="0.4">
      <c r="A12" s="72">
        <v>70</v>
      </c>
      <c r="B12" s="71">
        <v>25200</v>
      </c>
      <c r="C12" s="73">
        <v>50</v>
      </c>
      <c r="D12" s="68">
        <f t="shared" si="0"/>
        <v>15600</v>
      </c>
    </row>
    <row r="13" spans="1:5" ht="13.9" x14ac:dyDescent="0.4">
      <c r="A13" s="70"/>
      <c r="B13" s="74"/>
      <c r="C13" s="73">
        <v>70</v>
      </c>
      <c r="D13" s="68">
        <f t="shared" si="0"/>
        <v>25200</v>
      </c>
    </row>
    <row r="14" spans="1:5" ht="13.9" x14ac:dyDescent="0.4">
      <c r="A14" s="70"/>
      <c r="B14" s="74"/>
      <c r="C14" s="74">
        <v>4</v>
      </c>
      <c r="D14" s="68">
        <f t="shared" si="0"/>
        <v>84</v>
      </c>
    </row>
    <row r="15" spans="1:5" ht="13.9" x14ac:dyDescent="0.4">
      <c r="C15" s="53">
        <v>5</v>
      </c>
      <c r="D15" s="68">
        <f t="shared" si="0"/>
        <v>130.76785714285714</v>
      </c>
    </row>
    <row r="16" spans="1:5" ht="13.9" x14ac:dyDescent="0.4">
      <c r="C16" s="53">
        <v>6</v>
      </c>
      <c r="D16" s="68">
        <f t="shared" si="0"/>
        <v>192</v>
      </c>
    </row>
    <row r="17" spans="3:4" ht="13.9" x14ac:dyDescent="0.4">
      <c r="C17" s="53">
        <v>7</v>
      </c>
      <c r="D17" s="68">
        <f t="shared" si="0"/>
        <v>272.42010553589483</v>
      </c>
    </row>
    <row r="18" spans="3:4" ht="13.9" x14ac:dyDescent="0.4">
      <c r="C18" s="53">
        <v>8</v>
      </c>
      <c r="D18" s="68">
        <f t="shared" si="0"/>
        <v>365.94036183735375</v>
      </c>
    </row>
    <row r="19" spans="3:4" ht="13.9" x14ac:dyDescent="0.4">
      <c r="C19" s="53">
        <v>9</v>
      </c>
      <c r="D19" s="68">
        <f t="shared" si="0"/>
        <v>470.80782130218114</v>
      </c>
    </row>
    <row r="20" spans="3:4" ht="13.9" x14ac:dyDescent="0.4">
      <c r="C20" s="53">
        <v>10</v>
      </c>
      <c r="D20" s="68">
        <f t="shared" si="0"/>
        <v>585.2695363281814</v>
      </c>
    </row>
    <row r="21" spans="3:4" ht="13.9" x14ac:dyDescent="0.4">
      <c r="C21" s="74">
        <v>11</v>
      </c>
      <c r="D21" s="68">
        <f t="shared" si="0"/>
        <v>707.57255931315899</v>
      </c>
    </row>
    <row r="22" spans="3:4" ht="13.9" x14ac:dyDescent="0.4">
      <c r="C22" s="53">
        <v>12</v>
      </c>
      <c r="D22" s="68">
        <f t="shared" si="0"/>
        <v>835.96394265491836</v>
      </c>
    </row>
    <row r="23" spans="3:4" ht="13.9" x14ac:dyDescent="0.4">
      <c r="C23" s="53">
        <v>13</v>
      </c>
      <c r="D23" s="68">
        <f t="shared" si="0"/>
        <v>968.69073875126389</v>
      </c>
    </row>
    <row r="24" spans="3:4" ht="13.9" x14ac:dyDescent="0.4">
      <c r="C24" s="53">
        <v>14</v>
      </c>
      <c r="D24" s="68">
        <f t="shared" si="0"/>
        <v>1104</v>
      </c>
    </row>
    <row r="25" spans="3:4" ht="13.9" x14ac:dyDescent="0.4">
      <c r="C25" s="53">
        <v>15</v>
      </c>
      <c r="D25" s="68">
        <f t="shared" si="0"/>
        <v>1244.6775384717037</v>
      </c>
    </row>
    <row r="26" spans="3:4" ht="13.9" x14ac:dyDescent="0.4">
      <c r="C26" s="53">
        <v>16</v>
      </c>
      <c r="D26" s="68">
        <f t="shared" si="0"/>
        <v>1394.6707243541011</v>
      </c>
    </row>
    <row r="27" spans="3:4" ht="13.9" x14ac:dyDescent="0.4">
      <c r="C27" s="53">
        <v>17</v>
      </c>
      <c r="D27" s="68">
        <f t="shared" si="0"/>
        <v>1553.9689472207215</v>
      </c>
    </row>
    <row r="28" spans="3:4" ht="13.9" x14ac:dyDescent="0.4">
      <c r="C28" s="74">
        <v>18</v>
      </c>
      <c r="D28" s="68">
        <f t="shared" si="0"/>
        <v>1722.5615966450928</v>
      </c>
    </row>
    <row r="29" spans="3:4" ht="13.9" x14ac:dyDescent="0.4">
      <c r="C29" s="53">
        <v>19</v>
      </c>
      <c r="D29" s="68">
        <f t="shared" si="0"/>
        <v>1900.4380622007438</v>
      </c>
    </row>
    <row r="30" spans="3:4" ht="13.9" x14ac:dyDescent="0.4">
      <c r="C30" s="53">
        <v>20</v>
      </c>
      <c r="D30" s="68">
        <f t="shared" si="0"/>
        <v>2087.5877334612032</v>
      </c>
    </row>
    <row r="31" spans="3:4" ht="13.9" x14ac:dyDescent="0.4">
      <c r="C31" s="53">
        <v>21</v>
      </c>
      <c r="D31" s="68">
        <f t="shared" si="0"/>
        <v>2284</v>
      </c>
    </row>
    <row r="32" spans="3:4" ht="13.9" x14ac:dyDescent="0.4">
      <c r="C32" s="53">
        <v>22</v>
      </c>
      <c r="D32" s="68">
        <f t="shared" si="0"/>
        <v>2489.5816755572573</v>
      </c>
    </row>
    <row r="33" spans="3:4" ht="13.9" x14ac:dyDescent="0.4">
      <c r="C33" s="53">
        <v>23</v>
      </c>
      <c r="D33" s="68">
        <f t="shared" si="0"/>
        <v>2714.1777741168748</v>
      </c>
    </row>
    <row r="34" spans="3:4" ht="13.9" x14ac:dyDescent="0.4">
      <c r="C34" s="53">
        <v>24</v>
      </c>
      <c r="D34" s="68">
        <f t="shared" si="0"/>
        <v>2972.6849856180561</v>
      </c>
    </row>
    <row r="35" spans="3:4" ht="13.9" x14ac:dyDescent="0.4">
      <c r="C35" s="74">
        <v>25</v>
      </c>
      <c r="D35" s="68">
        <f t="shared" si="0"/>
        <v>3280.0000000000014</v>
      </c>
    </row>
    <row r="36" spans="3:4" ht="13.9" x14ac:dyDescent="0.4">
      <c r="C36" s="53">
        <v>26</v>
      </c>
      <c r="D36" s="68">
        <f t="shared" si="0"/>
        <v>3645.8590442404857</v>
      </c>
    </row>
    <row r="37" spans="3:4" ht="13.9" x14ac:dyDescent="0.4">
      <c r="C37" s="53">
        <v>27</v>
      </c>
      <c r="D37" s="68">
        <f t="shared" si="0"/>
        <v>4065.0348720806528</v>
      </c>
    </row>
    <row r="38" spans="3:4" ht="13.9" x14ac:dyDescent="0.4">
      <c r="C38" s="53">
        <v>28</v>
      </c>
      <c r="D38" s="68">
        <f t="shared" si="0"/>
        <v>4529.9789636047635</v>
      </c>
    </row>
    <row r="39" spans="3:4" ht="13.9" x14ac:dyDescent="0.4">
      <c r="C39" s="53">
        <v>29</v>
      </c>
      <c r="D39" s="68">
        <f t="shared" si="0"/>
        <v>5033.1427988970781</v>
      </c>
    </row>
    <row r="40" spans="3:4" ht="13.9" x14ac:dyDescent="0.4">
      <c r="C40" s="53">
        <v>30</v>
      </c>
      <c r="D40" s="68">
        <f t="shared" si="0"/>
        <v>5566.9778580418561</v>
      </c>
    </row>
    <row r="41" spans="3:4" ht="13.9" x14ac:dyDescent="0.4">
      <c r="C41" s="53">
        <v>38</v>
      </c>
      <c r="D41" s="68">
        <f t="shared" si="0"/>
        <v>10036.000000000004</v>
      </c>
    </row>
    <row r="42" spans="3:4" ht="13.9" x14ac:dyDescent="0.4">
      <c r="C42" s="53">
        <v>50</v>
      </c>
      <c r="D42" s="68">
        <f t="shared" si="0"/>
        <v>15600</v>
      </c>
    </row>
    <row r="43" spans="3:4" ht="13.9" x14ac:dyDescent="0.4">
      <c r="C43" s="53">
        <v>70</v>
      </c>
      <c r="D43" s="68">
        <f t="shared" si="0"/>
        <v>25200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  <pageSetup orientation="portrait" verticalDpi="598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2"/>
  <sheetViews>
    <sheetView zoomScale="95" zoomScaleNormal="95" workbookViewId="0">
      <selection activeCell="D19" sqref="D19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1"/>
      <c r="B1" s="1"/>
      <c r="C1" s="86"/>
      <c r="D1" s="86"/>
      <c r="E1" s="86"/>
      <c r="F1" s="86"/>
      <c r="G1" s="86"/>
      <c r="H1" s="86"/>
      <c r="I1" s="86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</row>
    <row r="3" spans="1:1024" ht="13.15" x14ac:dyDescent="0.4">
      <c r="A3" s="2" t="s">
        <v>15</v>
      </c>
      <c r="D3" s="16" t="s">
        <v>72</v>
      </c>
    </row>
    <row r="4" spans="1:1024" x14ac:dyDescent="0.35">
      <c r="A4" t="s">
        <v>0</v>
      </c>
      <c r="D4" s="16" t="s">
        <v>12</v>
      </c>
    </row>
    <row r="5" spans="1:1024" x14ac:dyDescent="0.35">
      <c r="A5" t="s">
        <v>1</v>
      </c>
      <c r="D5" s="16" t="s">
        <v>2</v>
      </c>
    </row>
    <row r="6" spans="1:1024" x14ac:dyDescent="0.35">
      <c r="A6" t="s">
        <v>3</v>
      </c>
      <c r="D6" s="16" t="s">
        <v>12</v>
      </c>
    </row>
    <row r="7" spans="1:1024" x14ac:dyDescent="0.35">
      <c r="A7" t="s">
        <v>4</v>
      </c>
      <c r="D7" s="16"/>
    </row>
    <row r="8" spans="1:1024" ht="13.15" x14ac:dyDescent="0.4">
      <c r="A8" t="s">
        <v>5</v>
      </c>
      <c r="D8" s="43">
        <v>45797</v>
      </c>
    </row>
    <row r="9" spans="1:1024" x14ac:dyDescent="0.35">
      <c r="A9" t="s">
        <v>6</v>
      </c>
      <c r="D9" s="14" t="s">
        <v>7</v>
      </c>
    </row>
    <row r="10" spans="1:1024" ht="13.15" x14ac:dyDescent="0.4">
      <c r="A10" t="s">
        <v>8</v>
      </c>
      <c r="D10" s="15">
        <v>36</v>
      </c>
    </row>
    <row r="11" spans="1:1024" x14ac:dyDescent="0.35">
      <c r="A11" t="s">
        <v>73</v>
      </c>
      <c r="D11">
        <v>1</v>
      </c>
    </row>
    <row r="13" spans="1:1024" x14ac:dyDescent="0.35">
      <c r="A13" t="s">
        <v>74</v>
      </c>
      <c r="B13">
        <v>40</v>
      </c>
      <c r="C13" t="s">
        <v>11</v>
      </c>
    </row>
    <row r="17" spans="1:21" x14ac:dyDescent="0.35">
      <c r="D17" s="16"/>
    </row>
    <row r="19" spans="1:21" x14ac:dyDescent="0.35">
      <c r="A19" s="17"/>
    </row>
    <row r="21" spans="1:21" x14ac:dyDescent="0.35">
      <c r="B21" s="16"/>
    </row>
    <row r="22" spans="1:21" x14ac:dyDescent="0.35">
      <c r="A22" s="44" t="s">
        <v>65</v>
      </c>
      <c r="B22" s="44" t="s">
        <v>75</v>
      </c>
      <c r="C22" s="44"/>
      <c r="D22" s="44"/>
      <c r="E22" s="44" t="s">
        <v>76</v>
      </c>
      <c r="F22" s="44" t="s">
        <v>77</v>
      </c>
      <c r="G22" s="44" t="s">
        <v>78</v>
      </c>
      <c r="H22" s="44" t="s">
        <v>79</v>
      </c>
      <c r="I22" s="44" t="s">
        <v>10</v>
      </c>
    </row>
    <row r="23" spans="1:21" ht="13.15" x14ac:dyDescent="0.4">
      <c r="A23" s="45">
        <v>4</v>
      </c>
      <c r="B23" s="75">
        <v>6500</v>
      </c>
      <c r="C23" s="46"/>
      <c r="D23" s="46"/>
      <c r="E23" s="9">
        <f t="shared" ref="E23:E24" si="0">AVERAGE(B23:D23)</f>
        <v>6500</v>
      </c>
      <c r="F23" s="40">
        <v>6300</v>
      </c>
      <c r="G23">
        <v>4553</v>
      </c>
      <c r="H23">
        <v>8713</v>
      </c>
      <c r="I23" s="18">
        <f t="shared" ref="I23:I24" si="1">(E23-F23)/F23</f>
        <v>3.1746031746031744E-2</v>
      </c>
    </row>
    <row r="24" spans="1:21" ht="13.15" x14ac:dyDescent="0.4">
      <c r="A24" s="16">
        <v>6</v>
      </c>
      <c r="B24" s="75">
        <v>1800</v>
      </c>
      <c r="C24" s="46"/>
      <c r="D24" s="46"/>
      <c r="E24" s="9">
        <f t="shared" si="0"/>
        <v>1800</v>
      </c>
      <c r="F24" s="47">
        <v>1631</v>
      </c>
      <c r="G24">
        <v>938.2</v>
      </c>
      <c r="H24">
        <v>2834</v>
      </c>
      <c r="I24" s="18">
        <f t="shared" si="1"/>
        <v>0.10361741263028816</v>
      </c>
    </row>
    <row r="25" spans="1:21" ht="13.15" x14ac:dyDescent="0.4">
      <c r="A25" s="2"/>
      <c r="B25" s="2"/>
      <c r="C25" s="48"/>
      <c r="D25" s="40"/>
      <c r="E25" s="40"/>
      <c r="J25" s="16"/>
    </row>
    <row r="26" spans="1:21" x14ac:dyDescent="0.35">
      <c r="A26" t="s">
        <v>77</v>
      </c>
      <c r="C26" s="10"/>
    </row>
    <row r="27" spans="1:21" x14ac:dyDescent="0.35">
      <c r="A27" s="44" t="s">
        <v>65</v>
      </c>
      <c r="B27" s="44" t="s">
        <v>80</v>
      </c>
      <c r="C27" s="44" t="s">
        <v>81</v>
      </c>
      <c r="D27" s="44" t="s">
        <v>82</v>
      </c>
    </row>
    <row r="28" spans="1:21" x14ac:dyDescent="0.35">
      <c r="A28">
        <v>2</v>
      </c>
      <c r="B28">
        <v>20210</v>
      </c>
      <c r="C28">
        <v>14180</v>
      </c>
      <c r="D28">
        <v>28820</v>
      </c>
    </row>
    <row r="29" spans="1:21" x14ac:dyDescent="0.35">
      <c r="A29">
        <v>3</v>
      </c>
      <c r="B29">
        <v>10700</v>
      </c>
      <c r="C29">
        <v>7928</v>
      </c>
      <c r="D29">
        <v>14440</v>
      </c>
      <c r="U29" s="5"/>
    </row>
    <row r="30" spans="1:21" ht="13.15" x14ac:dyDescent="0.4">
      <c r="A30" s="49">
        <v>4</v>
      </c>
      <c r="B30" s="49">
        <v>6300</v>
      </c>
      <c r="C30" s="49">
        <v>4553</v>
      </c>
      <c r="D30" s="49">
        <v>8713</v>
      </c>
    </row>
    <row r="31" spans="1:21" x14ac:dyDescent="0.35">
      <c r="A31">
        <v>5</v>
      </c>
      <c r="B31">
        <v>3475</v>
      </c>
      <c r="C31">
        <v>2330</v>
      </c>
      <c r="D31">
        <v>5183</v>
      </c>
      <c r="E31" s="19"/>
      <c r="F31" s="9"/>
      <c r="G31" s="19"/>
      <c r="H31" s="9"/>
      <c r="I31" s="19"/>
      <c r="J31" s="9"/>
      <c r="K31" s="19"/>
    </row>
    <row r="32" spans="1:21" ht="13.15" x14ac:dyDescent="0.4">
      <c r="A32" s="49">
        <v>6</v>
      </c>
      <c r="B32" s="49">
        <v>1631</v>
      </c>
      <c r="C32" s="49">
        <v>938.2</v>
      </c>
      <c r="D32" s="49">
        <v>2834</v>
      </c>
      <c r="E32" s="19"/>
      <c r="F32" s="9"/>
      <c r="G32" s="19"/>
      <c r="H32" s="9"/>
      <c r="I32" s="19"/>
      <c r="J32" s="9"/>
      <c r="K32" s="19"/>
    </row>
    <row r="33" spans="1:21" x14ac:dyDescent="0.35">
      <c r="A33">
        <v>7</v>
      </c>
      <c r="B33">
        <v>769.8</v>
      </c>
      <c r="C33">
        <v>413.6</v>
      </c>
      <c r="D33">
        <v>1433</v>
      </c>
      <c r="E33" s="19"/>
      <c r="F33" s="9"/>
      <c r="G33" s="19"/>
      <c r="H33" s="9"/>
      <c r="I33" s="19"/>
      <c r="J33" s="9"/>
      <c r="K33" s="19"/>
    </row>
    <row r="34" spans="1:21" x14ac:dyDescent="0.35">
      <c r="A34">
        <v>8</v>
      </c>
      <c r="B34">
        <v>379.1</v>
      </c>
      <c r="C34">
        <v>179.7</v>
      </c>
      <c r="D34">
        <v>799.5</v>
      </c>
      <c r="E34" s="19"/>
      <c r="F34" s="9"/>
      <c r="G34" s="19"/>
      <c r="H34" s="9"/>
      <c r="I34" s="19"/>
      <c r="J34" s="9"/>
      <c r="K34" s="19"/>
    </row>
    <row r="35" spans="1:21" x14ac:dyDescent="0.35">
      <c r="A35">
        <v>9</v>
      </c>
      <c r="B35">
        <v>196.2</v>
      </c>
      <c r="C35">
        <v>76.569999999999993</v>
      </c>
      <c r="D35">
        <v>502.6</v>
      </c>
      <c r="E35" s="19"/>
      <c r="F35" s="9"/>
      <c r="G35" s="19"/>
      <c r="H35" s="9"/>
      <c r="I35" s="19"/>
      <c r="J35" s="9"/>
      <c r="K35" s="19"/>
    </row>
    <row r="36" spans="1:21" x14ac:dyDescent="0.35">
      <c r="A36" s="13">
        <v>10</v>
      </c>
      <c r="B36" s="13">
        <v>88.9</v>
      </c>
      <c r="C36" s="13">
        <v>27.89</v>
      </c>
      <c r="D36" s="13">
        <v>283.39999999999998</v>
      </c>
    </row>
    <row r="38" spans="1:21" x14ac:dyDescent="0.35">
      <c r="A38" t="s">
        <v>17</v>
      </c>
    </row>
    <row r="39" spans="1:21" ht="15" x14ac:dyDescent="0.5">
      <c r="A39" s="6"/>
      <c r="B39" s="20" t="s">
        <v>18</v>
      </c>
      <c r="C39" s="6"/>
      <c r="D39" s="21" t="s">
        <v>19</v>
      </c>
      <c r="E39" s="7"/>
      <c r="F39" s="7"/>
      <c r="G39" s="7"/>
      <c r="H39" s="22"/>
      <c r="U39" s="5"/>
    </row>
    <row r="40" spans="1:21" ht="15" x14ac:dyDescent="0.5">
      <c r="A40" s="23" t="s">
        <v>20</v>
      </c>
      <c r="B40" s="24" t="s">
        <v>21</v>
      </c>
      <c r="C40" s="23" t="s">
        <v>22</v>
      </c>
      <c r="D40" s="23" t="s">
        <v>23</v>
      </c>
      <c r="E40" s="24" t="s">
        <v>24</v>
      </c>
      <c r="F40" s="24" t="s">
        <v>25</v>
      </c>
      <c r="G40" s="24" t="s">
        <v>26</v>
      </c>
      <c r="H40" s="25" t="s">
        <v>27</v>
      </c>
      <c r="I40" s="9"/>
      <c r="J40" s="9"/>
    </row>
    <row r="41" spans="1:21" x14ac:dyDescent="0.35">
      <c r="A41" s="8">
        <v>10000</v>
      </c>
      <c r="C41" s="8">
        <v>11</v>
      </c>
      <c r="D41" s="8">
        <v>7.8</v>
      </c>
      <c r="E41">
        <v>5.3</v>
      </c>
      <c r="F41">
        <v>4</v>
      </c>
      <c r="G41">
        <v>2.7</v>
      </c>
      <c r="H41" s="11">
        <v>1.8</v>
      </c>
      <c r="I41" s="9"/>
      <c r="J41" s="9"/>
    </row>
    <row r="42" spans="1:21" x14ac:dyDescent="0.35">
      <c r="A42" s="8">
        <v>5000</v>
      </c>
      <c r="B42">
        <v>10000</v>
      </c>
      <c r="C42" s="8">
        <v>11.3</v>
      </c>
      <c r="D42" s="8">
        <v>7.8</v>
      </c>
      <c r="E42">
        <v>5.3</v>
      </c>
      <c r="F42">
        <v>4</v>
      </c>
      <c r="G42">
        <v>2.7</v>
      </c>
      <c r="H42" s="11">
        <v>1.9</v>
      </c>
    </row>
    <row r="43" spans="1:21" x14ac:dyDescent="0.35">
      <c r="A43" s="8">
        <v>2000</v>
      </c>
      <c r="B43">
        <v>5000</v>
      </c>
      <c r="C43" s="8">
        <v>11.9</v>
      </c>
      <c r="D43" s="8">
        <v>7.9</v>
      </c>
      <c r="E43">
        <v>5.4</v>
      </c>
      <c r="F43">
        <v>4.0999999999999996</v>
      </c>
      <c r="G43">
        <v>2.9</v>
      </c>
      <c r="H43" s="11">
        <v>2.1</v>
      </c>
      <c r="J43" s="9"/>
    </row>
    <row r="44" spans="1:21" x14ac:dyDescent="0.35">
      <c r="A44" s="8">
        <v>1000</v>
      </c>
      <c r="B44">
        <v>2000</v>
      </c>
      <c r="C44" s="8">
        <v>13.4</v>
      </c>
      <c r="D44" s="8">
        <v>8</v>
      </c>
      <c r="E44">
        <v>5.6</v>
      </c>
      <c r="F44">
        <v>4.3</v>
      </c>
      <c r="G44">
        <v>3.1</v>
      </c>
      <c r="H44" s="11">
        <v>2.4</v>
      </c>
      <c r="J44" s="9"/>
    </row>
    <row r="45" spans="1:21" x14ac:dyDescent="0.35">
      <c r="A45" s="8">
        <v>500</v>
      </c>
      <c r="B45">
        <v>1000</v>
      </c>
      <c r="C45" s="8">
        <v>15.6</v>
      </c>
      <c r="D45" s="8">
        <v>8.1999999999999993</v>
      </c>
      <c r="E45">
        <v>5.9</v>
      </c>
      <c r="F45">
        <v>4.7</v>
      </c>
      <c r="G45">
        <v>3.6</v>
      </c>
      <c r="H45" s="11">
        <v>2.9</v>
      </c>
      <c r="I45" s="9"/>
      <c r="J45" s="9"/>
    </row>
    <row r="46" spans="1:21" x14ac:dyDescent="0.35">
      <c r="A46" s="8">
        <v>200</v>
      </c>
      <c r="B46">
        <v>500</v>
      </c>
      <c r="C46" s="8">
        <v>19.3</v>
      </c>
      <c r="D46" s="8">
        <v>8.9</v>
      </c>
      <c r="E46">
        <v>6.8</v>
      </c>
      <c r="F46">
        <v>5.7</v>
      </c>
      <c r="G46">
        <v>4.7</v>
      </c>
      <c r="H46" s="11">
        <v>4.0999999999999996</v>
      </c>
    </row>
    <row r="47" spans="1:21" x14ac:dyDescent="0.35">
      <c r="A47" s="12">
        <v>100</v>
      </c>
      <c r="B47" s="13">
        <v>200</v>
      </c>
      <c r="C47" s="12">
        <v>27.5</v>
      </c>
      <c r="D47" s="12">
        <v>10</v>
      </c>
      <c r="E47" s="13">
        <v>8</v>
      </c>
      <c r="F47" s="13">
        <v>7</v>
      </c>
      <c r="G47" s="13">
        <v>6.1</v>
      </c>
      <c r="H47" s="26">
        <v>5.5</v>
      </c>
    </row>
    <row r="49" spans="1:12" ht="30" x14ac:dyDescent="1.1000000000000001">
      <c r="A49" s="50" t="s">
        <v>83</v>
      </c>
    </row>
    <row r="50" spans="1:12" x14ac:dyDescent="0.35">
      <c r="B50" s="19"/>
      <c r="D50" s="19"/>
      <c r="F50" s="19"/>
      <c r="H50" s="19"/>
      <c r="J50" s="19"/>
    </row>
    <row r="51" spans="1:12" ht="13.15" x14ac:dyDescent="0.4">
      <c r="A51" s="2"/>
      <c r="B51" s="42"/>
      <c r="D51" s="42"/>
      <c r="F51" s="42"/>
      <c r="H51" s="42"/>
      <c r="J51" s="42"/>
    </row>
    <row r="52" spans="1:12" ht="13.15" x14ac:dyDescent="0.4">
      <c r="B52" s="19"/>
      <c r="D52" s="19"/>
      <c r="K52" s="15"/>
      <c r="L52" s="15"/>
    </row>
  </sheetData>
  <mergeCells count="1">
    <mergeCell ref="C1:I1"/>
  </mergeCells>
  <conditionalFormatting sqref="A25">
    <cfRule type="cellIs" dxfId="3" priority="2" operator="between">
      <formula>$C$30</formula>
      <formula>$D$30</formula>
    </cfRule>
  </conditionalFormatting>
  <conditionalFormatting sqref="B25">
    <cfRule type="cellIs" dxfId="2" priority="3" operator="between">
      <formula>$C$32</formula>
      <formula>$D$32</formula>
    </cfRule>
  </conditionalFormatting>
  <conditionalFormatting sqref="B51 D51">
    <cfRule type="cellIs" dxfId="1" priority="4" operator="lessThan">
      <formula>B52</formula>
    </cfRule>
  </conditionalFormatting>
  <conditionalFormatting sqref="E23:E24">
    <cfRule type="cellIs" dxfId="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Particle Counter</vt:lpstr>
      <vt:lpstr>Clause 6 - Spheres</vt:lpstr>
      <vt:lpstr>6 - Interpolated Thresholds</vt:lpstr>
      <vt:lpstr>Clause 6.15</vt:lpstr>
      <vt:lpstr>Annex E Verify Counting Accurac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/>
  <dc:description/>
  <cp:lastModifiedBy>John Devereux</cp:lastModifiedBy>
  <cp:revision>205</cp:revision>
  <dcterms:created xsi:type="dcterms:W3CDTF">2021-11-24T13:24:09Z</dcterms:created>
  <dcterms:modified xsi:type="dcterms:W3CDTF">2025-12-10T10:23:46Z</dcterms:modified>
  <dc:language>en-GB</dc:language>
</cp:coreProperties>
</file>